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mc:AlternateContent xmlns:mc="http://schemas.openxmlformats.org/markup-compatibility/2006">
    <mc:Choice Requires="x15">
      <x15ac:absPath xmlns:x15ac="http://schemas.microsoft.com/office/spreadsheetml/2010/11/ac" url="https://livejohnshopkins-my.sharepoint.com/personal/ezavala1_jh_edu/Documents/JiVitA Food Composition Table/JiVitA Food List and Photo Atlas/"/>
    </mc:Choice>
  </mc:AlternateContent>
  <xr:revisionPtr revIDLastSave="0" documentId="8_{A118F1A1-DC31-4A96-A6A5-1FEAFA858FC9}" xr6:coauthVersionLast="47" xr6:coauthVersionMax="47" xr10:uidLastSave="{00000000-0000-0000-0000-000000000000}"/>
  <bookViews>
    <workbookView xWindow="-90" yWindow="-90" windowWidth="17460" windowHeight="10380" firstSheet="2" activeTab="2" xr2:uid="{00000000-000D-0000-FFFF-FFFF00000000}"/>
  </bookViews>
  <sheets>
    <sheet name="JiVitA FCT (2)" sheetId="9" state="hidden" r:id="rId1"/>
    <sheet name="JiVitA FCT -added NVs" sheetId="17" r:id="rId2"/>
    <sheet name="Recipes (collect or impute)" sheetId="18" r:id="rId3"/>
    <sheet name="component" sheetId="4" r:id="rId4"/>
    <sheet name="JiVitA FCT" sheetId="2" state="hidden" r:id="rId5"/>
    <sheet name="Recipe NV (missing)" sheetId="14" r:id="rId6"/>
    <sheet name="Recipe NV (other sources)" sheetId="15" r:id="rId7"/>
    <sheet name="Recipe (collect or impute)" sheetId="16" state="hidden" r:id="rId8"/>
    <sheet name="Imputed recipes" sheetId="13" r:id="rId9"/>
    <sheet name="IN17 NA replaced by SR legacy" sheetId="10" r:id="rId10"/>
    <sheet name="variables in fcts" sheetId="6" r:id="rId11"/>
    <sheet name="Food grouping" sheetId="7" r:id="rId12"/>
    <sheet name="summary stats" sheetId="11" r:id="rId13"/>
  </sheets>
  <definedNames>
    <definedName name="_xlnm._FilterDatabase" localSheetId="4" hidden="1">'JiVitA FCT'!$A$1:$BP$271</definedName>
    <definedName name="_xlnm._FilterDatabase" localSheetId="0" hidden="1">'JiVitA FCT (2)'!$A$1:$BP$279</definedName>
    <definedName name="_xlnm._FilterDatabase" localSheetId="1" hidden="1">'JiVitA FCT -added NVs'!$A$1:$BP$271</definedName>
    <definedName name="_xlnm._FilterDatabase" localSheetId="6" hidden="1">'Recipe NV (other sources)'!$E$1:$E$22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56" i="17" l="1"/>
  <c r="AB245" i="17"/>
  <c r="AB244" i="17"/>
  <c r="AB237" i="17"/>
  <c r="AB206" i="17"/>
  <c r="AB153" i="17"/>
  <c r="AB140" i="17"/>
  <c r="AB122" i="17"/>
  <c r="AB116" i="17"/>
  <c r="AB102" i="17"/>
  <c r="AB93" i="17"/>
  <c r="AB79" i="17"/>
  <c r="AB69" i="17"/>
  <c r="AB55" i="17"/>
  <c r="AB51" i="17"/>
  <c r="AB7" i="17"/>
  <c r="AB6" i="17"/>
  <c r="N295" i="13"/>
  <c r="N231" i="13"/>
  <c r="N220" i="13"/>
  <c r="N209" i="13"/>
  <c r="N525" i="13"/>
  <c r="N479" i="13"/>
  <c r="N462" i="13"/>
  <c r="N455" i="13"/>
  <c r="N449" i="13"/>
  <c r="N103" i="13"/>
  <c r="N72" i="13"/>
  <c r="N12" i="13"/>
  <c r="AB122" i="2"/>
  <c r="AB116" i="2"/>
  <c r="AB7" i="2"/>
  <c r="AB245" i="2"/>
  <c r="AB244" i="2"/>
  <c r="AB237" i="2"/>
  <c r="AB206" i="2"/>
  <c r="AB156" i="2"/>
  <c r="AB153" i="2"/>
  <c r="AB140" i="2"/>
  <c r="AB102" i="2"/>
  <c r="AB93" i="2"/>
  <c r="AB79" i="2"/>
  <c r="AB69" i="2"/>
  <c r="AB55" i="2"/>
  <c r="AB51" i="2"/>
  <c r="AB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tc={FE938788-4E0D-4C73-B13A-54D557F5B779}</author>
  </authors>
  <commentList>
    <comment ref="CF1" authorId="0" shapeId="0" xr:uid="{FE938788-4E0D-4C73-B13A-54D557F5B779}">
      <text>
        <t>[Threaded comment]
Your version of Excel allows you to read this threaded comment; however, any edits to it will get removed if the file is opened in a newer version of Excel. Learn more: https://go.microsoft.com/fwlink/?linkid=870924
Comment:
    fatty acids values are in the FNDDS, but they are quite different from the values in the india FCT.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tc={1A4B49DA-5D43-4A47-9534-EF9C8D4523A9}</author>
    <author>tc={A6EF2404-8635-48E2-9E4B-CA4928927C53}</author>
    <author>tc={1A3FFE09-A90B-4B1B-86DA-B448BB74073C}</author>
  </authors>
  <commentList>
    <comment ref="B245" authorId="0" shapeId="0" xr:uid="{1A4B49DA-5D43-4A47-9534-EF9C8D4523A9}">
      <text>
        <t>[Threaded comment]
Your version of Excel allows you to read this threaded comment; however, any edits to it will get removed if the file is opened in a newer version of Excel. Learn more: https://go.microsoft.com/fwlink/?linkid=870924
Comment:
    it said 'impute from fried yellow pumpkin', but I feel impute from green pumpkin fry may be more accurate.</t>
      </text>
    </comment>
    <comment ref="B255" authorId="1" shapeId="0" xr:uid="{A6EF2404-8635-48E2-9E4B-CA4928927C53}">
      <text>
        <t>[Threaded comment]
Your version of Excel allows you to read this threaded comment; however, any edits to it will get removed if the file is opened in a newer version of Excel. Learn more: https://go.microsoft.com/fwlink/?linkid=870924
Comment:
    it said 'impute from fried yellow pumpkin', but I feel impute from green pumpkin fry may be more accurate.</t>
      </text>
    </comment>
    <comment ref="B284" authorId="2" shapeId="0" xr:uid="{1A3FFE09-A90B-4B1B-86DA-B448BB74073C}">
      <text>
        <t>[Threaded comment]
Your version of Excel allows you to read this threaded comment; however, any edits to it will get removed if the file is opened in a newer version of Excel. Learn more: https://go.microsoft.com/fwlink/?linkid=870924
Comment:
    it said 'impute from fried yellow pumpkin', but I feel impute from green pumpkin fry may be more accurate.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tc={A703FC7B-D08B-4784-B0B2-16425F6B3737}</author>
    <author>tc={3F981D1D-7BA3-45DF-A804-E30BE63CC8A2}</author>
    <author>tc={B38A102C-7AF1-4B5C-9E1E-E48A756C560B}</author>
    <author>tc={10E8930E-5AED-4DD5-9968-57805916D0F2}</author>
    <author>tc={5DCEE2C9-09EB-4A1F-87BB-117DAAF51BB1}</author>
    <author>tc={628173A2-9EE6-4A94-8144-4BED9D8C085D}</author>
    <author>tc={BB7971D0-E5EF-4499-841B-08334C8A50B7}</author>
    <author>tc={553C55A4-F006-47FE-BBC9-731BCD5483D5}</author>
    <author>tc={64AE3460-41EE-4158-929F-2B3E3B034692}</author>
  </authors>
  <commentList>
    <comment ref="B2" authorId="0" shapeId="0" xr:uid="{A703FC7B-D08B-4784-B0B2-16425F6B3737}">
      <text>
        <t>[Threaded comment]
Your version of Excel allows you to read this threaded comment; however, any edits to it will get removed if the file is opened in a newer version of Excel. Learn more: https://go.microsoft.com/fwlink/?linkid=870924
Comment:
    -SR Legacy 170919- spices, cardamom</t>
      </text>
    </comment>
    <comment ref="B3" authorId="1" shapeId="0" xr:uid="{3F981D1D-7BA3-45DF-A804-E30BE63CC8A2}">
      <text>
        <t xml:space="preserve">[Threaded comment]
Your version of Excel allows you to read this threaded comment; however, any edits to it will get removed if the file is opened in a newer version of Excel. Learn more: https://go.microsoft.com/fwlink/?linkid=870924
Comment:
    SR legacy 170923, cumin seed
</t>
      </text>
    </comment>
    <comment ref="B4" authorId="2" shapeId="0" xr:uid="{B38A102C-7AF1-4B5C-9E1E-E48A756C560B}">
      <text>
        <t>[Threaded comment]
Your version of Excel allows you to read this threaded comment; however, any edits to it will get removed if the file is opened in a newer version of Excel. Learn more: https://go.microsoft.com/fwlink/?linkid=870924
Comment:
    -SR legacy 173744 Beans, kidney, red, mature seeds, raw
-Foundation 747440 Beans, Dry, Dark Red Kidney (0% moisture)</t>
      </text>
    </comment>
    <comment ref="B5" authorId="3" shapeId="0" xr:uid="{10E8930E-5AED-4DD5-9968-57805916D0F2}">
      <text>
        <t xml:space="preserve">[Threaded comment]
Your version of Excel allows you to read this threaded comment; however, any edits to it will get removed if the file is opened in a newer version of Excel. Learn more: https://go.microsoft.com/fwlink/?linkid=870924
Comment:
    -SR legacy  170427 Peppers, sweet, green, raw
-cofid 13-524 Pepper, capsicum, red, raw (526: yellow, 318: green)
</t>
      </text>
    </comment>
    <comment ref="B6" authorId="4" shapeId="0" xr:uid="{5DCEE2C9-09EB-4A1F-87BB-117DAAF51BB1}">
      <text>
        <t>[Threaded comment]
Your version of Excel allows you to read this threaded comment; however, any edits to it will get removed if the file is opened in a newer version of Excel. Learn more: https://go.microsoft.com/fwlink/?linkid=870924
Comment:
    -SR legacy 174193 Fish, eel, mixed species, raw
-fndds 26113110 fish, eel
-cofid 16-035 eel conger fresh only, raw; 16-173 eel yellow, raw</t>
      </text>
    </comment>
    <comment ref="B7" authorId="5" shapeId="0" xr:uid="{628173A2-9EE6-4A94-8144-4BED9D8C085D}">
      <text>
        <t>[Threaded comment]
Your version of Excel allows you to read this threaded comment; however, any edits to it will get removed if the file is opened in a newer version of Excel. Learn more: https://go.microsoft.com/fwlink/?linkid=870924
Comment:
    -SR legacy: beef, lamb, veal, pork brains</t>
      </text>
    </comment>
    <comment ref="B8" authorId="6" shapeId="0" xr:uid="{BB7971D0-E5EF-4499-841B-08334C8A50B7}">
      <text>
        <t>[Threaded comment]
Your version of Excel allows you to read this threaded comment; however, any edits to it will get removed if the file is opened in a newer version of Excel. Learn more: https://go.microsoft.com/fwlink/?linkid=870924
Comment:
    -SR legacy 172191; Egg, quail, whole, fresh, raw</t>
      </text>
    </comment>
    <comment ref="B9" authorId="7" shapeId="0" xr:uid="{553C55A4-F006-47FE-BBC9-731BCD5483D5}">
      <text>
        <t>[Threaded comment]
Your version of Excel allows you to read this threaded comment; however, any edits to it will get removed if the file is opened in a newer version of Excel. Learn more: https://go.microsoft.com/fwlink/?linkid=870924
Comment:
    -sr legacy 171025 Oil, sunflower, linoleic, (approx. 65%)
-foundation 1750349 oil, sunflower</t>
      </text>
    </comment>
    <comment ref="B10" authorId="8" shapeId="0" xr:uid="{64AE3460-41EE-4158-929F-2B3E3B034692}">
      <text>
        <t>[Threaded comment]
Your version of Excel allows you to read this threaded comment; however, any edits to it will get removed if the file is opened in a newer version of Excel. Learn more: https://go.microsoft.com/fwlink/?linkid=870924
Comment:
    - sr legacy 171013 Oil, rice bran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tc={C1A8BED7-7734-4B4B-B427-F97184D018EC}</author>
    <author>tc={EA966F3A-9A72-4505-8C3F-BD57D1D6E22D}</author>
    <author>tc={0A4C491D-07EB-413E-BB0F-D794A568F9C9}</author>
  </authors>
  <commentList>
    <comment ref="B23" authorId="0" shapeId="0" xr:uid="{C1A8BED7-7734-4B4B-B427-F97184D018EC}">
      <text>
        <t>[Threaded comment]
Your version of Excel allows you to read this threaded comment; however, any edits to it will get removed if the file is opened in a newer version of Excel. Learn more: https://go.microsoft.com/fwlink/?linkid=870924
Comment:
    can be calculated using the formula: Total vitamin A in retinol activity equivalent (RAE) = mcg retinol + 1/12 mcg beta-carotene + 1/24 mcg a-carotene + 1/24 b-cryptoxanthin</t>
      </text>
    </comment>
    <comment ref="B118" authorId="1" shapeId="0" xr:uid="{EA966F3A-9A72-4505-8C3F-BD57D1D6E22D}">
      <text>
        <t>[Threaded comment]
Your version of Excel allows you to read this threaded comment; however, any edits to it will get removed if the file is opened in a newer version of Excel. Learn more: https://go.microsoft.com/fwlink/?linkid=870924
Comment:
    provides a detailed analysis of polyphenols specifically, including individual compounds.</t>
      </text>
    </comment>
    <comment ref="C118" authorId="2" shapeId="0" xr:uid="{0A4C491D-07EB-413E-BB0F-D794A568F9C9}">
      <text>
        <t>[Threaded comment]
Your version of Excel allows you to read this threaded comment; however, any edits to it will get removed if the file is opened in a newer version of Excel. Learn more: https://go.microsoft.com/fwlink/?linkid=870924
Comment:
    measures total phenols, which could include both simple phenols and polyphenols, using a colorimetric method that is less specific.</t>
      </text>
    </comment>
  </commentList>
</comments>
</file>

<file path=xl/sharedStrings.xml><?xml version="1.0" encoding="utf-8"?>
<sst xmlns="http://schemas.openxmlformats.org/spreadsheetml/2006/main" count="11949" uniqueCount="2506">
  <si>
    <t>Item code</t>
  </si>
  <si>
    <t>English Name</t>
  </si>
  <si>
    <t>Bangladesh Name</t>
  </si>
  <si>
    <t>Alternative name/Scientific name</t>
  </si>
  <si>
    <t>Source</t>
  </si>
  <si>
    <t>Source/Recipe ID</t>
  </si>
  <si>
    <t>Source Item Name</t>
  </si>
  <si>
    <t>MDD-W Code</t>
  </si>
  <si>
    <t>MDD-W food group</t>
  </si>
  <si>
    <t>Energy_Kcal</t>
  </si>
  <si>
    <t>Water_g</t>
  </si>
  <si>
    <t>Protein_g</t>
  </si>
  <si>
    <t>TotalFat_g</t>
  </si>
  <si>
    <t>Carbohydrate_g</t>
  </si>
  <si>
    <t>TotalDietaryFiber_g</t>
  </si>
  <si>
    <t>Thiamin(B1)_mg</t>
  </si>
  <si>
    <t>Riboflavin(B2)_mg</t>
  </si>
  <si>
    <t>Niacin(B3)_mg</t>
  </si>
  <si>
    <t>PantothenicAcid(B5)_mg</t>
  </si>
  <si>
    <t>VitaminB6_mg</t>
  </si>
  <si>
    <t>Folate(B9)_mcg</t>
  </si>
  <si>
    <t>VitaminB12_mcg</t>
  </si>
  <si>
    <t>Total_Ascorbic_Acid(VitC)_mg</t>
  </si>
  <si>
    <t>VitaminD2_D3_mcg</t>
  </si>
  <si>
    <t>VitaminE_mg</t>
  </si>
  <si>
    <t>Phylloquinones (K1)_mcg</t>
  </si>
  <si>
    <t>Retinol(VitA)_mcg</t>
  </si>
  <si>
    <t>VitaminA_retinol_activity_equivalent(RAE)_mcg</t>
  </si>
  <si>
    <t>α - Carotene_mcg</t>
  </si>
  <si>
    <t>β - Carotene_mcg</t>
  </si>
  <si>
    <t>Lutein_mcg</t>
  </si>
  <si>
    <t>Lycopene_mcg</t>
  </si>
  <si>
    <t xml:space="preserve"> β - Cryptoxanthin_mcg</t>
  </si>
  <si>
    <t>Zeaxanthin_mcg</t>
  </si>
  <si>
    <t>Calcium(Ca)_mg</t>
  </si>
  <si>
    <t>Copper(Cu)_mg</t>
  </si>
  <si>
    <t>Iron(Fe)_mg</t>
  </si>
  <si>
    <t>Magnesium(Mg)_mg</t>
  </si>
  <si>
    <t>Manganese(Mn)_mg</t>
  </si>
  <si>
    <t>Phosphorus(P)_mg</t>
  </si>
  <si>
    <t>Potassium(K)_mg</t>
  </si>
  <si>
    <t>Selenium(Se)_mcg</t>
  </si>
  <si>
    <t>Zinc(Zn)_mg</t>
  </si>
  <si>
    <t>Total_Saturated_ Fatty_Acids(TSFA)_g</t>
  </si>
  <si>
    <t>Total_Mono_ Unsaturated_Fatty Acids(TMUFA)_g</t>
  </si>
  <si>
    <t>Total_Poly_ Unsaturated_Fatty_Acids (TPUFA)_g</t>
  </si>
  <si>
    <t>Cholesterol_mg</t>
  </si>
  <si>
    <t>Histidine_g</t>
  </si>
  <si>
    <t>Isoleucine_g</t>
  </si>
  <si>
    <t>Leucine_g</t>
  </si>
  <si>
    <t>Lysine_g</t>
  </si>
  <si>
    <t>Methionine_g</t>
  </si>
  <si>
    <t>Cystine_g</t>
  </si>
  <si>
    <t>Phenylalanine_g</t>
  </si>
  <si>
    <t>Threonine_g</t>
  </si>
  <si>
    <t>Tryptophan_g</t>
  </si>
  <si>
    <t>Valine_g</t>
  </si>
  <si>
    <t>Alanine_g</t>
  </si>
  <si>
    <t>Arginine_g</t>
  </si>
  <si>
    <t>Aspartic Acid_g</t>
  </si>
  <si>
    <t>Glutamic Acid_g</t>
  </si>
  <si>
    <t>Glycine_g</t>
  </si>
  <si>
    <t>Proline_g</t>
  </si>
  <si>
    <t>Serine_g</t>
  </si>
  <si>
    <t>Tyrosine_g</t>
  </si>
  <si>
    <t>Total_Polyphenols_mg</t>
  </si>
  <si>
    <t>Phytate_mg</t>
  </si>
  <si>
    <t>Oxalate_mg</t>
  </si>
  <si>
    <t>Saatu (made from roasted chickpeas)</t>
  </si>
  <si>
    <t>ছাতু</t>
  </si>
  <si>
    <t>Cicer arietinum</t>
  </si>
  <si>
    <t>Nepal LBWSAT</t>
  </si>
  <si>
    <t>Pulses</t>
  </si>
  <si>
    <t>White cardamom</t>
  </si>
  <si>
    <t>সাদা এলাচ</t>
  </si>
  <si>
    <t>Elettaria cardamomum</t>
  </si>
  <si>
    <t>BD22</t>
  </si>
  <si>
    <t>cardamom</t>
  </si>
  <si>
    <t>Condiments and seasonings</t>
  </si>
  <si>
    <t>Big cardamom (black)</t>
  </si>
  <si>
    <t>বড় এলাচ (কালো)</t>
  </si>
  <si>
    <t>Amomum subulatum</t>
  </si>
  <si>
    <t>IN17</t>
  </si>
  <si>
    <t>G021</t>
  </si>
  <si>
    <t>Cardamom, black (Elettaria cardamomum)</t>
  </si>
  <si>
    <t>NA</t>
  </si>
  <si>
    <t>Cumin paste</t>
  </si>
  <si>
    <t>জিরা বাটা</t>
  </si>
  <si>
    <t>Cuminum cyminum</t>
  </si>
  <si>
    <t>G025</t>
  </si>
  <si>
    <t>Cumin seeds (Cuminum cyminum)</t>
  </si>
  <si>
    <t>Bay leaf</t>
  </si>
  <si>
    <t>তেজপাতা</t>
  </si>
  <si>
    <t>Laurus nobilis</t>
  </si>
  <si>
    <t>Bay leaf, dried</t>
  </si>
  <si>
    <t>Dry chili powder</t>
  </si>
  <si>
    <t>লাল মরিচ গুঁড়ো</t>
  </si>
  <si>
    <t>Capsicum annum</t>
  </si>
  <si>
    <t>Chilli, red, dry</t>
  </si>
  <si>
    <t>.3.263</t>
  </si>
  <si>
    <t>Ginger paste</t>
  </si>
  <si>
    <t>আদা বাটা</t>
  </si>
  <si>
    <t>Zingiber officinale</t>
  </si>
  <si>
    <t>SR Legacy</t>
  </si>
  <si>
    <t>02021</t>
  </si>
  <si>
    <t>GINGER,GROUND</t>
  </si>
  <si>
    <t>Cumin powder</t>
  </si>
  <si>
    <t>জিরা গুঁড়ো</t>
  </si>
  <si>
    <t>Spices, cumin seed</t>
  </si>
  <si>
    <t>Coriander powder</t>
  </si>
  <si>
    <t>Coriander seed, dry</t>
  </si>
  <si>
    <t>Cinnamon</t>
  </si>
  <si>
    <t>দারচিনি</t>
  </si>
  <si>
    <t>Cinnamomum verum</t>
  </si>
  <si>
    <t>Cinnamon, ground</t>
  </si>
  <si>
    <t xml:space="preserve">Fenugreek </t>
  </si>
  <si>
    <t>মেথি (Methi)</t>
  </si>
  <si>
    <t>Trigonella foenum-graecum</t>
  </si>
  <si>
    <t>Fenugreek seeds</t>
  </si>
  <si>
    <t>Nigella/ Black cumin oil</t>
  </si>
  <si>
    <t>কালোজিরা (Kalojira)</t>
  </si>
  <si>
    <t>Nigella sativa</t>
  </si>
  <si>
    <t>Foundation foods</t>
  </si>
  <si>
    <t>Black seed oil</t>
  </si>
  <si>
    <t>Other oils and fats</t>
  </si>
  <si>
    <t xml:space="preserve">Fennel </t>
  </si>
  <si>
    <t>মৌরি (Mouri)</t>
  </si>
  <si>
    <t>Foeniculum vulgare</t>
  </si>
  <si>
    <t>Fennel seeds</t>
  </si>
  <si>
    <t>Cumin</t>
  </si>
  <si>
    <t>জিরা</t>
  </si>
  <si>
    <t>Cumin seeds</t>
  </si>
  <si>
    <t>Roasted cumin</t>
  </si>
  <si>
    <t>ভাজা জিরা</t>
  </si>
  <si>
    <t>Date Molasses</t>
  </si>
  <si>
    <t>গুড় (খেজুর)</t>
  </si>
  <si>
    <t>Phoenix dactylifera</t>
  </si>
  <si>
    <t>100% pure date syrup</t>
  </si>
  <si>
    <t>Sweets</t>
  </si>
  <si>
    <t>Commercial spice for fish (Radhuni brand)</t>
  </si>
  <si>
    <t>মাছের মসলা (রাঁধুনী)</t>
  </si>
  <si>
    <t>Daler bori (Lentil)</t>
  </si>
  <si>
    <t>ডালের বড়ি</t>
  </si>
  <si>
    <t>Black gram</t>
  </si>
  <si>
    <t>Black gram, dehulled, dried raw; Black gram, split dried, raw</t>
  </si>
  <si>
    <t>Black gram, split dried, raw</t>
  </si>
  <si>
    <t>Cooked rice</t>
  </si>
  <si>
    <t>ভাত</t>
  </si>
  <si>
    <t>Oryza sativa</t>
  </si>
  <si>
    <t>Rice, BR-28, boiled* (without salt)</t>
  </si>
  <si>
    <t>Foods made from grains</t>
  </si>
  <si>
    <t>Puffed rice</t>
  </si>
  <si>
    <t>মুড়ি</t>
  </si>
  <si>
    <t>Rice, puffed, salted</t>
  </si>
  <si>
    <t>Beaten rice</t>
  </si>
  <si>
    <t>ধানের/চালের চিঁড়া</t>
  </si>
  <si>
    <t>NP17</t>
  </si>
  <si>
    <t>Taichin beaten rice</t>
  </si>
  <si>
    <t>Rice flour</t>
  </si>
  <si>
    <t>চালের গুঁড়া</t>
  </si>
  <si>
    <t>Rice, flour, glutinous, white</t>
  </si>
  <si>
    <t>White wheat flour</t>
  </si>
  <si>
    <t>সাদা গমের আটা</t>
  </si>
  <si>
    <t>Triticum aestivum</t>
  </si>
  <si>
    <t>Wheat, flour, white</t>
  </si>
  <si>
    <t>Wholewheat flour</t>
  </si>
  <si>
    <t>পুরো গমের আটা</t>
  </si>
  <si>
    <t>Wheat flour, brown, whole grain, raw</t>
  </si>
  <si>
    <t>Corn flour</t>
  </si>
  <si>
    <t>ভুট্টার আটা</t>
  </si>
  <si>
    <t>Zea mays</t>
  </si>
  <si>
    <t>Maize/corn flour, whole, white</t>
  </si>
  <si>
    <t>Chickpea, raw</t>
  </si>
  <si>
    <t>ছোলা</t>
  </si>
  <si>
    <t xml:space="preserve">Bengal gram, dehulled, split dried, raw; </t>
  </si>
  <si>
    <t>Bengal gram, whole dried, raw</t>
  </si>
  <si>
    <t>Red lentil/ Mosur dal, raw</t>
  </si>
  <si>
    <t>মসুর ডাল</t>
  </si>
  <si>
    <t>Lens culinaris</t>
  </si>
  <si>
    <t>Lentil, dried, raw</t>
  </si>
  <si>
    <t>Mung lentil/ Moong dal, raw</t>
  </si>
  <si>
    <t>মুগ ডাল</t>
  </si>
  <si>
    <t>Vigna radiata</t>
  </si>
  <si>
    <t xml:space="preserve">Green gram, split dried, raw; </t>
  </si>
  <si>
    <t>Green gram, whole, dried, raw</t>
  </si>
  <si>
    <t>Black gram lentil, raw</t>
  </si>
  <si>
    <t>মাশকলাই ডাল (Mashkalai Dal)</t>
  </si>
  <si>
    <t>Vigna mungo</t>
  </si>
  <si>
    <t>Black gram, dehulled, dried raw;</t>
  </si>
  <si>
    <t>Khesari lentil, raw</t>
  </si>
  <si>
    <t>খেসারি ডাল (Khesari Dal)</t>
  </si>
  <si>
    <t>Lathyrus sativus</t>
  </si>
  <si>
    <t>Grass pea, split dried, raw</t>
  </si>
  <si>
    <t>Potato, raw</t>
  </si>
  <si>
    <t>আলু (Alu)</t>
  </si>
  <si>
    <t>Solanum tuberosum</t>
  </si>
  <si>
    <t>Potato, Diamond, raw</t>
  </si>
  <si>
    <t>White roots and tubers and plantains</t>
  </si>
  <si>
    <t>Jackfruit seed, raw</t>
  </si>
  <si>
    <t>কাঁঠালের বীজ (Kathaler Beej)</t>
  </si>
  <si>
    <t>Artocarpus heterophyllus</t>
  </si>
  <si>
    <t>Jackfruit seeds, raw</t>
  </si>
  <si>
    <t>Nuts and seeds</t>
  </si>
  <si>
    <t>Red spinach</t>
  </si>
  <si>
    <t>লাল শাক</t>
  </si>
  <si>
    <t>Amaranthus gangeticus</t>
  </si>
  <si>
    <t>Amaranth leaves, red, raw</t>
  </si>
  <si>
    <t>Dark green leafy vegetables</t>
  </si>
  <si>
    <t>Taro leaves</t>
  </si>
  <si>
    <t>কচু শাক</t>
  </si>
  <si>
    <t>Colocasia leaves</t>
  </si>
  <si>
    <t>Colocasia leaves, green, raw</t>
  </si>
  <si>
    <t>Colocasia leaves, black, raw</t>
  </si>
  <si>
    <t>Spinach</t>
  </si>
  <si>
    <t>পালং শাক</t>
  </si>
  <si>
    <t>Palong Shak/Spinacia oleracea</t>
  </si>
  <si>
    <t>Spinach, raw</t>
  </si>
  <si>
    <t>Malabar spinach</t>
  </si>
  <si>
    <t>পুঁই শাক</t>
  </si>
  <si>
    <t>Indian spinach/ Basella alba</t>
  </si>
  <si>
    <t>Indian spinach, raw</t>
  </si>
  <si>
    <t>Water spinach</t>
  </si>
  <si>
    <t>কলমি শাক</t>
  </si>
  <si>
    <t>Ipomoea aquatica</t>
  </si>
  <si>
    <t>Water spinach, raw</t>
  </si>
  <si>
    <t>Bottle gourd leaves</t>
  </si>
  <si>
    <t>লাউ শাক</t>
  </si>
  <si>
    <t>Lagenaria siceraria</t>
  </si>
  <si>
    <t>Bottle gourd leaves, raw</t>
  </si>
  <si>
    <t>Yellow pumpkin leaves</t>
  </si>
  <si>
    <t>কুমড়া শাক</t>
  </si>
  <si>
    <t>Cucurbita maxima</t>
  </si>
  <si>
    <t>Pumpkin leaves, raw</t>
  </si>
  <si>
    <t>spiny amaranth</t>
  </si>
  <si>
    <t>খুড়িয়া শাক</t>
  </si>
  <si>
    <t>spiny pigweed/ Amaranthus spinosus</t>
  </si>
  <si>
    <t>Amaranth leaves, spiney, raw</t>
  </si>
  <si>
    <t>Jute / mara leaf</t>
  </si>
  <si>
    <t>পাট/ম্যারা শাক</t>
  </si>
  <si>
    <t>Corchorus olitorius</t>
  </si>
  <si>
    <t>Jute leaves, raw</t>
  </si>
  <si>
    <t>Vegetable fern leaves</t>
  </si>
  <si>
    <t>ঢেকি শাক</t>
  </si>
  <si>
    <t>Diplazium esculentum</t>
  </si>
  <si>
    <t>Farn, leaves, raw</t>
  </si>
  <si>
    <t>Cheeseweed</t>
  </si>
  <si>
    <t>নাপা শাক</t>
  </si>
  <si>
    <t>Common mallow/Malva parviflora</t>
  </si>
  <si>
    <t>lambs quarters/ white goosefoot</t>
  </si>
  <si>
    <t>বতুয়া শাক</t>
  </si>
  <si>
    <t>Bathua/Chenopodium album</t>
  </si>
  <si>
    <t>Bathua leaves</t>
  </si>
  <si>
    <t>Mustard leaves</t>
  </si>
  <si>
    <t>সরিষা শাক</t>
  </si>
  <si>
    <t>Brassica juncea</t>
  </si>
  <si>
    <t>Potato leaves</t>
  </si>
  <si>
    <t>আলু শাক</t>
  </si>
  <si>
    <t>Sweet potato leaves, raw</t>
  </si>
  <si>
    <t>Radish leaves</t>
  </si>
  <si>
    <t>মুলা শাক</t>
  </si>
  <si>
    <t>Raphanus sativus</t>
  </si>
  <si>
    <t>Radish leaves, raw</t>
  </si>
  <si>
    <t>Coriander leaves</t>
  </si>
  <si>
    <t>ধনিয়া শাক</t>
  </si>
  <si>
    <t>Coriandrum sativum</t>
  </si>
  <si>
    <t>Coriander leaves, raw</t>
  </si>
  <si>
    <t>scarlet gourd leaves</t>
  </si>
  <si>
    <t>তেলাকুচা শাক</t>
  </si>
  <si>
    <t>ivy gourd/Coccinia grandis</t>
  </si>
  <si>
    <t>D055</t>
  </si>
  <si>
    <t>Kovai, small (Coccinia cordifolia)</t>
  </si>
  <si>
    <t>Green leaf (sak)</t>
  </si>
  <si>
    <t>সবুজ শাক</t>
  </si>
  <si>
    <t>Green amaranth</t>
  </si>
  <si>
    <t>Amaranth, leaves, green, raw</t>
  </si>
  <si>
    <t>Stem Amaranth</t>
  </si>
  <si>
    <t>ডাটা/ ডাঙ্গা শাক</t>
  </si>
  <si>
    <t>Amaranth, stem, raw</t>
  </si>
  <si>
    <t>Helencha sak /Buffalo spinach</t>
  </si>
  <si>
    <t>হেলেঞ্চা শাক</t>
  </si>
  <si>
    <t>Watercress/Enydra fluctuans</t>
  </si>
  <si>
    <t>Watercress, raw</t>
  </si>
  <si>
    <t>Cauliflower leaves</t>
  </si>
  <si>
    <t>ফুলকপির পাতার শাক</t>
  </si>
  <si>
    <t>Brassica oleracea</t>
  </si>
  <si>
    <t>C017</t>
  </si>
  <si>
    <t>Cauliflowerleaves(Brassica oleracea var. botrytis)</t>
  </si>
  <si>
    <t>Green papaya</t>
  </si>
  <si>
    <t>কাঁচা পেঁপের তরকারী</t>
  </si>
  <si>
    <t>Carica papaya</t>
  </si>
  <si>
    <t>Papaya, unripe, raw</t>
  </si>
  <si>
    <t>Other fruits</t>
  </si>
  <si>
    <t>Radish</t>
  </si>
  <si>
    <t>মূলার তরকারী</t>
  </si>
  <si>
    <t>Radish, raw</t>
  </si>
  <si>
    <t>Other vegetables</t>
  </si>
  <si>
    <t>Eggplant</t>
  </si>
  <si>
    <t>বেগুনের তরকারী</t>
  </si>
  <si>
    <t>Solanum melongena</t>
  </si>
  <si>
    <t>Brinjal, purple, long, raw</t>
  </si>
  <si>
    <t xml:space="preserve">Cucumber </t>
  </si>
  <si>
    <t>শশার তরকারী</t>
  </si>
  <si>
    <t>Cucumis sativus</t>
  </si>
  <si>
    <t>Cucumber, Elongate, peeled, raw</t>
  </si>
  <si>
    <t>Green pumpkin</t>
  </si>
  <si>
    <t>কাঁচা মিষ্টি কুমড়ার তরকারী</t>
  </si>
  <si>
    <t>Cucurbita pepo</t>
  </si>
  <si>
    <t>Pumpkin</t>
  </si>
  <si>
    <t>Vitamin A-rich vegetables, roots and tubers</t>
  </si>
  <si>
    <t>Yellow pumpkin</t>
  </si>
  <si>
    <t>পাকা মিষ্টি কুমড়ার তরকারী</t>
  </si>
  <si>
    <t>Water pumpkin</t>
  </si>
  <si>
    <t>চাল কুমড়া/জালি কুমড়ার তরকারী</t>
  </si>
  <si>
    <t>Gourd, ash, raw</t>
  </si>
  <si>
    <t>Soybean</t>
  </si>
  <si>
    <t>সয়াবিনের বরীর তরকারী</t>
  </si>
  <si>
    <t>Glycine max</t>
  </si>
  <si>
    <t>Soybean, dried, raw</t>
  </si>
  <si>
    <t>451.5‬</t>
  </si>
  <si>
    <t>Okra (ladies fingers)</t>
  </si>
  <si>
    <t>ঢেঁড়সের তরকারী</t>
  </si>
  <si>
    <t>Abelmoschus esculentus</t>
  </si>
  <si>
    <t>Okra/ladies finger, raw</t>
  </si>
  <si>
    <t>Pointed gourd</t>
  </si>
  <si>
    <t>পটলের তরকারী</t>
  </si>
  <si>
    <t>Trichosanthes dioica</t>
  </si>
  <si>
    <t>Gourd, pointed, raw</t>
  </si>
  <si>
    <t>Bottle gourd</t>
  </si>
  <si>
    <t>লাউ তরকারী</t>
  </si>
  <si>
    <t>Gourd, bottle, raw</t>
  </si>
  <si>
    <t>Sponge gourd</t>
  </si>
  <si>
    <t>ধুন্দলের তরকারী</t>
  </si>
  <si>
    <t>Luffa cylindrica</t>
  </si>
  <si>
    <t>Gourd, sponge, raw</t>
  </si>
  <si>
    <t>Green jackfruit</t>
  </si>
  <si>
    <t>কচি কাঁঠালের তরকারী</t>
  </si>
  <si>
    <t>Jack fruit, raw</t>
  </si>
  <si>
    <t>Black chickpeas</t>
  </si>
  <si>
    <t>ঘুগনী</t>
  </si>
  <si>
    <t>Green beans</t>
  </si>
  <si>
    <t>শিমের তরকারী</t>
  </si>
  <si>
    <t>Phaseolus vulgaris</t>
  </si>
  <si>
    <t>Green beans, raw</t>
  </si>
  <si>
    <t>Bean, scarlet runner, raw</t>
  </si>
  <si>
    <t>Shim</t>
  </si>
  <si>
    <t>Phaseolus coccineus</t>
  </si>
  <si>
    <t>Kidney beans</t>
  </si>
  <si>
    <t>শিমের বীচির তরকারী</t>
  </si>
  <si>
    <t>B020</t>
  </si>
  <si>
    <t>Rajmah, red (Phaseolus vulgaris)</t>
  </si>
  <si>
    <t>Green bananas</t>
  </si>
  <si>
    <t>কাঁচা কলার তরকারী</t>
  </si>
  <si>
    <t>Musa paradisiaca</t>
  </si>
  <si>
    <t xml:space="preserve">Plantain, raw </t>
  </si>
  <si>
    <t>Snake gourd</t>
  </si>
  <si>
    <t>দুধ কুশি/চিচিঙ্গার তরকারী</t>
  </si>
  <si>
    <t>Trichosanthes cucumerina</t>
  </si>
  <si>
    <t>Gourd, snake, raw</t>
  </si>
  <si>
    <t>Taro root stems</t>
  </si>
  <si>
    <t>কচুর লতির তরকারী</t>
  </si>
  <si>
    <t>Colocasia esculenta</t>
  </si>
  <si>
    <t xml:space="preserve">Taro, stem, green, raw; </t>
  </si>
  <si>
    <t>Colocasia/Taro/Tannia, cormel, raw</t>
  </si>
  <si>
    <t>Long yam stems</t>
  </si>
  <si>
    <t>কচুর ডেড়ার / ডাটার তরকারী</t>
  </si>
  <si>
    <t>Dioscorea alata</t>
  </si>
  <si>
    <t>Taro root</t>
  </si>
  <si>
    <t>কচুর মূুখীর তরকারী</t>
  </si>
  <si>
    <t>Colocasia/Taro, corm, raw</t>
  </si>
  <si>
    <t>..07741</t>
  </si>
  <si>
    <t>Yam leaves</t>
  </si>
  <si>
    <t>কচুর পাতার তরকারী</t>
  </si>
  <si>
    <t>Dioscorea spp.</t>
  </si>
  <si>
    <t>Long yam</t>
  </si>
  <si>
    <t>বাক্স কচু/মান কচু</t>
  </si>
  <si>
    <t>Giant taro, corm, raw</t>
  </si>
  <si>
    <t>White yam</t>
  </si>
  <si>
    <t>মাছ আলু/পুড় আলু তরকারী</t>
  </si>
  <si>
    <t>Dioscorea rotundata</t>
  </si>
  <si>
    <t>Yam, tuber, raw</t>
  </si>
  <si>
    <t>Banana blossom</t>
  </si>
  <si>
    <t>কলার মোচার  / কলার থোরের তরকারী</t>
  </si>
  <si>
    <t>Musa spp.</t>
  </si>
  <si>
    <t>Plantain, flower</t>
  </si>
  <si>
    <t>Banana stem</t>
  </si>
  <si>
    <t>কলার গাছের তরকারী</t>
  </si>
  <si>
    <t>D064</t>
  </si>
  <si>
    <t>Plantain, stem (Musa x paradisiaca)</t>
  </si>
  <si>
    <t>Elephant Foot Yam</t>
  </si>
  <si>
    <t>আনাজী কচুর তরকারী/ভাজি</t>
  </si>
  <si>
    <t>Elephant foot, corm, raw</t>
  </si>
  <si>
    <t>Drumstick (sohijan)</t>
  </si>
  <si>
    <t>ওল কচু তরকারী</t>
  </si>
  <si>
    <t>Amorphophallus paeoniifolius</t>
  </si>
  <si>
    <t>Drumstick, pods, raw</t>
  </si>
  <si>
    <t>Tomato -raw</t>
  </si>
  <si>
    <t>সজিনার তরকারী</t>
  </si>
  <si>
    <t>Moringa oleifera</t>
  </si>
  <si>
    <t>Tomato, green, raw</t>
  </si>
  <si>
    <t>Tomato -ripe</t>
  </si>
  <si>
    <t>Tomato, red, ripe, raw</t>
  </si>
  <si>
    <t>Bitter gourd</t>
  </si>
  <si>
    <t>টমেটোর তরকারী</t>
  </si>
  <si>
    <t>Solanum lycopersicum</t>
  </si>
  <si>
    <t>Gourd, bitter, raw</t>
  </si>
  <si>
    <t>Green yard long bean</t>
  </si>
  <si>
    <t>বরবটি ভাজি</t>
  </si>
  <si>
    <t>Vigna unguiculata subsp. sesquipedalis</t>
  </si>
  <si>
    <t>YARDLONG BNS,MATURE SEEDS,RAW</t>
  </si>
  <si>
    <t>Cabbage</t>
  </si>
  <si>
    <t>বাধাকপির ভাজি</t>
  </si>
  <si>
    <t>Brassica oleracea var. capitata</t>
  </si>
  <si>
    <t>Cabbage, raw</t>
  </si>
  <si>
    <t>Spiny gourd</t>
  </si>
  <si>
    <t>কাঁকরোলের ভর্তা</t>
  </si>
  <si>
    <t>Momordica dioica</t>
  </si>
  <si>
    <t>Gourd, teasle, raw</t>
  </si>
  <si>
    <t>Root Yam</t>
  </si>
  <si>
    <t>কচুর মূখী ভাজি</t>
  </si>
  <si>
    <t>Yam flower</t>
  </si>
  <si>
    <t>কচুর ফুলের ভাজি</t>
  </si>
  <si>
    <t>Bengal arum</t>
  </si>
  <si>
    <t>চামঘাস ভাজি</t>
  </si>
  <si>
    <t> Typhonium trilobatum</t>
  </si>
  <si>
    <t>Peanut</t>
  </si>
  <si>
    <t>বাদাম ভর্তা</t>
  </si>
  <si>
    <t>Arachis hypogaea</t>
  </si>
  <si>
    <t>Groundnuts/ Peanut, raw</t>
  </si>
  <si>
    <t>Black Cumin</t>
  </si>
  <si>
    <t>কালো জিরা ভর্তা</t>
  </si>
  <si>
    <t>Bean</t>
  </si>
  <si>
    <t>শিম ভর্তা</t>
  </si>
  <si>
    <t>Bean, seeds and pods, raw</t>
  </si>
  <si>
    <t>Brinjal</t>
  </si>
  <si>
    <t>বেগুনের ভর্তা</t>
  </si>
  <si>
    <t>Bottle gourd/yellow pumpkin seed</t>
  </si>
  <si>
    <t>লাউ/কুমড়ার বিচির ভর্তা</t>
  </si>
  <si>
    <t>Pumpkin seeds, dried</t>
  </si>
  <si>
    <t>Garlic</t>
  </si>
  <si>
    <t>রসুনের ভর্তা</t>
  </si>
  <si>
    <t>Allium sativum</t>
  </si>
  <si>
    <t>Garlic, raw</t>
  </si>
  <si>
    <t>Luffa gourd</t>
  </si>
  <si>
    <t>সাতপুতি/ঝিঙ্গা/তরই/কদোয়া</t>
  </si>
  <si>
    <t>Luffa acutangula</t>
  </si>
  <si>
    <t>D068</t>
  </si>
  <si>
    <t>Ridge gourd (Luffa acutangula)</t>
  </si>
  <si>
    <t>Dried chili</t>
  </si>
  <si>
    <t>শুকনা মরিচের ভর্তা</t>
  </si>
  <si>
    <t>Capsicum annuum</t>
  </si>
  <si>
    <t>Drumstick leaf</t>
  </si>
  <si>
    <t>সজিনা পাতার ভর্তা</t>
  </si>
  <si>
    <t>Drumstick, leaves, raw</t>
  </si>
  <si>
    <t>Mustard seed</t>
  </si>
  <si>
    <t>সরিষার ভর্তা</t>
  </si>
  <si>
    <t>Mustard seeds, dried</t>
  </si>
  <si>
    <t>Kheera</t>
  </si>
  <si>
    <t xml:space="preserve">ক্ষীরা </t>
  </si>
  <si>
    <t>Cucumber, Short, peeled, raw</t>
  </si>
  <si>
    <t>Muli radish (white icicle)</t>
  </si>
  <si>
    <t>মূলা</t>
  </si>
  <si>
    <t>Mula/Raphanus sativus var</t>
  </si>
  <si>
    <t>Carrot</t>
  </si>
  <si>
    <t>গাজর</t>
  </si>
  <si>
    <t>Daucus carota</t>
  </si>
  <si>
    <t>Carrot, raw</t>
  </si>
  <si>
    <t>Onion</t>
  </si>
  <si>
    <t>পিয়াজ</t>
  </si>
  <si>
    <t>Allium cepa</t>
  </si>
  <si>
    <t>Onion, raw</t>
  </si>
  <si>
    <t>Green chilli</t>
  </si>
  <si>
    <t>কাঁচা মরিচ</t>
  </si>
  <si>
    <t>Chilli, green, with seeds, raw</t>
  </si>
  <si>
    <t>Capsicum</t>
  </si>
  <si>
    <t>কেপ্সিকাম</t>
  </si>
  <si>
    <t>D033</t>
  </si>
  <si>
    <t>Capsicum, green</t>
  </si>
  <si>
    <t>Coriander</t>
  </si>
  <si>
    <t>ধনে পাতার চাটনি</t>
  </si>
  <si>
    <t>Ginger</t>
  </si>
  <si>
    <t>আদা</t>
  </si>
  <si>
    <t>Ginger root, raw</t>
  </si>
  <si>
    <t>Cauliflower</t>
  </si>
  <si>
    <t>ফুলকপির ভাজি</t>
  </si>
  <si>
    <t>Brassica oleracea var. botrytis</t>
  </si>
  <si>
    <t>Cauliflower, raw</t>
  </si>
  <si>
    <t>Garlic paste</t>
  </si>
  <si>
    <t>রসুন (বাটা)</t>
  </si>
  <si>
    <t>Broccoli</t>
  </si>
  <si>
    <t>ব্রকলি</t>
  </si>
  <si>
    <t>Brassica oleracea var. italica</t>
  </si>
  <si>
    <t>Broccoli, raw</t>
  </si>
  <si>
    <t>Green summer squash</t>
  </si>
  <si>
    <t>স্কোয়াস</t>
  </si>
  <si>
    <t>D077</t>
  </si>
  <si>
    <t>Zucchini, green (Cucurbita pepo)</t>
  </si>
  <si>
    <t>Green pea</t>
  </si>
  <si>
    <t>মটরশুঁটির তরকারী</t>
  </si>
  <si>
    <t>Pisum sativum</t>
  </si>
  <si>
    <t>Pea, dried, raw</t>
  </si>
  <si>
    <t>Sesame</t>
  </si>
  <si>
    <t>তিলের  ভর্তা</t>
  </si>
  <si>
    <t>Sesamum indicum</t>
  </si>
  <si>
    <t>Sesame seeds, whole, dried</t>
  </si>
  <si>
    <t>Linseed</t>
  </si>
  <si>
    <t>তিসির  ভর্তা</t>
  </si>
  <si>
    <t>Linum usitatissimum</t>
  </si>
  <si>
    <t>Linseed,Tisi, raw</t>
  </si>
  <si>
    <t>Arum Spenach stem</t>
  </si>
  <si>
    <t>ফেনের ডাটা</t>
  </si>
  <si>
    <t>Salmon fish (Rui) (Large)</t>
  </si>
  <si>
    <t>বড় অথবা মাঝারি রুই মাছ</t>
  </si>
  <si>
    <t>Labeo rohita</t>
  </si>
  <si>
    <t>Rohu, river, raw</t>
  </si>
  <si>
    <t>Fish and seafood</t>
  </si>
  <si>
    <t>Trout fish (Boyal) (Large)</t>
  </si>
  <si>
    <t>বড় বোয়াল মাছ</t>
  </si>
  <si>
    <t>Oncorhynchus</t>
  </si>
  <si>
    <t>TROUT,MIXED SPECIES,RAW</t>
  </si>
  <si>
    <t>Cat fish (Pangas) (Large)</t>
  </si>
  <si>
    <t>বড় পাঙ্গাস মাছ</t>
  </si>
  <si>
    <t>Pangasius pangasius</t>
  </si>
  <si>
    <t>Pangas, without bones, raw</t>
  </si>
  <si>
    <t>Hilsa fish (Elish) (Medium)</t>
  </si>
  <si>
    <t>মাঝারি ইলিশ মাছ</t>
  </si>
  <si>
    <t xml:space="preserve"> Ilish, kata chara/Tenualosa ilisha</t>
  </si>
  <si>
    <t>Hilsa, without bones, raw</t>
  </si>
  <si>
    <t>Eel fish (Bine) (Medium)</t>
  </si>
  <si>
    <t>মাঝারি বাইন মাছ</t>
  </si>
  <si>
    <t>Anguilla bengalensis / Indian longfin eel</t>
  </si>
  <si>
    <t>S003</t>
  </si>
  <si>
    <t>Freshwater Eel (Anguilla anguilla)</t>
  </si>
  <si>
    <t>Flat fish (Foloi) (Medium)</t>
  </si>
  <si>
    <t>মাঝারি ফলি মাছ</t>
  </si>
  <si>
    <t>Pleuronectiformes</t>
  </si>
  <si>
    <t>FLATFISH (FLOUNDER&amp;SOLE SP),RAW</t>
  </si>
  <si>
    <t>Cat fish (Magur) (Medium)</t>
  </si>
  <si>
    <t>মাঝারি মাগুর মাছ</t>
  </si>
  <si>
    <t>walking catfish/ Magur, kata chara/Clarias batrachus</t>
  </si>
  <si>
    <t>Walking catifish, without bones, raw</t>
  </si>
  <si>
    <t>Climbing fish (Koi) (Medium)</t>
  </si>
  <si>
    <t>মাঝারি কই মাছ</t>
  </si>
  <si>
    <t>Climbing perch/Anabas testudineus</t>
  </si>
  <si>
    <t>90019; 90020</t>
  </si>
  <si>
    <t>Climbing perch, indigenous, eyes included, raw; Climbing perch, Thai, without bones, eyes included, raw</t>
  </si>
  <si>
    <t>Seal fish (Shil) (Medium)</t>
  </si>
  <si>
    <t>মাঝারি শোল মাছ</t>
  </si>
  <si>
    <t>shol fish/ Striped snake-head/Channa striata</t>
  </si>
  <si>
    <t>Striped snake-head, raw</t>
  </si>
  <si>
    <t>Silver carp fish (Medium)</t>
  </si>
  <si>
    <t>মাঝারি সিলভার কাপ মাছ</t>
  </si>
  <si>
    <t>Hypophthalmichthys molitrix</t>
  </si>
  <si>
    <t>Silver carp, without bones, raw</t>
  </si>
  <si>
    <t>Moon fish (Chanda) (Small)</t>
  </si>
  <si>
    <t>ছোট চান্দা মাছ</t>
  </si>
  <si>
    <t>Mene maculata</t>
  </si>
  <si>
    <t>P038</t>
  </si>
  <si>
    <t>Moon fish (Mene maculata)</t>
  </si>
  <si>
    <t>Small prawn (Chingri mach)</t>
  </si>
  <si>
    <t>ছোট চিংড়ি মাছ</t>
  </si>
  <si>
    <t>Macrobrachium rosenbergii or Penaeus</t>
  </si>
  <si>
    <t>90056; 90059; 90060; 90061</t>
  </si>
  <si>
    <t>Prawn, Birma river prawn, raw; Prawn, Hairy river prawn, raw; Prawn, Indian white prawn, raw; Prawn, Monsoon river prawn, raw</t>
  </si>
  <si>
    <t>Tilapia fish (Small)</t>
  </si>
  <si>
    <t>ছোট তেলাপিয়া মাছ</t>
  </si>
  <si>
    <t>Oreochromis niloticus</t>
  </si>
  <si>
    <t>Tilapia, without bones, raw</t>
  </si>
  <si>
    <t>Pabda fish (Small)</t>
  </si>
  <si>
    <t>ছোট পাবদা মাছ</t>
  </si>
  <si>
    <t>Catfish, Pabdah/ Ompok pabda</t>
  </si>
  <si>
    <t>Catfish, Pabdah, raw</t>
  </si>
  <si>
    <t>Puntius fish (Puti) (Small)</t>
  </si>
  <si>
    <t>ছোট পুঁটি মাছ</t>
  </si>
  <si>
    <t>Punti, Vadi punti, chokh soho; Puntius sophore</t>
  </si>
  <si>
    <t>Barb, Pool barb, eyes included, raw</t>
  </si>
  <si>
    <t>Monopterus fish (Kuicha) (Small)</t>
  </si>
  <si>
    <t>ছোট কুইচা মাছ</t>
  </si>
  <si>
    <r>
      <t>Monopterus albus</t>
    </r>
    <r>
      <rPr>
        <sz val="10"/>
        <color rgb="FF000000"/>
        <rFont val="Calibri"/>
        <family val="2"/>
      </rPr>
      <t xml:space="preserve"> (also known as Asian swamp eel)</t>
    </r>
  </si>
  <si>
    <t>Big fish head</t>
  </si>
  <si>
    <t>মুড়িঘন্ট</t>
  </si>
  <si>
    <t>Dried fish</t>
  </si>
  <si>
    <t>শূঁটকীর তরকারী</t>
  </si>
  <si>
    <t>90032; 90043; 90054</t>
  </si>
  <si>
    <t>Giant seaperch, whole, dried;  Minnow, Finescale razorbelly, dried; Pomfret, Silver, dried</t>
  </si>
  <si>
    <t>Large prawn</t>
  </si>
  <si>
    <t>বড় চিংড়ির তরকারী</t>
  </si>
  <si>
    <r>
      <t>Macrobrachium rosenbergii</t>
    </r>
    <r>
      <rPr>
        <sz val="10"/>
        <color rgb="FF000000"/>
        <rFont val="Calibri"/>
        <family val="2"/>
      </rPr>
      <t xml:space="preserve"> or </t>
    </r>
    <r>
      <rPr>
        <i/>
        <sz val="10"/>
        <color rgb="FF000000"/>
        <rFont val="Aptos Narrow"/>
        <family val="2"/>
        <scheme val="minor"/>
      </rPr>
      <t>Penaeus monodon</t>
    </r>
    <r>
      <rPr>
        <sz val="10"/>
        <color rgb="FF000000"/>
        <rFont val="Calibri"/>
        <family val="2"/>
      </rPr>
      <t xml:space="preserve"> (depending on the species)</t>
    </r>
  </si>
  <si>
    <t xml:space="preserve"> 90057; 90058</t>
  </si>
  <si>
    <t>Prawn, Giant river prawn, raw; Prawn, Giant tiger prawn, raw</t>
  </si>
  <si>
    <t>fish fillet</t>
  </si>
  <si>
    <t>ভাজা মাছের টুকরা</t>
  </si>
  <si>
    <t xml:space="preserve"> 90072; 90007</t>
  </si>
  <si>
    <t>Torpedo scad, fillet, raw;  Barb, Silver, fillet, raw</t>
  </si>
  <si>
    <t>fish eggs</t>
  </si>
  <si>
    <t>মাছের ডিম ভাজা</t>
  </si>
  <si>
    <t>Z.Eggs, Cat fish</t>
  </si>
  <si>
    <t>Fish gills/ fin/ fish bone</t>
  </si>
  <si>
    <t>মাছের পাখা, পাকনার তরকারী</t>
  </si>
  <si>
    <t>Crab meat</t>
  </si>
  <si>
    <t>কাঁকড়ার তরকারী</t>
  </si>
  <si>
    <t>Portunus pelagicus</t>
  </si>
  <si>
    <t>Crab, freshwater</t>
  </si>
  <si>
    <t>Chicken</t>
  </si>
  <si>
    <t>মুরগীর মাংসের তরকারী</t>
  </si>
  <si>
    <t>Gallus gallus domesticus</t>
  </si>
  <si>
    <t>Country hen</t>
  </si>
  <si>
    <t>Meat and poultry</t>
  </si>
  <si>
    <t>Goat</t>
  </si>
  <si>
    <t>খাসির মাংসের তরকারী</t>
  </si>
  <si>
    <t>Capra aegagrus hircus</t>
  </si>
  <si>
    <t>Goat meat, lean, raw</t>
  </si>
  <si>
    <t>Cow meat-lean</t>
  </si>
  <si>
    <t>গরুর মাংসের তরকারী</t>
  </si>
  <si>
    <t>Bos taurus</t>
  </si>
  <si>
    <t>Beef, meat, lean, boneless, raw</t>
  </si>
  <si>
    <t>Cow meat- 15-20% fat</t>
  </si>
  <si>
    <t>Beef, meat, 15-20 % fat, boneless, raw</t>
  </si>
  <si>
    <t>Duck</t>
  </si>
  <si>
    <t>হাঁসের তরকারী</t>
  </si>
  <si>
    <t>Anas platyrhynchos domesticus</t>
  </si>
  <si>
    <t>Duck, meat, raw</t>
  </si>
  <si>
    <t>Pigeon</t>
  </si>
  <si>
    <t>কবুতরের মাংসের তরকারী</t>
  </si>
  <si>
    <t>Columba livia domestica</t>
  </si>
  <si>
    <t>Pigeon meat, raw</t>
  </si>
  <si>
    <t>Chicken organs</t>
  </si>
  <si>
    <t>মুরগীর গিলা-কলিজার লটপটি</t>
  </si>
  <si>
    <t>Chicken liver, raw</t>
  </si>
  <si>
    <t>Organ meat</t>
  </si>
  <si>
    <t>Goat Intestine</t>
  </si>
  <si>
    <t>বট/ভূড়ী ভাজা</t>
  </si>
  <si>
    <t>O012</t>
  </si>
  <si>
    <t>Goat intestine</t>
  </si>
  <si>
    <t>Pork Intestine</t>
  </si>
  <si>
    <t>O057</t>
  </si>
  <si>
    <t>Chicken skin</t>
  </si>
  <si>
    <t>মুরগীর চামড়ী</t>
  </si>
  <si>
    <t>05015</t>
  </si>
  <si>
    <t>CHICKEN,BROILERS OR FRYERS,SKN ONLY,RAW</t>
  </si>
  <si>
    <t>Chicken egg</t>
  </si>
  <si>
    <t>মুরগীর ডিম সিদ্ধ</t>
  </si>
  <si>
    <t>Eggs, chicken, farmed, raw</t>
  </si>
  <si>
    <t>Eggs</t>
  </si>
  <si>
    <t>Duck egg</t>
  </si>
  <si>
    <t>হাঁসের ডিম সিদ্ধ</t>
  </si>
  <si>
    <t>Egg, duck, whole, raw</t>
  </si>
  <si>
    <t>Curd/Yogurt (cow no sugar)</t>
  </si>
  <si>
    <t>টক দই</t>
  </si>
  <si>
    <t>Yogurt, plain, whole milk</t>
  </si>
  <si>
    <t>Milk and milk products</t>
  </si>
  <si>
    <t>Curd/Yogurt (cow with sugar)</t>
  </si>
  <si>
    <t>মিষ্টি দই</t>
  </si>
  <si>
    <t>Curd, sweetened, whole milk</t>
  </si>
  <si>
    <t>Cow milk- skimmed</t>
  </si>
  <si>
    <t>দুধ</t>
  </si>
  <si>
    <t>Milk, cow, skimmed</t>
  </si>
  <si>
    <t>Cow milk- whole fat</t>
  </si>
  <si>
    <t>Milk, cow, whole fat (pasteurised, UTH)</t>
  </si>
  <si>
    <t>Liver</t>
  </si>
  <si>
    <t>100001; 100008; 100013; 170022</t>
  </si>
  <si>
    <t>Beef liver, raw; Chicken liver, raw; Lamb/Mutton, liver,raw; Duck, liver, raw</t>
  </si>
  <si>
    <t>Heart</t>
  </si>
  <si>
    <t>Bullocks Heart, ripe, raw</t>
  </si>
  <si>
    <t>Lamb</t>
  </si>
  <si>
    <t>ভেড়ার মাংস</t>
  </si>
  <si>
    <t>Ovis aries</t>
  </si>
  <si>
    <t>Lamb/mutton, meat moderately fat, raw</t>
  </si>
  <si>
    <t>Heron meat</t>
  </si>
  <si>
    <t>পাখির মাংস</t>
  </si>
  <si>
    <t>Ardea spp.</t>
  </si>
  <si>
    <t>Buffalo meat</t>
  </si>
  <si>
    <t>মহিষের মাংস</t>
  </si>
  <si>
    <t>Bubalus bubalis</t>
  </si>
  <si>
    <t>Buffalo meat, raw</t>
  </si>
  <si>
    <t>Bone marrow</t>
  </si>
  <si>
    <t>নেহারী</t>
  </si>
  <si>
    <t>CARIBOU,BONE MARROW,RAW (ALASKA NATIVE)</t>
  </si>
  <si>
    <t>Brain</t>
  </si>
  <si>
    <t>মগজ ভাজী</t>
  </si>
  <si>
    <t>O004; O017; O028; O039</t>
  </si>
  <si>
    <t>Goat brain; sheep brain; beef brain; calf brain</t>
  </si>
  <si>
    <t>Turtle meat</t>
  </si>
  <si>
    <t>কচ্ছপের মাংসের তরকারি</t>
  </si>
  <si>
    <t>Testudines spp.</t>
  </si>
  <si>
    <t>Pork</t>
  </si>
  <si>
    <t>শুকরের মাংস</t>
  </si>
  <si>
    <t>Sus scrofa domesticus</t>
  </si>
  <si>
    <t>Pork, meat &lt; 5 % fat, raw</t>
  </si>
  <si>
    <t>Quail eggs</t>
  </si>
  <si>
    <t>কোয়েল পাখির ডিম</t>
  </si>
  <si>
    <t>Coturnix coturnix</t>
  </si>
  <si>
    <t>M014</t>
  </si>
  <si>
    <t>Egg, quial, whole, raw</t>
  </si>
  <si>
    <t>Swan eggs</t>
  </si>
  <si>
    <t>রাজহাঁসের ডিম সিদ্ধ</t>
  </si>
  <si>
    <t>Cygnus spp.</t>
  </si>
  <si>
    <t>Figs</t>
  </si>
  <si>
    <t>ডুমুরের ভর্তা</t>
  </si>
  <si>
    <t>Ficus carica</t>
  </si>
  <si>
    <t>Fig, ripe, raw</t>
  </si>
  <si>
    <t>Star fruit</t>
  </si>
  <si>
    <t>কামরাঙ্গার ভর্তা</t>
  </si>
  <si>
    <t>Averrhoa carambola</t>
  </si>
  <si>
    <t>Carambola, raw</t>
  </si>
  <si>
    <t>Lemon or lime</t>
  </si>
  <si>
    <t>লেবু</t>
  </si>
  <si>
    <t>Citrus limon/Citrus aurantiifolia</t>
  </si>
  <si>
    <t>Lemon, Kagoji, raw</t>
  </si>
  <si>
    <t>Mango</t>
  </si>
  <si>
    <t>আমের চাটনি</t>
  </si>
  <si>
    <t>Mangifera indica</t>
  </si>
  <si>
    <t>80025; 80026</t>
  </si>
  <si>
    <t xml:space="preserve">Mango, Fazli, orange flesh, ripe, raw; Mango, Langra, yellow flesh, ripe, raw; </t>
  </si>
  <si>
    <t>Vitamin A-rich fruits</t>
  </si>
  <si>
    <t>Ceylon olive</t>
  </si>
  <si>
    <t>জলপাইয়ের আঁচার</t>
  </si>
  <si>
    <t>Elaeocarpus serratus</t>
  </si>
  <si>
    <t>Elephant apple</t>
  </si>
  <si>
    <t>চালতার আচার</t>
  </si>
  <si>
    <t>Dillenia indica</t>
  </si>
  <si>
    <t>Elephant apple, ripe, raw</t>
  </si>
  <si>
    <t>Boroi</t>
  </si>
  <si>
    <t>বড়ইয়ের আঁচার</t>
  </si>
  <si>
    <t>Ziziphus mauritiana</t>
  </si>
  <si>
    <t>Jujube, raw</t>
  </si>
  <si>
    <t>Tamarind</t>
  </si>
  <si>
    <t>তেতুলের আচার</t>
  </si>
  <si>
    <t>Tamarindus indica</t>
  </si>
  <si>
    <t>Tamarind, pulp, sweet, ripe, raw</t>
  </si>
  <si>
    <t>Raisins</t>
  </si>
  <si>
    <t>কিসমিস</t>
  </si>
  <si>
    <t>Vitis vinifera</t>
  </si>
  <si>
    <t>Raisins, dried</t>
  </si>
  <si>
    <t>Pineapple</t>
  </si>
  <si>
    <t>আনারস</t>
  </si>
  <si>
    <t>Ananas comosus</t>
  </si>
  <si>
    <t>80037;  80038</t>
  </si>
  <si>
    <t>Pineapple, Joldugee, ripe, raw; Pineapple, ripe, raw</t>
  </si>
  <si>
    <t>Mango green (unripe)</t>
  </si>
  <si>
    <t>কাঁচা আম</t>
  </si>
  <si>
    <t>Mango, green, raw</t>
  </si>
  <si>
    <t>Watermelon</t>
  </si>
  <si>
    <t>তরমুজ</t>
  </si>
  <si>
    <t>Citrullus lanatus</t>
  </si>
  <si>
    <t>Watermelon, ripe, raw</t>
  </si>
  <si>
    <t>Jackfruit</t>
  </si>
  <si>
    <t>কাঁঠাল</t>
  </si>
  <si>
    <t>Jackfruit, ripe, raw</t>
  </si>
  <si>
    <t>Coconut</t>
  </si>
  <si>
    <t>নারকেল</t>
  </si>
  <si>
    <t>Cocos nucifera</t>
  </si>
  <si>
    <t>Coconut, mature kernel</t>
  </si>
  <si>
    <t>Sweet turnip / Kesaur /Jjicama</t>
  </si>
  <si>
    <t>শাঁকআলু/কেশর</t>
  </si>
  <si>
    <t>Pachyrhizus erosus</t>
  </si>
  <si>
    <t>Turnip, raw</t>
  </si>
  <si>
    <t>Banana</t>
  </si>
  <si>
    <t>কলা</t>
  </si>
  <si>
    <t>Musa acuminata</t>
  </si>
  <si>
    <t>Banana, Sagar, ripe, raw</t>
  </si>
  <si>
    <t>Indian gooseberry (amla)</t>
  </si>
  <si>
    <t>আমলকী</t>
  </si>
  <si>
    <t> Emblic/Phyllanthus emblica</t>
  </si>
  <si>
    <t>Emblic, raw</t>
  </si>
  <si>
    <t>Lychee</t>
  </si>
  <si>
    <t>লিচু</t>
  </si>
  <si>
    <t>Litchi chinensis</t>
  </si>
  <si>
    <t>Lychee, raw</t>
  </si>
  <si>
    <t>Dates, dried</t>
  </si>
  <si>
    <t>খেজুর</t>
  </si>
  <si>
    <t>Dates, combined species, dried</t>
  </si>
  <si>
    <t>Pomegranate</t>
  </si>
  <si>
    <t>ডালিম</t>
  </si>
  <si>
    <t>Punica granatum</t>
  </si>
  <si>
    <t>Pomegranate, ripe, with seed, raw</t>
  </si>
  <si>
    <t>Water chestnut / Water caltrops</t>
  </si>
  <si>
    <t>পানিফল</t>
  </si>
  <si>
    <t>Eleocharis dulcis</t>
  </si>
  <si>
    <t>Water Chestnut</t>
  </si>
  <si>
    <t>Grapes</t>
  </si>
  <si>
    <t>আঙুর</t>
  </si>
  <si>
    <t>Grapes, green, raw</t>
  </si>
  <si>
    <t>Indian plum</t>
  </si>
  <si>
    <t>কুল/আপেল কুল</t>
  </si>
  <si>
    <t>Indian jujube/Ziziphus mauritiana</t>
  </si>
  <si>
    <t>Orange raw</t>
  </si>
  <si>
    <t>কমলা/মাল্টা</t>
  </si>
  <si>
    <t>Citrus sinensis</t>
  </si>
  <si>
    <t>Orange, raw</t>
  </si>
  <si>
    <t>Orange ripe</t>
  </si>
  <si>
    <t>Orange, Sweet, ripe, raw</t>
  </si>
  <si>
    <t>Apple</t>
  </si>
  <si>
    <t>আপেল</t>
  </si>
  <si>
    <t>Malus domestica</t>
  </si>
  <si>
    <t>Apple, with skin, raw</t>
  </si>
  <si>
    <t>Custard apple</t>
  </si>
  <si>
    <t>আতা</t>
  </si>
  <si>
    <t>Annona squamosa</t>
  </si>
  <si>
    <t>Custard apple, raw</t>
  </si>
  <si>
    <t>Jambu/rose apple</t>
  </si>
  <si>
    <t>জামরুল</t>
  </si>
  <si>
    <t>Jamrul/Syzygium jambos</t>
  </si>
  <si>
    <t>Jambos, raw</t>
  </si>
  <si>
    <t>Pummelo</t>
  </si>
  <si>
    <t>জাম্বুরা</t>
  </si>
  <si>
    <t>Pomelo/Citrus maxima</t>
  </si>
  <si>
    <t>Pomelo, raw</t>
  </si>
  <si>
    <t>Papaya green (unripe)</t>
  </si>
  <si>
    <t>কাঁচা পেঁপে</t>
  </si>
  <si>
    <t>Papaya (ripe)</t>
  </si>
  <si>
    <t>পাকা পেঁপে</t>
  </si>
  <si>
    <t>Papaya, ripe, raw</t>
  </si>
  <si>
    <t>Guava</t>
  </si>
  <si>
    <t>পেয়ারা</t>
  </si>
  <si>
    <t>Psidium guajava</t>
  </si>
  <si>
    <t>Guava, green, raw</t>
  </si>
  <si>
    <t>Sugar cane</t>
  </si>
  <si>
    <t>আখ/গেন্ডারি</t>
  </si>
  <si>
    <t>Saccharum officinarum</t>
  </si>
  <si>
    <t>Sugar cane Juice</t>
  </si>
  <si>
    <t>Java Plum</t>
  </si>
  <si>
    <t>জাম</t>
  </si>
  <si>
    <t>Jambolan/Syzygium cumini</t>
  </si>
  <si>
    <t>Jambolan, raw</t>
  </si>
  <si>
    <t>Golden apple</t>
  </si>
  <si>
    <t>বেল</t>
  </si>
  <si>
    <t>Spondias dulcis</t>
  </si>
  <si>
    <t>Palmyra palm</t>
  </si>
  <si>
    <t>তাল</t>
  </si>
  <si>
    <t>Borassus flabellifer</t>
  </si>
  <si>
    <t>Palmyra palm, pulp, orange flesh, ripe, raw</t>
  </si>
  <si>
    <t>Hog Plum</t>
  </si>
  <si>
    <t>আমড়া</t>
  </si>
  <si>
    <t>Spondias mombin</t>
  </si>
  <si>
    <t>Hog plum, raw</t>
  </si>
  <si>
    <t>Carambola</t>
  </si>
  <si>
    <t>কামরাঙ্গা</t>
  </si>
  <si>
    <t>Rambai</t>
  </si>
  <si>
    <t>লটকন ফল</t>
  </si>
  <si>
    <t>Baccaurea motleyana</t>
  </si>
  <si>
    <t>Java/Wax apple</t>
  </si>
  <si>
    <t>পাইনাল ফল / জামরুল</t>
  </si>
  <si>
    <t>Syzygium samarangense</t>
  </si>
  <si>
    <t>Java apple, raw</t>
  </si>
  <si>
    <t>Velvet apple</t>
  </si>
  <si>
    <t>গাব</t>
  </si>
  <si>
    <t>Diospyros blancoi</t>
  </si>
  <si>
    <t>Persimmon, ripe, raw</t>
  </si>
  <si>
    <t>Palmyra palm young seed</t>
  </si>
  <si>
    <t>তালের শাস</t>
  </si>
  <si>
    <t>Palmyra palm, cotyledon, raw</t>
  </si>
  <si>
    <t>Wood apple</t>
  </si>
  <si>
    <t>কদবেলের চাটনি</t>
  </si>
  <si>
    <t>Indian bael
Plant/ Aegle marmelos</t>
  </si>
  <si>
    <t>Woodapple, ripe, raw</t>
  </si>
  <si>
    <t>Lacucha / Lakoocha/ Monkey-Jack</t>
  </si>
  <si>
    <t>ডেউয়া</t>
  </si>
  <si>
    <t>Artocarpus lakoocha</t>
  </si>
  <si>
    <t>Monkey-jack, yellowish-orange flesh, raw</t>
  </si>
  <si>
    <t>Melon</t>
  </si>
  <si>
    <t>বাঙ্গি</t>
  </si>
  <si>
    <t>Cucumis melo</t>
  </si>
  <si>
    <t>Melon, Futi, orange flesh, ripe, raw</t>
  </si>
  <si>
    <t>Sapodilla</t>
  </si>
  <si>
    <t>সফেদা</t>
  </si>
  <si>
    <t xml:space="preserve"> Manilkara zapota</t>
  </si>
  <si>
    <t>09313</t>
  </si>
  <si>
    <t>SAPODILLA,RAW</t>
  </si>
  <si>
    <t>Dragon fruit</t>
  </si>
  <si>
    <t>ড্রাগন ফল</t>
  </si>
  <si>
    <t>Hylocereus undatus</t>
  </si>
  <si>
    <t>Strawberry</t>
  </si>
  <si>
    <t>স্ট্রবেরী</t>
  </si>
  <si>
    <t xml:space="preserve"> Fragaria ananassa</t>
  </si>
  <si>
    <t>Garden Red Plum</t>
  </si>
  <si>
    <t>আলু বোখরা</t>
  </si>
  <si>
    <t>Prunus domestica</t>
  </si>
  <si>
    <t>Bengal currant (Carissa carandas)</t>
  </si>
  <si>
    <t>করমচা</t>
  </si>
  <si>
    <t>Carissa carandas</t>
  </si>
  <si>
    <t>E032</t>
  </si>
  <si>
    <t>Karon da fruit (Carissa ca ran das)</t>
  </si>
  <si>
    <t>Pear</t>
  </si>
  <si>
    <t>নাসপাতি</t>
  </si>
  <si>
    <t>Pyrus communis/Pyrus pyrifolia</t>
  </si>
  <si>
    <t>Asian pears, raw</t>
  </si>
  <si>
    <t>Sugar</t>
  </si>
  <si>
    <t>চিনি (Chini)</t>
  </si>
  <si>
    <t>Sugar, white</t>
  </si>
  <si>
    <t>Chickpea flour</t>
  </si>
  <si>
    <t>লাড্ডু</t>
  </si>
  <si>
    <t>CHICKPEA FLOUR (BESAN)</t>
  </si>
  <si>
    <t>Vermicelli</t>
  </si>
  <si>
    <t>সেমাই (Semai)</t>
  </si>
  <si>
    <t>Vermicelli, wheat, raw</t>
  </si>
  <si>
    <t>Jaggery</t>
  </si>
  <si>
    <t>গুড় (Gur)</t>
  </si>
  <si>
    <t>Saccharum officinarum L.</t>
  </si>
  <si>
    <t>Jaggery, sugarcane, solid</t>
  </si>
  <si>
    <t>Semolina</t>
  </si>
  <si>
    <t>সুজি (Suji)</t>
  </si>
  <si>
    <t>Triticum (wheat varieties)</t>
  </si>
  <si>
    <t>Semolina, wheat, raw</t>
  </si>
  <si>
    <t>Rock salt</t>
  </si>
  <si>
    <t>Iodised salt</t>
  </si>
  <si>
    <t xml:space="preserve"> লবণ (Labon)</t>
  </si>
  <si>
    <t>Salt, table, iodized</t>
  </si>
  <si>
    <t>winter melon</t>
  </si>
  <si>
    <t>চালকুমড়া (Chalkumra)</t>
  </si>
  <si>
    <t>Benincasa hispida</t>
  </si>
  <si>
    <t>Brown chickpea</t>
  </si>
  <si>
    <t>বাদামি ছোলা (Badami Chola)</t>
  </si>
  <si>
    <t>Bengal gram, brown, small</t>
  </si>
  <si>
    <t>Sago seeds</t>
  </si>
  <si>
    <t>সাবুদানা (Sabudana)</t>
  </si>
  <si>
    <t>Metroxylon sagu</t>
  </si>
  <si>
    <t>Custard</t>
  </si>
  <si>
    <t>কাস্টার্ড (Custard)</t>
  </si>
  <si>
    <t>EGG CUSTARDS,DRY MIX</t>
  </si>
  <si>
    <t>sweet potato</t>
  </si>
  <si>
    <t>মিষ্টি আলু (Misti Alu)</t>
  </si>
  <si>
    <t>Ipomoea batatas</t>
  </si>
  <si>
    <t>50006; 50007; 50008; 50009</t>
  </si>
  <si>
    <t>Sweet potato, Komola Sundori, orange flesh, raw; Sweet potato, pale-yellow flesh, raw; Sweet potato, skin purple, flesh pale-yellow, raw (without skin); Sweet potato, white flesh, raw</t>
  </si>
  <si>
    <t xml:space="preserve"> minced meat</t>
  </si>
  <si>
    <t>কিমা (Kima)</t>
  </si>
  <si>
    <t>Beef, mince, lean, raw</t>
  </si>
  <si>
    <t>Wheat</t>
  </si>
  <si>
    <t>গম (Gom)</t>
  </si>
  <si>
    <t>Triticum spp.</t>
  </si>
  <si>
    <t>Wheat, whole, raw</t>
  </si>
  <si>
    <t>Barley</t>
  </si>
  <si>
    <t>যব (Job)</t>
  </si>
  <si>
    <t>Hordeum vulgare</t>
  </si>
  <si>
    <t>Barley, whole-grain, raw</t>
  </si>
  <si>
    <t>Honey</t>
  </si>
  <si>
    <t>মধু (Modhu)</t>
  </si>
  <si>
    <t>Maize</t>
  </si>
  <si>
    <t>ভুট্টা (Bhutta)</t>
  </si>
  <si>
    <t>Maize/corn, yellow, dried, raw</t>
  </si>
  <si>
    <t>lentil flour</t>
  </si>
  <si>
    <t>ডালের আটা (Daler Ata)</t>
  </si>
  <si>
    <t>Skunk vine (Bon badari leaf)</t>
  </si>
  <si>
    <t>গন্ধবহুলা (Gandhabahula)</t>
  </si>
  <si>
    <t>Paederia foetida</t>
  </si>
  <si>
    <t>Peas</t>
  </si>
  <si>
    <t>মটর (Motor)</t>
  </si>
  <si>
    <t>Almonds</t>
  </si>
  <si>
    <t>বাদাম (Badam)</t>
  </si>
  <si>
    <t>Prunus dulcis</t>
  </si>
  <si>
    <t>Almond</t>
  </si>
  <si>
    <t>Cashews</t>
  </si>
  <si>
    <t>কাজু বাদাম (Kaju Badam)</t>
  </si>
  <si>
    <t>Anacardium occidentale</t>
  </si>
  <si>
    <t>Cashew nuts, raw</t>
  </si>
  <si>
    <t>Sweetcorn</t>
  </si>
  <si>
    <t>মিষ্টি ভুট্টা (Misti Bhutta)</t>
  </si>
  <si>
    <t>Zea mays var. saccharata</t>
  </si>
  <si>
    <t>Sweetcorn, yellow, on-the cob, raw</t>
  </si>
  <si>
    <t>27.36‬</t>
  </si>
  <si>
    <t>Clove</t>
  </si>
  <si>
    <t>লবঙ্গ (Labango)</t>
  </si>
  <si>
    <t>Syzygium aromaticum</t>
  </si>
  <si>
    <t>Cloves, dried</t>
  </si>
  <si>
    <t>Black pepper</t>
  </si>
  <si>
    <t>গোলমরিচ (Golmorich)</t>
  </si>
  <si>
    <t>Piper nigrum</t>
  </si>
  <si>
    <t>Pepper, black</t>
  </si>
  <si>
    <t>Coconut water</t>
  </si>
  <si>
    <t>ডাবের পানি (Daber Pani)</t>
  </si>
  <si>
    <t>Coconut Water</t>
  </si>
  <si>
    <t>Other beverages and foods</t>
  </si>
  <si>
    <t>Mango juice (100%)</t>
  </si>
  <si>
    <t>আমের রস (Amer Ros)</t>
  </si>
  <si>
    <t>Water melon juice (100%)</t>
  </si>
  <si>
    <t>তরমুজের রস (Taromujer Ros)</t>
  </si>
  <si>
    <t>Sugar cane juice (100%)</t>
  </si>
  <si>
    <t>আখের রস (Akher Ros)</t>
  </si>
  <si>
    <t>Date tree-juice (100%)</t>
  </si>
  <si>
    <t>খেজুরের রস (Khejurer Ros)</t>
  </si>
  <si>
    <t>Coffee</t>
  </si>
  <si>
    <t>কফি (Kofi)</t>
  </si>
  <si>
    <t>Coffee, powder</t>
  </si>
  <si>
    <t>Pomegranate juice (100%)</t>
  </si>
  <si>
    <t>বেদানার রস (Bedanar Ros)</t>
  </si>
  <si>
    <t>Pomegranate juice, bottled</t>
  </si>
  <si>
    <t>Orange juice (100%)</t>
  </si>
  <si>
    <t>কমলা লেবুর রস (Komola Lebur Ros)</t>
  </si>
  <si>
    <t>Orange juice, raw (unsweetened)</t>
  </si>
  <si>
    <t>Grape juice (100%)</t>
  </si>
  <si>
    <t>আঙ্গুরের রস (Angurer Ros)</t>
  </si>
  <si>
    <t>Grapefruit juice, red, not fortified, not from concentrate, refrigerated</t>
  </si>
  <si>
    <t>Butter milk</t>
  </si>
  <si>
    <t>ঘোল (Ghol)</t>
  </si>
  <si>
    <t>Buttermilk, low fat</t>
  </si>
  <si>
    <t>Powdered milk - whole</t>
  </si>
  <si>
    <t>গুঁড়া দুধ (Gura Dudh)</t>
  </si>
  <si>
    <t>Milk, cow, powder, whole</t>
  </si>
  <si>
    <t>Powdered milk - skimmed</t>
  </si>
  <si>
    <t>Milk, cow, powder, skimmed</t>
  </si>
  <si>
    <t>Mint</t>
  </si>
  <si>
    <t>পুদিনা (Pudina)</t>
  </si>
  <si>
    <t>Mentha spp.</t>
  </si>
  <si>
    <t>Spearmint leaves, fresh</t>
  </si>
  <si>
    <t>Lettuce</t>
  </si>
  <si>
    <t>লেটুস (Letus)</t>
  </si>
  <si>
    <t>Lactuca sativa</t>
  </si>
  <si>
    <t>C025</t>
  </si>
  <si>
    <t>Lettuce (Lactuca sativa)</t>
  </si>
  <si>
    <t>Palm oil</t>
  </si>
  <si>
    <t>পাম তেল (Pam Tel)</t>
  </si>
  <si>
    <t>Red palm oil</t>
  </si>
  <si>
    <t>Mustard seed oil</t>
  </si>
  <si>
    <t>সরিষার তেল (Sorishar Tel)</t>
  </si>
  <si>
    <t>Mustard oil</t>
  </si>
  <si>
    <t>Soyabean oil ("open")</t>
  </si>
  <si>
    <t>সয়াবিন তেল (Soyabin Tel)</t>
  </si>
  <si>
    <t>Soya oil</t>
  </si>
  <si>
    <t>Fortified soyabean oil ("bottled")</t>
  </si>
  <si>
    <t>বোতলজাত সয়াবিন তেল</t>
  </si>
  <si>
    <t>Oil, soybean</t>
  </si>
  <si>
    <t xml:space="preserve">Glucose </t>
  </si>
  <si>
    <t>গুলুকোজ ডি</t>
  </si>
  <si>
    <t>Mixed fruit juice</t>
  </si>
  <si>
    <t>ফলের জুস</t>
  </si>
  <si>
    <t xml:space="preserve">Turmeric </t>
  </si>
  <si>
    <t>হলুদ গুড়া</t>
  </si>
  <si>
    <t>Curcuma longa</t>
  </si>
  <si>
    <t>Turmeric, dried</t>
  </si>
  <si>
    <t>Sunflower oil</t>
  </si>
  <si>
    <t>সূর্যমুখীর তেল</t>
  </si>
  <si>
    <t>Helianthus annuus</t>
  </si>
  <si>
    <t>T012</t>
  </si>
  <si>
    <t>Rice bran oil</t>
  </si>
  <si>
    <t>রাইস ব্যান তেল</t>
  </si>
  <si>
    <t>T008</t>
  </si>
  <si>
    <t>Sesame oil</t>
  </si>
  <si>
    <t>তিলের তেল</t>
  </si>
  <si>
    <t>Olive oil</t>
  </si>
  <si>
    <t>অলিভ তেল</t>
  </si>
  <si>
    <t>Olea europaea</t>
  </si>
  <si>
    <t>Oil, olive, extra virgin</t>
  </si>
  <si>
    <t>Vegetable ghee / Banaspati ghee/Dalda</t>
  </si>
  <si>
    <t>বনস্পতি ঘি/ডালডা</t>
  </si>
  <si>
    <t>Ghee, vegetable</t>
  </si>
  <si>
    <t>Ghee (cow or buffalo)</t>
  </si>
  <si>
    <t>ঘি</t>
  </si>
  <si>
    <t>Ghee, cow</t>
  </si>
  <si>
    <t>Spice (Maggi Noodlespacket insert)</t>
  </si>
  <si>
    <t>মসলা (প্যাকেটের)</t>
  </si>
  <si>
    <t>Maggi Noodles</t>
  </si>
  <si>
    <t>নুডলস (ম্যাগি)</t>
  </si>
  <si>
    <t>Choline (mg)</t>
  </si>
  <si>
    <t>Capric (C10:0) (mg)</t>
  </si>
  <si>
    <t>Lauric (C12:0) (mg)</t>
  </si>
  <si>
    <t>Myristic (C14:0) (mg)</t>
  </si>
  <si>
    <t>Palmitic (C16:0) (mg)</t>
  </si>
  <si>
    <t>Palmitoleic (C16:1)(mg)</t>
  </si>
  <si>
    <t>Oleic (C18:1n9)(mg)</t>
  </si>
  <si>
    <t>Eicosenoic (C20:1n9)(mg)</t>
  </si>
  <si>
    <t>Erucic (C22:1n9)(mg)</t>
  </si>
  <si>
    <t>Linoleic (C18:2n6)(mg)</t>
  </si>
  <si>
    <t>Α-Linolenic (C18:3n3) (mg)</t>
  </si>
  <si>
    <t>Docosa pentaenoic (C22:5n3) (mg)- DPA</t>
  </si>
  <si>
    <t>Arachidonic(C20:4n6) (mg)</t>
  </si>
  <si>
    <t>Stearic (C18:0)(mg)</t>
  </si>
  <si>
    <t>Eicosapentaenoic (C20:5n3)(mg) -EPA</t>
  </si>
  <si>
    <t>Docosahexaenoic(C22:6n3)(mg)-DHA</t>
  </si>
  <si>
    <t>Iodine (µg)</t>
  </si>
  <si>
    <t>00000</t>
  </si>
  <si>
    <t>Water</t>
  </si>
  <si>
    <t>Rice, raw</t>
  </si>
  <si>
    <t>BD22, FNDDS, IN17</t>
  </si>
  <si>
    <t>10024; 56205008; A015</t>
  </si>
  <si>
    <t xml:space="preserve">Rice, white, sunned, aromatic, raw </t>
  </si>
  <si>
    <t>Tr</t>
  </si>
  <si>
    <t>BD22, IN17</t>
  </si>
  <si>
    <t>70002; SR 170919</t>
  </si>
  <si>
    <t>cardamom; Spices, cardamom</t>
  </si>
  <si>
    <t>70001; SR  170917</t>
  </si>
  <si>
    <t>Bay leaf, dried; Spices, bay leaf</t>
  </si>
  <si>
    <t>BD22; FNDDS</t>
  </si>
  <si>
    <t>70003; SR 171319; 27111400</t>
  </si>
  <si>
    <t>Chilli, red, dry; Spices, chili powder</t>
  </si>
  <si>
    <t xml:space="preserve">0.199	</t>
  </si>
  <si>
    <t>70008; SR 170922</t>
  </si>
  <si>
    <t>Coriander seed, dry; Spices, coriander seed</t>
  </si>
  <si>
    <t>70004; SR 171320</t>
  </si>
  <si>
    <t>Cinnamon, ground; Spices, cinnamon, ground</t>
  </si>
  <si>
    <t>70011; G026</t>
  </si>
  <si>
    <t>Fenugreek seeds; Fenugreek seeds (Trigonella foenum graecum)</t>
  </si>
  <si>
    <t>70010; SR 171323</t>
  </si>
  <si>
    <t>Fennel seeds; Spices, fennel seed</t>
  </si>
  <si>
    <t>70009; G025</t>
  </si>
  <si>
    <t>Cumin seeds; Cumin seeds (Cuminum cyminum)</t>
  </si>
  <si>
    <t>Label Information</t>
  </si>
  <si>
    <t>https://www.nobomela.com/index.php?id_product=719&amp;controller=product</t>
  </si>
  <si>
    <t>Radhuni Fish Curry Masala100gm</t>
  </si>
  <si>
    <t/>
  </si>
  <si>
    <t>BD22; SR Legacy, FNDDS; IN17</t>
  </si>
  <si>
    <t>20003; SR  173734; 41101990; B003</t>
  </si>
  <si>
    <t>Black gram, dehulled, dried raw; Beans, black, mature seeds, raw</t>
  </si>
  <si>
    <t>10037; A014; 56205000</t>
  </si>
  <si>
    <t>Rice, BR-28, boiled* (without salt); Rice, parboiled, milled (Oryza sativa )</t>
  </si>
  <si>
    <t>10023; A012</t>
  </si>
  <si>
    <t>Rice, puffed, salted; Rice puffed (Oryza sativa ); Rice puffed (Oryza sativa )</t>
  </si>
  <si>
    <t>170018; SR 169714</t>
  </si>
  <si>
    <t>Rice, flour, glutinous, white; 	Rice flour, white, unenriched</t>
  </si>
  <si>
    <t>BD22; IN17</t>
  </si>
  <si>
    <t>10031; SR 169761; A018</t>
  </si>
  <si>
    <t>Wheat, flour, white; Wheat flour, white, all-purpose, unenriched</t>
  </si>
  <si>
    <t>10030; A020</t>
  </si>
  <si>
    <t>Wheat flour, brown, whole grain, raw; Wheat, whole (Triticum aestivum)</t>
  </si>
  <si>
    <t>10004; SR  169696</t>
  </si>
  <si>
    <t>Maize/corn flour, whole, white; Corn flour, masa, unenriched, white</t>
  </si>
  <si>
    <t>BD22; IN17, FNDDS</t>
  </si>
  <si>
    <t>20002; B002; 41301990</t>
  </si>
  <si>
    <t>Bengal gram, whole dried, raw; Bengal gram, whole (Cicer arietinum)</t>
  </si>
  <si>
    <t>BD22; SR Legacy; FNDDS; IN17; cofid</t>
  </si>
  <si>
    <t>20009; SR 174284; 41304970; B013; 13-657</t>
  </si>
  <si>
    <t>Lentil, dried, raw; Lentils, pink or red, raw</t>
  </si>
  <si>
    <t>20007; B010</t>
  </si>
  <si>
    <t>Green gram, split dried, raw; Green gram, dal (Vigna radiata)</t>
  </si>
  <si>
    <t>Grass pea, split dried, raw; Khesari yellow lentil (grass pea) leaves</t>
  </si>
  <si>
    <t>BD22; IN17; FNDDS; cofid</t>
  </si>
  <si>
    <t>50005; F006; 71000100; 13-489</t>
  </si>
  <si>
    <t>Potato, Diamond, raw; Potato, brown skin, big (Solanum tuberosum)</t>
  </si>
  <si>
    <t>60008; D052</t>
  </si>
  <si>
    <t>Jackfruit seeds, raw; Jack fruit, seed, mature (Artocarpus heterophyllus)</t>
  </si>
  <si>
    <t>BD22; IN17; FNDDS</t>
  </si>
  <si>
    <t>40003; C003; 72125100</t>
  </si>
  <si>
    <t>Amaranth leaves, red, raw; Amaranth leaves, red (Amaranthus gangeticus)</t>
  </si>
  <si>
    <t>Taro leaves (green)</t>
  </si>
  <si>
    <t>BD22; SR legacy; IN17</t>
  </si>
  <si>
    <t>40013; SR 168487; C018</t>
  </si>
  <si>
    <t>Colocasia leaves, green, raw; Taro leaves, raw</t>
  </si>
  <si>
    <t>Taro leaves (black)</t>
  </si>
  <si>
    <t>40012; SR 168487; D040</t>
  </si>
  <si>
    <t>Colocasia leaves, black, raw;Taro leaves, raw</t>
  </si>
  <si>
    <t>BD22; IN17; FNDDS; cofid; 13-572</t>
  </si>
  <si>
    <t>40026; C033; 72125100</t>
  </si>
  <si>
    <t>Spinach, raw; Spinach (Spinacia oleracea)</t>
  </si>
  <si>
    <t>40021; C007</t>
  </si>
  <si>
    <t>Indian spinach, raw; Basel la leaves (Basella alba)</t>
  </si>
  <si>
    <t>40031; SR  169301</t>
  </si>
  <si>
    <t>Water spinach, raw; 	Water convolvulus,raw</t>
  </si>
  <si>
    <t>40023; C030</t>
  </si>
  <si>
    <t>Pumpkin leaves, raw; Pumpkin leaves, tender (Cucurbita maxima)</t>
  </si>
  <si>
    <t>40004; C006</t>
  </si>
  <si>
    <t>Amaranth leaves, spiney, raw; Amaranth spined, leaves, red and green mix (Amaranthus spinosus)</t>
  </si>
  <si>
    <t>40022; SR  168419</t>
  </si>
  <si>
    <t>Jute leaves, raw; Jute, potherb, raw</t>
  </si>
  <si>
    <t>Scientific paper</t>
  </si>
  <si>
    <t>Mehtap Özer, and Mine Aksoy. “Mineral Composition and Nutritional Properties of Malva Neglecta and Malvella Sherardiana Consumed as Vegetable in Central Black Sea Region of Turkey.” Turkish Journal of Food and Agriculture Sciences, vol. 1, no. 1, 30 June 2019, pp. 18–23. Accessed 12 Dec. 2024.</t>
  </si>
  <si>
    <t>Malva neglecta</t>
  </si>
  <si>
    <t>170007; C008</t>
  </si>
  <si>
    <t>Bathua leaves; Bathua leaves (Chenopodium album)</t>
  </si>
  <si>
    <t>170012; C026</t>
  </si>
  <si>
    <t>Mustard leaves; Mustard leaves (Brassica juncea)</t>
  </si>
  <si>
    <t xml:space="preserve">40027; SR 169303 </t>
  </si>
  <si>
    <t>Sweet potato leaves, raw; Sweet potato leaves, raw</t>
  </si>
  <si>
    <t>40024; C031</t>
  </si>
  <si>
    <t>Radish leaves, raw; Radish leaves (Raphanus sativus)</t>
  </si>
  <si>
    <t>70006; G009</t>
  </si>
  <si>
    <t>Coriander leaves, raw; Coriander leaves (Coriandrum sativum)</t>
  </si>
  <si>
    <t>N</t>
  </si>
  <si>
    <t>40005; C002</t>
  </si>
  <si>
    <t>Amaranth, leaves, green, raw; Amaranth leaves, green (Amaranthus gangeticus)</t>
  </si>
  <si>
    <t>BD22; SR legacy; FNDDS; cofid</t>
  </si>
  <si>
    <t>40032; SR 170068; 72130100; 13-669</t>
  </si>
  <si>
    <t>Watercress, raw; Watercress, raw</t>
  </si>
  <si>
    <t>30005; D031</t>
  </si>
  <si>
    <t>BD22; IN17; cofid; FNDDS</t>
  </si>
  <si>
    <t>30012; D043; 13-523; 75111000</t>
  </si>
  <si>
    <t>Cucumber, Elongate, peeled, raw; Cucumber, green, elongate (Cucumis sativus)</t>
  </si>
  <si>
    <t>30030; D065</t>
  </si>
  <si>
    <t>Pumpkin; Pumpkin, green, cylindrical (Cucurbita maxima)</t>
  </si>
  <si>
    <t>30030; D066</t>
  </si>
  <si>
    <t>Pumpkin; Pumpkin, orange, round (Cucurbita maxima)</t>
  </si>
  <si>
    <t>30016; D001</t>
  </si>
  <si>
    <t>Gourd, ash, raw; Ash gourd (Benincasa hispida)</t>
  </si>
  <si>
    <t>20012; B024</t>
  </si>
  <si>
    <t>Soybean, dried, raw; Soybean, brown (Glycine max)</t>
  </si>
  <si>
    <t>30025; D056; 75220011</t>
  </si>
  <si>
    <t>Okra/ladies finger, raw; Ladies finger (Abelmoschus esculentus)</t>
  </si>
  <si>
    <t>30019; D060</t>
  </si>
  <si>
    <t>Gourd, pointed, raw; Parwar (Trichosanthes dioica)</t>
  </si>
  <si>
    <t>30018; D007</t>
  </si>
  <si>
    <t>Gourd, bottle, raw; Bottle gourd, elongate, pale green (Lagenaria vulgaris)</t>
  </si>
  <si>
    <t>30022; D069</t>
  </si>
  <si>
    <t>Gourd, sponge, raw; Ridge gourd, smooth skin (Luffa acutangula)</t>
  </si>
  <si>
    <t>170004; D051</t>
  </si>
  <si>
    <t>Jack fruit, raw; Jack fruit, raw (Artocarpus heterophyllus)</t>
  </si>
  <si>
    <t>SR Legacy; FNDDS</t>
  </si>
  <si>
    <t> 169961;  75101800</t>
  </si>
  <si>
    <t>Beans, snap, green, raw</t>
  </si>
  <si>
    <t>BD22; IN!7, cofid</t>
  </si>
  <si>
    <t>30002; D003;  13-112</t>
  </si>
  <si>
    <t>Bean, scarlet runner, raw;Bean scarlet, tender (Phaseolus coccineus)</t>
  </si>
  <si>
    <t>IN17; FNDDS; IN17</t>
  </si>
  <si>
    <t>B020; 41105990; B020</t>
  </si>
  <si>
    <t>BD22; FNDDS; IN17</t>
  </si>
  <si>
    <t>30029; D063; 63107010; D063</t>
  </si>
  <si>
    <t>Plantain, raw; Plantain, green (Musa x paradisiaca)</t>
  </si>
  <si>
    <t>30021; D070</t>
  </si>
  <si>
    <t>30032; D041</t>
  </si>
  <si>
    <t>Taro, stem, green, raw; Colocasia, stem, green (Colocasia esculenta)</t>
  </si>
  <si>
    <t>50001; F004</t>
  </si>
  <si>
    <t>Colocasia/Taro, corm, raw; Colocasia (Colocasia esculenta)</t>
  </si>
  <si>
    <t>32190</t>
  </si>
  <si>
    <t>Taro leaf / Coco yam leaf / Arum leaves</t>
  </si>
  <si>
    <t xml:space="preserve">50004; sr 168432 </t>
  </si>
  <si>
    <t>Giant taro, corm, raw; Mountain yam, hawaii, raw</t>
  </si>
  <si>
    <t>50010; F018</t>
  </si>
  <si>
    <t>Yam, tuber, raw; Yam, ordinary (Amorphophallus sp.)</t>
  </si>
  <si>
    <t>170006; D062</t>
  </si>
  <si>
    <t>Plantain, flower; Plantain, flower (Musa x paradisiaca)</t>
  </si>
  <si>
    <t>50003; F017</t>
  </si>
  <si>
    <t>Elephant foot, corm, raw; Yam, elephant (Amorphophallus campanulatus)</t>
  </si>
  <si>
    <t>30014; D046</t>
  </si>
  <si>
    <t>Drumstick, pods, raw; Drumstick (Moringa oleifera)</t>
  </si>
  <si>
    <t>30034; D075</t>
  </si>
  <si>
    <t>Tomato, red, ripe, raw; Tomato, ripe, hybrid (Solanum lycopersicum)</t>
  </si>
  <si>
    <t>30017; D004</t>
  </si>
  <si>
    <t>Gourd, bitter, raw; Bitter gourd, jagged, teeth ridges, elongate (Momordica charantia)</t>
  </si>
  <si>
    <t>30007; C013</t>
  </si>
  <si>
    <t>Cabbage, raw; Cabbage, Chinese (Brassica rupa)</t>
  </si>
  <si>
    <t>Gourd, teasle, ratea</t>
  </si>
  <si>
    <t> 170071</t>
  </si>
  <si>
    <t>Yam, raw</t>
  </si>
  <si>
    <t>“Effect of Some Antinutritional Factors on the Bioavailability of Minerals along with the Study of Chemical Constituents &amp; Antioxidant Property in Typhonium trilobatum &amp; Spinacia oleracea.” (2015).</t>
  </si>
  <si>
    <t>Typhonium trilobatum</t>
  </si>
  <si>
    <t>60007; H012</t>
  </si>
  <si>
    <t>Groundnuts/ Peanut, raw; Ground nut (Arachis hypogaea)</t>
  </si>
  <si>
    <t>Nigella</t>
  </si>
  <si>
    <t>USDA Branded</t>
  </si>
  <si>
    <t>ORGANIC BLACK SEEDS ANCIENT SUPER SEED NIGELLA SATIVA</t>
  </si>
  <si>
    <t>30015; G011</t>
  </si>
  <si>
    <t>Garlic, raw; Garlic, big clove (Allium sativum)</t>
  </si>
  <si>
    <t>70003; G022</t>
  </si>
  <si>
    <t>Chilli, red, dry; Chillies, red (Capsicum annum)</t>
  </si>
  <si>
    <t>40017; C019</t>
  </si>
  <si>
    <t>Drumstick, leaves, raw; Drumstick leaves (Moringa oleifera)</t>
  </si>
  <si>
    <t>60012; H013</t>
  </si>
  <si>
    <t>Mustard seeds, dried; Mustard seeds (Brassica nigra)</t>
  </si>
  <si>
    <t>30013; D044</t>
  </si>
  <si>
    <t>Cucumber, Short, peeled, raw; Cucumber, green, short (Cucumis sativus)</t>
  </si>
  <si>
    <t>30031; F010</t>
  </si>
  <si>
    <t>Radish, raw; Radish, elongate, white skin (Raphanus sativus)</t>
  </si>
  <si>
    <t>30008; F002</t>
  </si>
  <si>
    <t>Carrot, raw; Carrot, orange (Daucus carota)</t>
  </si>
  <si>
    <t>30026; G017</t>
  </si>
  <si>
    <t>Onion, raw; Onion, big (Allium cepa)</t>
  </si>
  <si>
    <t>30010; G008</t>
  </si>
  <si>
    <t>Chilli, green, with seeds, raw; Chillies, green - all varieties (Capsicum annum)</t>
  </si>
  <si>
    <t>70012; G014</t>
  </si>
  <si>
    <t>Ginger root, raw; Ginger, fresh (Zingiber officinale)</t>
  </si>
  <si>
    <t>30009; D036</t>
  </si>
  <si>
    <t>Cauliflower, raw; Cauliflower (Brassica oleracea var. botrytis)</t>
  </si>
  <si>
    <t xml:space="preserve">20010; SR 170419 </t>
  </si>
  <si>
    <t>Pea, dried, raw; Peas, green, raw</t>
  </si>
  <si>
    <t>60015; H009</t>
  </si>
  <si>
    <t>Sesame seeds, whole, dried; Gingelly seeds, black (Sesamum indicum)</t>
  </si>
  <si>
    <t>60009; H014</t>
  </si>
  <si>
    <t>Linseed,Tisi, raw; Linseeds (Linum usitatissimum)</t>
  </si>
  <si>
    <t>90062; S006</t>
  </si>
  <si>
    <t>Rohu, river, raw; Rohu (Labeo rohita)</t>
  </si>
  <si>
    <t>90050; P009</t>
  </si>
  <si>
    <t>Pangas, without bones, raw; Cat fish (Tachysurus thalassinus)</t>
  </si>
  <si>
    <t>90036; P017</t>
  </si>
  <si>
    <t>Hilsa, without bones, raw; HiIsa (Tenualosa ilisha)</t>
  </si>
  <si>
    <t>90074; S001</t>
  </si>
  <si>
    <t>Walking catifish, without bones, raw; Cat fish (Tandanus tandanus)</t>
  </si>
  <si>
    <t>90065; P078</t>
  </si>
  <si>
    <t>Silver carp, without bones, raw; Silver carp (Hypophthalmichthys molitrix)</t>
  </si>
  <si>
    <t>90056; 90059; 90060; 90061; S009</t>
  </si>
  <si>
    <t>Prawn, Birma river prawn, raw; Prawn, Hairy river prawn, raw; Prawn, Indian white prawn, raw; Prawn, Monsoon river prawn, raw; Prawns, small (Macrobrachium sp.)</t>
  </si>
  <si>
    <t>90071; P083</t>
  </si>
  <si>
    <t>Tilapia, without bones, raw; Tilapia (Oreochromis niloticus)</t>
  </si>
  <si>
    <r>
      <t>Monopterus albus</t>
    </r>
    <r>
      <rPr>
        <sz val="11"/>
        <color theme="1"/>
        <rFont val="Calibri"/>
        <family val="2"/>
      </rPr>
      <t xml:space="preserve"> (also known as Asian swamp eel)</t>
    </r>
  </si>
  <si>
    <t> 174193</t>
  </si>
  <si>
    <t>Fish, eel, mixed species, raw</t>
  </si>
  <si>
    <t>168034 </t>
  </si>
  <si>
    <t>Fish, whitefish, broad, head, eyes, cheeks and soft bones</t>
  </si>
  <si>
    <t xml:space="preserve">90032; 90043; 90054; sr 174190 </t>
  </si>
  <si>
    <t>Giant seaperch, whole, dried;  Minnow, Finescale razorbelly, dried; Pomfret, Silver, dried; Fish, cod, Atlantic, dried and salted</t>
  </si>
  <si>
    <r>
      <t>Macrobrachium rosenbergii</t>
    </r>
    <r>
      <rPr>
        <sz val="11"/>
        <color theme="1"/>
        <rFont val="Calibri"/>
        <family val="2"/>
      </rPr>
      <t xml:space="preserve"> or </t>
    </r>
    <r>
      <rPr>
        <i/>
        <sz val="11"/>
        <color theme="1"/>
        <rFont val="Calibri"/>
        <family val="2"/>
      </rPr>
      <t>Penaeus monodon</t>
    </r>
    <r>
      <rPr>
        <sz val="11"/>
        <color theme="1"/>
        <rFont val="Calibri"/>
        <family val="2"/>
      </rPr>
      <t xml:space="preserve"> (depending on the species)</t>
    </r>
  </si>
  <si>
    <t>BD22; IN17; Cofid</t>
  </si>
  <si>
    <t xml:space="preserve"> 90057; 90058; S008; 16-387</t>
  </si>
  <si>
    <t>Prawn, Giant river prawn, raw; Prawn, Giant tiger prawn, raw; Prawns, big (Macrobrachium rosenbergii)</t>
  </si>
  <si>
    <t>170010; P092</t>
  </si>
  <si>
    <t>Z.Eggs, Cat fish; Eggs, Cat fish (Ompok bimaculatus)</t>
  </si>
  <si>
    <t>BD22; IN17, FNDDS, Cofid</t>
  </si>
  <si>
    <t>170016; Q001; 26305160; 16-392</t>
  </si>
  <si>
    <t>Crab, freshwater; Crab (Menippe mercenaria)</t>
  </si>
  <si>
    <t>BD22; IN17; FNDDS; Cofid</t>
  </si>
  <si>
    <t>170009; N001; 24198720; 18-290</t>
  </si>
  <si>
    <t>Country hen; Chicken, poultry, leg, skinless</t>
  </si>
  <si>
    <t xml:space="preserve">100011; O002; 23150100; </t>
  </si>
  <si>
    <t>Goat meat, lean, raw; Goat, chops</t>
  </si>
  <si>
    <t>BD22; IN17, FNDDS; Cofid</t>
  </si>
  <si>
    <t>100002; O026; 21500000; 18-508</t>
  </si>
  <si>
    <t>Beef, meat, lean, boneless, raw; Beef, chops</t>
  </si>
  <si>
    <t>100003;  O026 ; 21500000; 18-469</t>
  </si>
  <si>
    <t>Beef, meat, 15-20 % fat, boneless, raw;</t>
  </si>
  <si>
    <t>100009; N011</t>
  </si>
  <si>
    <t>Duck, meat, raw; Duck, meat, with skin</t>
  </si>
  <si>
    <t>100014; N014</t>
  </si>
  <si>
    <t>Pigeon meat, raw; Pigeon, meat, with skin</t>
  </si>
  <si>
    <t>100008; N005; 25110450</t>
  </si>
  <si>
    <t>Chicken liver, raw; Poultry, chicken, liver</t>
  </si>
  <si>
    <t>SR Legacy; FNDDS; Cofid</t>
  </si>
  <si>
    <t>05015; 24198440; 18-292</t>
  </si>
  <si>
    <t>110001; M008; 31101010; 12-938</t>
  </si>
  <si>
    <t>Eggs, chicken, farmed, raw; Egg, country hen, whole, raw</t>
  </si>
  <si>
    <t>110004; M012</t>
  </si>
  <si>
    <t>Egg, duck, whole, raw; Egg, duck, whole, raw</t>
  </si>
  <si>
    <t>Foundation foods; FNDDS</t>
  </si>
  <si>
    <t>2259793; 11411400</t>
  </si>
  <si>
    <t>120003;  11411400</t>
  </si>
  <si>
    <t>BD22; SR Legacy; FNDDS; Cofid</t>
  </si>
  <si>
    <t>120007; SR  169868; 11113000; 12-307</t>
  </si>
  <si>
    <t>Milk, cow, skimmed; Milk, fluid, nonfat, calcium fortified (fat free or skim)</t>
  </si>
  <si>
    <t>120008; L002; 11111000; 12-596</t>
  </si>
  <si>
    <t>Milk, cow, whole fat (pasteurised, UTH); Milk, whole, Cow</t>
  </si>
  <si>
    <t>100001; 100008; 100013; 170022; O032</t>
  </si>
  <si>
    <t>Beef liver, raw</t>
  </si>
  <si>
    <t>80006; O020; 25120000</t>
  </si>
  <si>
    <t>Bullocks Heart, ripe, raw; Sheep, heart</t>
  </si>
  <si>
    <t>100012; O015</t>
  </si>
  <si>
    <t>Lamb/mutton, meat moderately fat, raw; Sheep, chops</t>
  </si>
  <si>
    <t xml:space="preserve">100005;  SR 175299 </t>
  </si>
  <si>
    <t>Buffalo meat, raw; Game meat, buffalo, water, raw</t>
  </si>
  <si>
    <t>O004; 25150000</t>
  </si>
  <si>
    <t>Goat brain</t>
  </si>
  <si>
    <t>Turtle, green, raw</t>
  </si>
  <si>
    <t>SR Legacy; BD22; FNDDS</t>
  </si>
  <si>
    <t>100015; O049; 22002000</t>
  </si>
  <si>
    <t>Pork, meat &lt; 5 % fat, raw; Pork, chops</t>
  </si>
  <si>
    <t>80013; E020</t>
  </si>
  <si>
    <t>Fig, ripe, raw; Fig (Ficus carica)</t>
  </si>
  <si>
    <t>80007; E062</t>
  </si>
  <si>
    <t>Carambola, raw; Star fruit (Averrhoa carambola)</t>
  </si>
  <si>
    <t>80022; E034</t>
  </si>
  <si>
    <t>Lemon, Kagoji, raw; Lime, sweet,pulp (Citrus limetta)</t>
  </si>
  <si>
    <t>80025; 80026; E036</t>
  </si>
  <si>
    <t>Mango, Fazli, orange flesh, ripe, raw; Mango, Langra, yellow flesh, ripe, raw; ; Mango, ripe, banganapalli (Mangifera indica)</t>
  </si>
  <si>
    <t>FNDDS</t>
  </si>
  <si>
    <t>2345616 </t>
  </si>
  <si>
    <t>Olives, green</t>
  </si>
  <si>
    <t>80021; SR  168151 ; E068</t>
  </si>
  <si>
    <t>Jujube, raw; Jujube, raw</t>
  </si>
  <si>
    <t>80041; E064</t>
  </si>
  <si>
    <t>Tamarind, pulp, sweet, ripe, raw; Tamarind, pulp (Tamarindus indica)</t>
  </si>
  <si>
    <t>170015; E057</t>
  </si>
  <si>
    <t>Raisins, dried; Raisins, dried, black (Vitis vinifera)</t>
  </si>
  <si>
    <t>80037;  80038; E053</t>
  </si>
  <si>
    <t>Pineapple, Joldugee, ripe, raw; Pineapple, ripe, raw; Pineapple (Ananas comosus)</t>
  </si>
  <si>
    <t>170003; D057</t>
  </si>
  <si>
    <t>Mango, green, raw; Mango, green, raw (Mangifera indica)</t>
  </si>
  <si>
    <t>80042; E065</t>
  </si>
  <si>
    <t>Watermelon, ripe, raw; Water melon, dark green (sugar baby) (Citrullus vulgaris)</t>
  </si>
  <si>
    <t>80017; E030</t>
  </si>
  <si>
    <t>Jackfruit, ripe, raw; Jack fruit, ripe (Artocarpus heterophyllus)</t>
  </si>
  <si>
    <t>60006; H007</t>
  </si>
  <si>
    <t>Coconut, mature kernel; Coconut, kernel, fresh (Cocos nucifera)</t>
  </si>
  <si>
    <t>30035; SR 170465</t>
  </si>
  <si>
    <t>Turnip, raw; Turnips, raw</t>
  </si>
  <si>
    <t>80004; E009</t>
  </si>
  <si>
    <t>Banana, Sagar, ripe, raw; Banana, ripe, montham (Musa x paradisiaca)</t>
  </si>
  <si>
    <t>80012; E021</t>
  </si>
  <si>
    <t>Emblic, raw; Gooseberry (Emblica officinalis)</t>
  </si>
  <si>
    <t>80024; E035</t>
  </si>
  <si>
    <t>Lychee, raw; Litchi (Litchi chinensis)</t>
  </si>
  <si>
    <t>80009; E017</t>
  </si>
  <si>
    <t>Dates, combined species, dried; Dates, dry, pale brown (Phoenix dactylifera)</t>
  </si>
  <si>
    <t>80039; E055</t>
  </si>
  <si>
    <t>Pomegranate, ripe, with seed, raw; Pomegranate, maroon seeds (Punica granatum)</t>
  </si>
  <si>
    <t>170013; F016</t>
  </si>
  <si>
    <t>Water Chestnut; Water Chestnut (Eleocharis dulcis)</t>
  </si>
  <si>
    <t>80014; E022</t>
  </si>
  <si>
    <t>Grapes, green, raw; Grapes, seeded, round, black (Vitis vinifera)</t>
  </si>
  <si>
    <t>80021; E068</t>
  </si>
  <si>
    <t>Jujube, raw; Zizyphus (Zizyphus jujube)</t>
  </si>
  <si>
    <t>80032; E047</t>
  </si>
  <si>
    <t>Orange, Sweet, ripe, raw; Orange, pulp (Citrus aurantium)</t>
  </si>
  <si>
    <t>80002; E001</t>
  </si>
  <si>
    <t>Apple, with skin, raw; Apple, big (Malus domestica)</t>
  </si>
  <si>
    <t>80008: E016</t>
  </si>
  <si>
    <t>Custard apple, raw; Custard apple (Annona squamosa)</t>
  </si>
  <si>
    <t>80019; E031</t>
  </si>
  <si>
    <t>Jambos, raw; Jambu fruit, ripe (Syzygium samarangense)</t>
  </si>
  <si>
    <t>80040; E056</t>
  </si>
  <si>
    <t>Pomelo, raw; Pummelo (Citrus maxima)</t>
  </si>
  <si>
    <t>30027; D059</t>
  </si>
  <si>
    <t>Papaya, unripe, raw; Rambutan (Nephelium lappaceum)</t>
  </si>
  <si>
    <t>80035; E049</t>
  </si>
  <si>
    <t>Papaya, ripe, raw; Papaya, ripe (Carica papaya)</t>
  </si>
  <si>
    <t>80015; E028</t>
  </si>
  <si>
    <t>Guava, green, raw; Guava, white flesh (Psidium guajava)</t>
  </si>
  <si>
    <t>140006; I002</t>
  </si>
  <si>
    <t>Sugar cane Juice; Jaggery, cane (Saccharum officinarum)</t>
  </si>
  <si>
    <t xml:space="preserve">80018;  </t>
  </si>
  <si>
    <t>Apples, raw, golden delicious, with skin</t>
  </si>
  <si>
    <t>80034; E048</t>
  </si>
  <si>
    <t>Palmyra palm, pulp, orange flesh, ripe, raw; Palm fruit, tender (Borassus flabellifer)</t>
  </si>
  <si>
    <t>Debnath, Pradip, et al. “Bioactive Compounds and Functional Properties of Rambai (
            Baccaurea Motleyana
            Müll. Arg.) Fruit: A Comprehensive Review.” Food Science &amp; Nutrition, 23 Nov. 2021, https://doi.org/10.1002/fsn3.2661.</t>
  </si>
  <si>
    <t>Rambai (Baccaurea motleyana fruit)</t>
  </si>
  <si>
    <t>80043; E067</t>
  </si>
  <si>
    <t>Woodapple, ripe, raw; Wood Apple (Limonia acidissima)</t>
  </si>
  <si>
    <t>80027; E045</t>
  </si>
  <si>
    <t>Melon, Futi, orange flesh, ripe, raw; Musk melon, orange flesh (Cucumis melon)</t>
  </si>
  <si>
    <t>MyFCD</t>
  </si>
  <si>
    <t>R106036</t>
  </si>
  <si>
    <t>Dragon fruit, white</t>
  </si>
  <si>
    <t>170014; E063</t>
  </si>
  <si>
    <t>Strawberry; Strawberry (Fragaria x ananassa)</t>
  </si>
  <si>
    <t>USDA (Branded)</t>
  </si>
  <si>
    <t> 2060601</t>
  </si>
  <si>
    <t>Red plum</t>
  </si>
  <si>
    <t>80003; E051</t>
  </si>
  <si>
    <t>Asian pears, raw; Pear (Pyrus sp.)</t>
  </si>
  <si>
    <t xml:space="preserve">150008; SR  169656 </t>
  </si>
  <si>
    <t>Sugar, white; Sugars, powdered</t>
  </si>
  <si>
    <t>10029; A023</t>
  </si>
  <si>
    <t>Vermicelli, wheat, raw; Wheat, vermicelli (Triticum aestivum)</t>
  </si>
  <si>
    <t>150004; I001</t>
  </si>
  <si>
    <t>Jaggery, sugarcane, solid; Jaggery, cane (Saccharum officinarum)</t>
  </si>
  <si>
    <t>10026; A022</t>
  </si>
  <si>
    <t>Semolina, wheat, raw; Wheat, semolina (Triticum aestivum)</t>
  </si>
  <si>
    <t>Pink rock salt</t>
  </si>
  <si>
    <t>Dewayani, W, et al. “Potential of Sago Products Supporting Local Food Security in South Sulawesi.” IOP Conference Series: Earth and Environmental Science, vol. 974, no. 1, 1 Jan. 2022, p. 012114, https://doi.org/10.1088/1755-1315/974/1/012114.</t>
  </si>
  <si>
    <t>Sago</t>
  </si>
  <si>
    <t>50006; 50007; 50008; 50009; F013</t>
  </si>
  <si>
    <t>Sweet potato, Komola Sundori, orange flesh, raw; Sweet potato, pale-yellow flesh, raw; Sweet potato, skin purple, flesh pale-yellow, raw (without skin); Sweet potato, white flesh, raw; Sweet potato, brown skin (Ipomoea batatas)</t>
  </si>
  <si>
    <t xml:space="preserve">150003; SR  169640 </t>
  </si>
  <si>
    <t>10005; A006</t>
  </si>
  <si>
    <t>Maize/corn, yellow, dried, raw; Maize, dry (Zea mays)</t>
  </si>
  <si>
    <t>Ignatius Srianta et al., 2012</t>
  </si>
  <si>
    <t>170002; H001</t>
  </si>
  <si>
    <t>Almond; Almond (Prunus amygdalus)</t>
  </si>
  <si>
    <t>60002; H005</t>
  </si>
  <si>
    <t>Cashew nuts, raw; Cashew nut (Anacardium occidentale)</t>
  </si>
  <si>
    <t>70005; G023</t>
  </si>
  <si>
    <t>Cloves, dried; Cloves (Syzygium aromaticum)</t>
  </si>
  <si>
    <t>70018; G031</t>
  </si>
  <si>
    <t>Pepper, black; Pepper, black (Piper nigrum)</t>
  </si>
  <si>
    <t>140001; K002</t>
  </si>
  <si>
    <t>Coconut Water; Coconut Water (Cocos nucifera)</t>
  </si>
  <si>
    <t> 2607712</t>
  </si>
  <si>
    <t>Mango 100% juice, mango</t>
  </si>
  <si>
    <t>Watermelon juice, 100%</t>
  </si>
  <si>
    <t>Sugar cane Juice; Sugarcane, juice (Saccharum officinarum)</t>
  </si>
  <si>
    <r>
      <t xml:space="preserve">Shanta, Faria Hossain, et al. “Development of Value Added Drinks from Date Palm Juice (Phoenix Sylvestris).” </t>
    </r>
    <r>
      <rPr>
        <i/>
        <sz val="11"/>
        <color theme="1"/>
        <rFont val="Calibri"/>
        <family val="2"/>
      </rPr>
      <t>Heliyon</t>
    </r>
    <r>
      <rPr>
        <sz val="11"/>
        <color theme="1"/>
        <rFont val="Calibri"/>
        <family val="2"/>
      </rPr>
      <t>, vol. 7, no. 11, Nov. 2021, p. e08322, https://doi.org/10.1016/j.heliyon.2021.e08322.</t>
    </r>
  </si>
  <si>
    <t xml:space="preserve">Date palm juice </t>
  </si>
  <si>
    <t xml:space="preserve">140003; SR Legacy 171893 </t>
  </si>
  <si>
    <t>Coffee, powder; Beverages, coffee, instant, regular, powder</t>
  </si>
  <si>
    <t xml:space="preserve">80030; SR  169099 </t>
  </si>
  <si>
    <t>Orange juice, raw (unsweetened); Orange juice, canned, unsweetened</t>
  </si>
  <si>
    <t> 2598451</t>
  </si>
  <si>
    <t>100% grape juice, grape</t>
  </si>
  <si>
    <t>70020; G016</t>
  </si>
  <si>
    <t>Spearmint leaves, fresh; Mint leaves (Mentha spicata )</t>
  </si>
  <si>
    <t>130009; T007</t>
  </si>
  <si>
    <t>Palm oil; Palm oil</t>
  </si>
  <si>
    <t>130008; T006</t>
  </si>
  <si>
    <t>130012; T011</t>
  </si>
  <si>
    <t>Mixed fruit juice, mixed fruit</t>
  </si>
  <si>
    <t>70021; G033</t>
  </si>
  <si>
    <t>Turmeric, dried; Turmeric powder (Curcuma domestica)</t>
  </si>
  <si>
    <t>130011; T004</t>
  </si>
  <si>
    <t>Sesame oil; Gingelly oil</t>
  </si>
  <si>
    <t>171413 </t>
  </si>
  <si>
    <t>Oil, olive, salad or cooking</t>
  </si>
  <si>
    <t>130004; T013</t>
  </si>
  <si>
    <t>MAGGI, SPICY SEASONING</t>
  </si>
  <si>
    <t>2703266 </t>
  </si>
  <si>
    <t>Maggi 2-minute noodles masala 24*280g sachet</t>
  </si>
  <si>
    <t>Panch Phoron (Fenugreek seeds, Nigella seeds, Cumin seeds, Fennel seeds, Mustard seeds)</t>
  </si>
  <si>
    <t>Composite recipe (BD22, USDA-branded)</t>
  </si>
  <si>
    <t>70011, 2428753, 522253, 70010, 60012</t>
  </si>
  <si>
    <t>Fenugreek seeds, Nigella seeds, Cumin seeds, Fennel seeds, Mustard seeds</t>
  </si>
  <si>
    <t>Garam Masala (White cardamom, Black Cardamom, Cinnamon, Clove, Black pepper)</t>
  </si>
  <si>
    <t>Composite recipe (BD22, IN17)</t>
  </si>
  <si>
    <t>70002, G021, 70004, 70005, 70018</t>
  </si>
  <si>
    <t>White cardamom, Black Cardamom, Cinnamon, Clove, Black pepper</t>
  </si>
  <si>
    <t>Small fish (Mola, Dhela mixed)</t>
  </si>
  <si>
    <t>Hossain, M Belal, et al. “Minerals and Fatty Acid Profile of Small Indigenous Fish Species from Homestead Ponds within a Sub-Tropical Coastal Region.” Heliyon, vol. 10, no. 2, 1 Jan. 2024, pp. e24445–e24445, https://doi.org/10.1016/j.heliyon.2024.e24445. Accessed 20 Jan. 2025.</t>
  </si>
  <si>
    <t xml:space="preserve">A. mola </t>
  </si>
  <si>
    <t>Medium fish (Bata fish)</t>
  </si>
  <si>
    <t>Md. Sarower-E, et al. “Biochemical Composition of an Endangered Fish, Labeo Bata (Hamilton, 1822) from Bangladesh Waters.” American Journal of Food Technology, vol. 7, no. 10, 15 Sept. 2012, pp. 633–641, https://doi.org/10.3923/ajft.2012.633.641. Accessed 20 Jan. 2025.</t>
  </si>
  <si>
    <t>Labeo bata</t>
  </si>
  <si>
    <t>Tea powder</t>
  </si>
  <si>
    <t>Tea, powder</t>
  </si>
  <si>
    <t>Black cumin</t>
  </si>
  <si>
    <t>522253 </t>
  </si>
  <si>
    <t>BLACK ZEERA (BLACK CUMIN)</t>
  </si>
  <si>
    <t>Mixed sak (Jute leaf, Bottle gourd, red spinach, malabar, radish leaf)</t>
  </si>
  <si>
    <t>Composite recipe (BD22)</t>
  </si>
  <si>
    <t>40022, 40009, 40024, 40003, 40021</t>
  </si>
  <si>
    <t>Jute leaf, Bottle gourd, red spinach, malabar, radish leaf</t>
  </si>
  <si>
    <t>Tamarind pickle</t>
  </si>
  <si>
    <t>Label information</t>
  </si>
  <si>
    <t>https://trsnafoods.com/products/green-tamarind-pickle?srsltid=AfmBOopD-24smatmOZtTh-XrcAStfXf3FKAPPz6gEoBz8RixHvccwNp2&amp;variant=42981772296329)</t>
  </si>
  <si>
    <t>Green Tamarind Pickle</t>
  </si>
  <si>
    <t>chocolate</t>
  </si>
  <si>
    <t>চকলেট</t>
  </si>
  <si>
    <t>Theobroma cacao</t>
  </si>
  <si>
    <t>https://www.cadbury.com.au/cadbury-dairy-milk-chocolate-milk-chocolate-bar-50g</t>
  </si>
  <si>
    <t>Cadbury Dairy Milk Chocolate milk chocolate bar</t>
  </si>
  <si>
    <t>Chanachur (Bombay mix)</t>
  </si>
  <si>
    <t>চানাচুর</t>
  </si>
  <si>
    <t>https://www.eatthismuch.com/calories/bombay-mix-chanachur-4127631</t>
  </si>
  <si>
    <t>Bombay Mix Chanachur</t>
  </si>
  <si>
    <t>Boiled sweet potato</t>
  </si>
  <si>
    <t>সেদ্ধ মিষ্টি আলু</t>
  </si>
  <si>
    <t>Sweet potato, pale-yellow flesh, boiled* (without salt)</t>
  </si>
  <si>
    <t>Slice cake</t>
  </si>
  <si>
    <t>কেক</t>
  </si>
  <si>
    <t>https://dancake.com.bd/products/plain-cake/vanilla-plain-cake-single-slice-18gm/</t>
  </si>
  <si>
    <t>Vanilla Plain Cake (Single Slice) 18gm</t>
  </si>
  <si>
    <t>Biscuit (salty)</t>
  </si>
  <si>
    <t>নোনতা বিস্কুট</t>
  </si>
  <si>
    <t>Salted Biscuit</t>
  </si>
  <si>
    <t>Crisps ("Lays" and other fried potato chips)</t>
  </si>
  <si>
    <t>চিপ্স</t>
  </si>
  <si>
    <t>LAY'S, POTATO CHIPS</t>
  </si>
  <si>
    <t>Popcorn</t>
  </si>
  <si>
    <t>পপকর্ন</t>
  </si>
  <si>
    <t>Popcorn, maize (salt added)</t>
  </si>
  <si>
    <t> </t>
  </si>
  <si>
    <t>Lemon or lime water (no sugar)</t>
  </si>
  <si>
    <t>লেবুর পানি (চিনি ছাড়া)</t>
  </si>
  <si>
    <t>LEMON WATER, LEMON</t>
  </si>
  <si>
    <t>7 Up</t>
  </si>
  <si>
    <t>সেভেন আপ</t>
  </si>
  <si>
    <t>LEMON LIME FLAVORED SODA, LEMON; LIME</t>
  </si>
  <si>
    <t>Frooti/Tang</t>
  </si>
  <si>
    <t>ফ্রটিকা/ট্যাংক</t>
  </si>
  <si>
    <t>FROOTI, MANGO DRINK</t>
  </si>
  <si>
    <t xml:space="preserve">10	</t>
  </si>
  <si>
    <t>Frutika/Tasty saline</t>
  </si>
  <si>
    <t>ফুরুটিকা/টেস্টি স্যালাইন</t>
  </si>
  <si>
    <t>https://www.daraz.com.bd/products/smc-orange-flavor-fruity-tasty-saline-20-pcs-1-box-i235485444.html</t>
  </si>
  <si>
    <t>SMC Orange Flavor Fruity Tasty Saline 20 Pcs 1 Box</t>
  </si>
  <si>
    <t>Mother Horlicks</t>
  </si>
  <si>
    <t>মাদার হরলিক্স</t>
  </si>
  <si>
    <t>Horlicks</t>
  </si>
  <si>
    <t>recipe_0me</t>
  </si>
  <si>
    <t>energy_kcal</t>
  </si>
  <si>
    <t>water_g</t>
  </si>
  <si>
    <t>protein_g</t>
  </si>
  <si>
    <t>total_fat_g</t>
  </si>
  <si>
    <t>carbohydrate_g</t>
  </si>
  <si>
    <t>total_dietary_fiber_g</t>
  </si>
  <si>
    <t>thiamin_b1_mg</t>
  </si>
  <si>
    <t>riboflavin_b2_mg</t>
  </si>
  <si>
    <t>niacin_b3_mg</t>
  </si>
  <si>
    <t>pantothenic_acid_b5_mg</t>
  </si>
  <si>
    <t>vitamin_b6_mg</t>
  </si>
  <si>
    <t>folate_b9_mcg</t>
  </si>
  <si>
    <t>vitamin_b12_mcg</t>
  </si>
  <si>
    <t>total_ascorbic_acid_vit_c_mg</t>
  </si>
  <si>
    <t>vitamin_d2_d3_mcg</t>
  </si>
  <si>
    <t>vitamin_e_mg</t>
  </si>
  <si>
    <t>phylloquinones_k1_mcg</t>
  </si>
  <si>
    <t>retinol_vit_a_mcg</t>
  </si>
  <si>
    <t>vitamin_a_retinol_activity_equivalent_rae_mcg</t>
  </si>
  <si>
    <t>a_carotene_mcg</t>
  </si>
  <si>
    <t>b_carotene_mcg</t>
  </si>
  <si>
    <t>lutein_mcg</t>
  </si>
  <si>
    <t>lycopene_mcg</t>
  </si>
  <si>
    <t>b_cryptoxanthin_mcg</t>
  </si>
  <si>
    <t>zeaxanthin_mcg</t>
  </si>
  <si>
    <t>calcium_ca_mg</t>
  </si>
  <si>
    <t>copper_cu_mg</t>
  </si>
  <si>
    <t>iron_fe_mg</t>
  </si>
  <si>
    <t>manganese_mn_mg</t>
  </si>
  <si>
    <t>phosphorus_p_mg</t>
  </si>
  <si>
    <t>potassium_k_mg</t>
  </si>
  <si>
    <t>selenium_se_mcg</t>
  </si>
  <si>
    <t>zinc_zn_mg</t>
  </si>
  <si>
    <t>total_saturated_fatty_acids_tsfa_g</t>
  </si>
  <si>
    <t>total_mono_unsaturated_fatty_acids_tmufa_g</t>
  </si>
  <si>
    <t>total_poly_unsaturated_fatty_acids_tpufa_g</t>
  </si>
  <si>
    <t>cholesterol_mg</t>
  </si>
  <si>
    <t>histidine_g</t>
  </si>
  <si>
    <t>isoleucine_g</t>
  </si>
  <si>
    <t>leucine_g</t>
  </si>
  <si>
    <t>lysine_g</t>
  </si>
  <si>
    <t>methionine_g</t>
  </si>
  <si>
    <t>cystine_g</t>
  </si>
  <si>
    <t>phenylalanine_g</t>
  </si>
  <si>
    <t>threonine_g</t>
  </si>
  <si>
    <t>tryptophan_g</t>
  </si>
  <si>
    <t>valine_g</t>
  </si>
  <si>
    <t>alanine_g</t>
  </si>
  <si>
    <t>arginine_g</t>
  </si>
  <si>
    <t>aspartic_acid_g</t>
  </si>
  <si>
    <t>glutamic_acid_g</t>
  </si>
  <si>
    <t>glycine_g</t>
  </si>
  <si>
    <t>proline_g</t>
  </si>
  <si>
    <t>serine_g</t>
  </si>
  <si>
    <t>tyrosine_g</t>
  </si>
  <si>
    <t>total_polyphenols_mg</t>
  </si>
  <si>
    <t>phytate_mg</t>
  </si>
  <si>
    <t>oxalate_mg</t>
  </si>
  <si>
    <t>choline_mg</t>
  </si>
  <si>
    <t>capric_c10_0_mg</t>
  </si>
  <si>
    <t>lauric_c12_0_mg</t>
  </si>
  <si>
    <t>myristic_c14_0_mg</t>
  </si>
  <si>
    <t>palmitic_c16_0_mg</t>
  </si>
  <si>
    <t>palmitoleic_c16_1_mg</t>
  </si>
  <si>
    <t>oleic_c18_1n9_mg</t>
  </si>
  <si>
    <t>eicosenoic_c20_1n9_mg</t>
  </si>
  <si>
    <t>erucic_c22_1n9_mg</t>
  </si>
  <si>
    <t>linoleic_c18_2n6_mg</t>
  </si>
  <si>
    <t>a_linolenic_c18_3n3_mg</t>
  </si>
  <si>
    <t>docosa_pentaenoic_c22_5n3_mg_dpa</t>
  </si>
  <si>
    <t>arachidonic_c20_4n6_mg</t>
  </si>
  <si>
    <t>stearic_c18_0_mg</t>
  </si>
  <si>
    <t>eicosapentaenoic_c20_5n3_mg_epa</t>
  </si>
  <si>
    <t>docosahexaenoic_c22_6n3_mg_dha</t>
  </si>
  <si>
    <t>iodine_mcg</t>
  </si>
  <si>
    <t>Khichuri</t>
  </si>
  <si>
    <t>Minrd</t>
  </si>
  <si>
    <t>Wholewheat roti</t>
  </si>
  <si>
    <t>Dal (Thick)</t>
  </si>
  <si>
    <t>Dal (Thin)</t>
  </si>
  <si>
    <t>Potato smash</t>
  </si>
  <si>
    <t>Red spi0ch sak</t>
  </si>
  <si>
    <t>Mixed vegetable 1</t>
  </si>
  <si>
    <t>Chicken curry</t>
  </si>
  <si>
    <t>Small fish curry</t>
  </si>
  <si>
    <t>Large fish curry</t>
  </si>
  <si>
    <t>Rice pudding</t>
  </si>
  <si>
    <t>Cow meat curry</t>
  </si>
  <si>
    <t>Medium Fish curry</t>
  </si>
  <si>
    <t>Cake with egg</t>
  </si>
  <si>
    <t>Black gram bori curry</t>
  </si>
  <si>
    <t>Cake/pitha (Sujir pitha/Semoli0 s0cks)</t>
  </si>
  <si>
    <t>Fried eggplant</t>
  </si>
  <si>
    <t>Pointed gourd fry</t>
  </si>
  <si>
    <t>Cauliflower chop</t>
  </si>
  <si>
    <t>Noodles (homemade)</t>
  </si>
  <si>
    <t>Skunk vine with dal and fried (bon badari)</t>
  </si>
  <si>
    <t>Chickpea curry</t>
  </si>
  <si>
    <t>Pointed gourd and eggplant curry (mix veg 2)</t>
  </si>
  <si>
    <t>S0ke gourd, taro root, and eggplant curry (mix veg 4)</t>
  </si>
  <si>
    <t>Bottle gourd curry (mix veg 6)</t>
  </si>
  <si>
    <t>Carrot haluwa</t>
  </si>
  <si>
    <t>Egg curry</t>
  </si>
  <si>
    <t>Dudh chitoi pitha (milk chitoi)</t>
  </si>
  <si>
    <t>Cake/pitha (Puli pitha)</t>
  </si>
  <si>
    <t>Pyaaju (deep fried onion in batter)</t>
  </si>
  <si>
    <t>Puri</t>
  </si>
  <si>
    <t>Potato, Egg plant, Tomato, Cauliflower (mix veg 3)</t>
  </si>
  <si>
    <t>Okra, Green papaya, Potato, Bitter gourd(mix veg 4)</t>
  </si>
  <si>
    <t>Roasted Rice</t>
  </si>
  <si>
    <t>Yam leaf curry</t>
  </si>
  <si>
    <t>Long yam stem curry (hard)</t>
  </si>
  <si>
    <t>Long yam stem fry (hard)</t>
  </si>
  <si>
    <t>Green bean fry</t>
  </si>
  <si>
    <t>Green pumpkin (courgette) fry</t>
  </si>
  <si>
    <t>Mash kalai (black gram) dal bori smash</t>
  </si>
  <si>
    <t>Bitter gourd smash</t>
  </si>
  <si>
    <t>Green pumpkin (courgette) smash</t>
  </si>
  <si>
    <t>Jolpai (ceylon olive) pickle</t>
  </si>
  <si>
    <t>Elephant apple pickle</t>
  </si>
  <si>
    <t>Chapri (Savory rice pancake)</t>
  </si>
  <si>
    <t>Saatu (made from rice)</t>
  </si>
  <si>
    <t>Alur (potato) dal</t>
  </si>
  <si>
    <t>Rice flour dal</t>
  </si>
  <si>
    <t>Red lentil Dal smash</t>
  </si>
  <si>
    <t>Dried chili smash</t>
  </si>
  <si>
    <t>Dried fish smash</t>
  </si>
  <si>
    <t>Chicken skin curry</t>
  </si>
  <si>
    <t>0ru (coconut mishti)</t>
  </si>
  <si>
    <t>Puffed rice with molasses (murki)</t>
  </si>
  <si>
    <t>Beguni</t>
  </si>
  <si>
    <t>Ginger tea with clove (with sugar)</t>
  </si>
  <si>
    <t>Gola ruti (Savory wheat pancake - thick)</t>
  </si>
  <si>
    <t>Dal puri</t>
  </si>
  <si>
    <t>Taro root curry</t>
  </si>
  <si>
    <t>Peanut smash</t>
  </si>
  <si>
    <t>Jackfruit seed dal (soup-like dal)</t>
  </si>
  <si>
    <t>Minrd-imputed</t>
  </si>
  <si>
    <t>Cucumber curry</t>
  </si>
  <si>
    <t>Water pumpkin (ash gourd) curry</t>
  </si>
  <si>
    <t>Taro root stem curry (soft)</t>
  </si>
  <si>
    <t>Taro root stem (soft) fry</t>
  </si>
  <si>
    <t>Taro root stem (soft) smash</t>
  </si>
  <si>
    <t>Egg smash</t>
  </si>
  <si>
    <t>Chapri (Savory wheat pancake)</t>
  </si>
  <si>
    <t>Mung lentil dal</t>
  </si>
  <si>
    <t>Mash kalai (black gram) dal</t>
  </si>
  <si>
    <t>Khesari dal</t>
  </si>
  <si>
    <t>Taro leaf</t>
  </si>
  <si>
    <t>Spi0ch</t>
  </si>
  <si>
    <t>Malabar spi0ch</t>
  </si>
  <si>
    <t>Water spi0ch</t>
  </si>
  <si>
    <t>Bottle gourd leaf (sak)</t>
  </si>
  <si>
    <t>Yellow pumpkin leaf (sak)</t>
  </si>
  <si>
    <t>spiny amaranth (sak)</t>
  </si>
  <si>
    <t>Jute / mara leaf (sak)</t>
  </si>
  <si>
    <t>Cheeseweed sak</t>
  </si>
  <si>
    <t>Mustard leaf (sak)</t>
  </si>
  <si>
    <t>Radish leaf (sak)</t>
  </si>
  <si>
    <t>Coriander leaf (sak)</t>
  </si>
  <si>
    <t>Helencha sak /Buffalo spi0ch</t>
  </si>
  <si>
    <t>Green yard long bean fry</t>
  </si>
  <si>
    <t>Water pumpkin fry</t>
  </si>
  <si>
    <t>Sponge gourd fry</t>
  </si>
  <si>
    <t>Long yam fry</t>
  </si>
  <si>
    <t>Spiny gourd fry</t>
  </si>
  <si>
    <t>Green papaya fry</t>
  </si>
  <si>
    <t>Okra / Ladies fingers smash</t>
  </si>
  <si>
    <t>Pointed gourd smash</t>
  </si>
  <si>
    <t>Jackfruit seed smash</t>
  </si>
  <si>
    <t>Luffa gourd smash</t>
  </si>
  <si>
    <t>Arum Spe0ch stem</t>
  </si>
  <si>
    <t>Yam and dried small fish powder smash</t>
  </si>
  <si>
    <t>Prawn smash</t>
  </si>
  <si>
    <t>Intestine curry</t>
  </si>
  <si>
    <t>Bone marrow curry</t>
  </si>
  <si>
    <t>Boroi pickle</t>
  </si>
  <si>
    <t>Brown chickpea haluwa</t>
  </si>
  <si>
    <t>Fish smash</t>
  </si>
  <si>
    <t>Cake/pitha (Teler pitha)</t>
  </si>
  <si>
    <t>Ginger tea with clove (no sugar)</t>
  </si>
  <si>
    <t>Ginger tea (with sugar)</t>
  </si>
  <si>
    <t>Long yam curry</t>
  </si>
  <si>
    <t>White yam curry</t>
  </si>
  <si>
    <t>Medium Taro root curry</t>
  </si>
  <si>
    <t>Black Cumin smash</t>
  </si>
  <si>
    <t>Sesame smash</t>
  </si>
  <si>
    <t>Green yard long bean smash</t>
  </si>
  <si>
    <t>Brinjal smash</t>
  </si>
  <si>
    <t>Bottle gourd leaf smash</t>
  </si>
  <si>
    <t>Stem Amaranth Fry</t>
  </si>
  <si>
    <t>Yam leaf smash</t>
  </si>
  <si>
    <t>Intestine fried</t>
  </si>
  <si>
    <t>Heron meat curry</t>
  </si>
  <si>
    <t>Puffed rice balls with molasses (mola)</t>
  </si>
  <si>
    <t>Component name</t>
  </si>
  <si>
    <t>Unit</t>
  </si>
  <si>
    <t>Comments</t>
  </si>
  <si>
    <t xml:space="preserve">Water </t>
  </si>
  <si>
    <t>gram</t>
  </si>
  <si>
    <t>Protein</t>
  </si>
  <si>
    <t>TotalFat</t>
  </si>
  <si>
    <t>TotalDietaryFibre</t>
  </si>
  <si>
    <t>Carbohydrate</t>
  </si>
  <si>
    <t>Energy</t>
  </si>
  <si>
    <t>kcal</t>
  </si>
  <si>
    <t>IN17 uses kJ, while BD22, FNDDS 2021-2023, and CoFID use kcal. Converted kJ to kcal using the conversion factor: 1 kJ = 0.239 kcal</t>
  </si>
  <si>
    <t>Thiamin(B1)</t>
  </si>
  <si>
    <t>milligram</t>
  </si>
  <si>
    <t>Riboflavin(B2)</t>
  </si>
  <si>
    <t>Niacin(B3)</t>
  </si>
  <si>
    <t xml:space="preserve">PantothenicAcid(B5) </t>
  </si>
  <si>
    <t>CoFID lists this component as pantothenate. Multiply pantothenate weight by 0.46 to calculate the amount of pantothenic acid. Pantothenic acid=(molecular weight of pantothenic acid/molecular weight of pantothenate)*amount of pantothenate; and the the ratio of pantothenic acid to calcium pantothenate is approximately 219.23 g/mol/476.65 g/mol=0.46</t>
  </si>
  <si>
    <t>VitaminB6</t>
  </si>
  <si>
    <t>Folate(B9)</t>
  </si>
  <si>
    <t>microgram</t>
  </si>
  <si>
    <t>VitaminB12</t>
  </si>
  <si>
    <t>The IN17 FCT does not include Vitamin B12. Therefore, when using IN17 as a source, we pull Vitamin B12 data from the USDA SR Legacy database. If SR Legacy does not provide the value, we leave the field blank.</t>
  </si>
  <si>
    <t>Total_Ascorbic_Acid(VitC)</t>
  </si>
  <si>
    <t>VitaminD2_D3</t>
  </si>
  <si>
    <t>BD22, FNDDS 2021-2023, and CoFID report combined D2 and D3; The IN17 FCT reports Vitamin D2 and D3 separately. For our analysis, we summed D2 and D3 to obtain the total Vitamin D value. If either D2 or D3 was reported as NA, it was treated as 0, and the available value (either D2 or D3) was used as the combined total.</t>
  </si>
  <si>
    <t>VitaminE</t>
  </si>
  <si>
    <t>in alpha-tocopherol equivalents or alpha- tocopherol</t>
  </si>
  <si>
    <t>Phylloquinones(K1)</t>
  </si>
  <si>
    <t>The BD22 FCT does not include phylloquinone (K1). Therefore, when using BD22 as a source, we pull phylloquinone (K1) data from the IN17 or the USDA SR Legacy database. If neither source provides the value, we leave the field blank.</t>
  </si>
  <si>
    <t>Retinol(VitaminA)</t>
  </si>
  <si>
    <t>VitaminA_retinol_activity_equivalent(RAE)</t>
  </si>
  <si>
    <t>BD22, FNDDS 2021-2023, and CoFID include this component. IN17 does not report Vitamin A (RAE), so it was calculated using the formula:  Total vitamin A in retinol activity equivalent (RAE) = mcg retinol + 1/12 mcg beta-carotene + 1/24 mcg a-carotene + 1/24 b-cryptoxanthin; If any of the components were missing, they were omitted from the calculation.</t>
  </si>
  <si>
    <t>α - Carotene</t>
  </si>
  <si>
    <t>β - Carotene</t>
  </si>
  <si>
    <t>Calcium(Ca)</t>
  </si>
  <si>
    <t>Copper(Cu)</t>
  </si>
  <si>
    <t>Iron(Fe)</t>
  </si>
  <si>
    <t>Magnesium(Mg)</t>
  </si>
  <si>
    <t>Manganese(Mn)</t>
  </si>
  <si>
    <t>The BD22 FCT does not include manganese. Therefore, when using BD22 as a source, we pull manganese data from the IN17 or the USDA SR Legacy database. If neither source provides the value, we leave the field blank.</t>
  </si>
  <si>
    <t>Phosphorus(P)</t>
  </si>
  <si>
    <t>Potassium(K)</t>
  </si>
  <si>
    <t>Selenium(Se)</t>
  </si>
  <si>
    <t>The BD22 FCT does not include selenium. Therefore, when using BD22 as a source, we pull selenium data from the IN17 or the USDA SR Legacy database. If neither source provides the value, we leave the field blank.</t>
  </si>
  <si>
    <t>Zinc(Zn)</t>
  </si>
  <si>
    <t xml:space="preserve">Total_Saturated_ Fatty_Acids(TSFA) </t>
  </si>
  <si>
    <t>IN17 uses milligrams. Converted milligrams to grams by multiplying by 0.001</t>
  </si>
  <si>
    <t>Total_Mono_ Unsaturated_Fatty Acids(TMUFA)</t>
  </si>
  <si>
    <t>Total_Poly_ Unsaturated_Fatty_Acids (TPUFA)</t>
  </si>
  <si>
    <t xml:space="preserve">Cholesterol </t>
  </si>
  <si>
    <t xml:space="preserve">Histidine </t>
  </si>
  <si>
    <t>BD22 uses milligrams. Converted milligrams to grams by multiplying by 0.001</t>
  </si>
  <si>
    <t>Isoleucine</t>
  </si>
  <si>
    <t>Leucine</t>
  </si>
  <si>
    <t>Lysine</t>
  </si>
  <si>
    <t>Methionine</t>
  </si>
  <si>
    <t xml:space="preserve">Cystine </t>
  </si>
  <si>
    <t>Phenylalanine</t>
  </si>
  <si>
    <t>Threonine</t>
  </si>
  <si>
    <t>Tryptophan</t>
  </si>
  <si>
    <t>Valine</t>
  </si>
  <si>
    <t>Alanine</t>
  </si>
  <si>
    <t>Arginine</t>
  </si>
  <si>
    <t>Aspartic Acid</t>
  </si>
  <si>
    <t>Glutamic Acid</t>
  </si>
  <si>
    <t>Glycine</t>
  </si>
  <si>
    <t>Proline</t>
  </si>
  <si>
    <t>Serine</t>
  </si>
  <si>
    <t>Tyrosine</t>
  </si>
  <si>
    <t>Total_Polyphenols</t>
  </si>
  <si>
    <t>only IN17 reports this component; The BD22 FCT does not include total polyphenols. Therefore, when using BD22 as a source, we pull total polyphenols data from the IN17 database. If IN17 does not provide the value, we leave the field blank.</t>
  </si>
  <si>
    <t>Phytate</t>
  </si>
  <si>
    <t>only IN17 and BD22 report this component</t>
  </si>
  <si>
    <t xml:space="preserve">oxalate </t>
  </si>
  <si>
    <t>only BD22 report this component</t>
  </si>
  <si>
    <t>Other Comments</t>
  </si>
  <si>
    <t>In cases where values are reported as "NA" in the India FCT, we treat them as missing data and leave the corresponding fields unfilled.</t>
  </si>
  <si>
    <t>70003; SR 171319</t>
  </si>
  <si>
    <t>20003; SR  173734</t>
  </si>
  <si>
    <t>10037; A014</t>
  </si>
  <si>
    <t>10031; SR 169761</t>
  </si>
  <si>
    <t>20002; B002</t>
  </si>
  <si>
    <t>20009; SR 174284</t>
  </si>
  <si>
    <t>50005; F006</t>
  </si>
  <si>
    <t>40003; C003</t>
  </si>
  <si>
    <t>40013; SR 168487</t>
  </si>
  <si>
    <t>40012; SR 168487</t>
  </si>
  <si>
    <t>40026; C033</t>
  </si>
  <si>
    <t>40032; SR 170068</t>
  </si>
  <si>
    <t>30012; D043</t>
  </si>
  <si>
    <t>30025; D056</t>
  </si>
  <si>
    <t> 169961 </t>
  </si>
  <si>
    <t>30002; D003</t>
  </si>
  <si>
    <t>30029; D063</t>
  </si>
  <si>
    <t xml:space="preserve"> 90057; 90058; S008</t>
  </si>
  <si>
    <t>170016; Q001</t>
  </si>
  <si>
    <t>170009; N001</t>
  </si>
  <si>
    <t>100011; O002</t>
  </si>
  <si>
    <t>100002; O026</t>
  </si>
  <si>
    <t>100003;</t>
  </si>
  <si>
    <t>100008; N005</t>
  </si>
  <si>
    <t>110001; M008</t>
  </si>
  <si>
    <t xml:space="preserve">120007; SR  169868 </t>
  </si>
  <si>
    <t>120008; L002</t>
  </si>
  <si>
    <t>Beef liver, raw; Chicken liver, raw; Lamb/Mutton, liver,raw; Duck, liver, raw; Beef, liver</t>
  </si>
  <si>
    <t>80006; O020</t>
  </si>
  <si>
    <t>100015; O049</t>
  </si>
  <si>
    <t xml:space="preserve">80021; SR  168151 </t>
  </si>
  <si>
    <t>Mixed sak (Jute leaf, Bottle gourd, red spinach, malabar, radish leaf)
- Raw</t>
  </si>
  <si>
    <t>Fried rice</t>
  </si>
  <si>
    <t>ভাত ভাজা</t>
  </si>
  <si>
    <t>Vuna khichuri with dal but no vegetables</t>
  </si>
  <si>
    <t>ভুনা খিচুরী (সবজি  ছাড়া)</t>
  </si>
  <si>
    <t>Collect recipe OR substitute with Khichuri with dal but no vegetables</t>
  </si>
  <si>
    <t>Vuna khichuri with dal and vegetables</t>
  </si>
  <si>
    <t>ডাল ও সবজি দিয়ে রান্না করা ভুনা খিচুরী</t>
  </si>
  <si>
    <t>Collect recipe OR substitute with Khichuri with dal and vegetables</t>
  </si>
  <si>
    <t>Fried beaten rice</t>
  </si>
  <si>
    <t xml:space="preserve">ভাজা চিঁড়া </t>
  </si>
  <si>
    <t>Fried rice with broken rice grains</t>
  </si>
  <si>
    <t>বৌখুদী/বৌখুদা</t>
  </si>
  <si>
    <t>Tomato smash</t>
  </si>
  <si>
    <t>টমেটোর ভর্তা</t>
  </si>
  <si>
    <t>icddr,b</t>
  </si>
  <si>
    <t>Yam flower smash</t>
  </si>
  <si>
    <t>কচুর ফুলের ভর্তা</t>
  </si>
  <si>
    <t>Impute from bottle gourd leaf smash?</t>
  </si>
  <si>
    <t>Prawn bori</t>
  </si>
  <si>
    <t>চিংড়ি মাছের বড়া</t>
  </si>
  <si>
    <r>
      <t>Macrobrachium rosenbergii</t>
    </r>
    <r>
      <rPr>
        <sz val="11"/>
        <color theme="1"/>
        <rFont val="Aptos Narrow"/>
        <family val="2"/>
        <scheme val="minor"/>
      </rPr>
      <t xml:space="preserve"> or </t>
    </r>
    <r>
      <rPr>
        <i/>
        <sz val="11"/>
        <color theme="1"/>
        <rFont val="Aptos Narrow"/>
        <family val="2"/>
        <scheme val="minor"/>
      </rPr>
      <t>Penaeus monodon</t>
    </r>
  </si>
  <si>
    <t>Impute from dried fish smash?</t>
  </si>
  <si>
    <t>Brain fry</t>
  </si>
  <si>
    <t>Impute from goat curry?</t>
  </si>
  <si>
    <t>Bundi (deep fried sugar balls)</t>
  </si>
  <si>
    <t>বুনদিয়া</t>
  </si>
  <si>
    <t>Cake/pitha (Vapa pitha)</t>
  </si>
  <si>
    <t>ভাপা পিঠা</t>
  </si>
  <si>
    <t>Cake/pitha (Chitoi pitha)</t>
  </si>
  <si>
    <t>Khurma</t>
  </si>
  <si>
    <t>খুরমা</t>
  </si>
  <si>
    <t>Singara</t>
  </si>
  <si>
    <t>সিংগারা</t>
  </si>
  <si>
    <t>Substitute with Samosa?</t>
  </si>
  <si>
    <t>Moglai paratha</t>
  </si>
  <si>
    <t>মোগলাই</t>
  </si>
  <si>
    <t>Petis (pastries)</t>
  </si>
  <si>
    <t>পেটিস</t>
  </si>
  <si>
    <t>use Singara recipe</t>
  </si>
  <si>
    <t>Dried fish curry (prepared in sauce)</t>
  </si>
  <si>
    <t>70011</t>
  </si>
  <si>
    <t>Fermented rice (Panta bhat)</t>
  </si>
  <si>
    <t>পান্তা ভাত</t>
  </si>
  <si>
    <t xml:space="preserve">Substitute with cooked rice </t>
  </si>
  <si>
    <t>Khichuri with dal and vegetables</t>
  </si>
  <si>
    <t>খিচুরী (ডাল, সবজি)</t>
  </si>
  <si>
    <t>JiVitA-4</t>
  </si>
  <si>
    <t>Kichuri</t>
  </si>
  <si>
    <t>Polau</t>
  </si>
  <si>
    <t>পোলাউ</t>
  </si>
  <si>
    <t>Plain pulao</t>
  </si>
  <si>
    <t>White flour roti</t>
  </si>
  <si>
    <t>সাদা আটার রুটি</t>
  </si>
  <si>
    <t>Minrd-imputed (from Wholewheat roti; recipe ID: 3)</t>
  </si>
  <si>
    <t>Paratha</t>
  </si>
  <si>
    <t>পরোটা</t>
  </si>
  <si>
    <t>Recipes updated with India FCT 2017 values</t>
  </si>
  <si>
    <t>Bread (slice)</t>
  </si>
  <si>
    <t>পাউরুটি</t>
  </si>
  <si>
    <t>Bread, white, for toasting</t>
  </si>
  <si>
    <t>Rice roti</t>
  </si>
  <si>
    <t>চালের রূটি</t>
  </si>
  <si>
    <t>Potato curry (no other veg)</t>
  </si>
  <si>
    <t>আলুর তরকারী</t>
  </si>
  <si>
    <t>Potatoes (cooked)</t>
  </si>
  <si>
    <t>Cauliflower curry (only cauliflower and potato)</t>
  </si>
  <si>
    <t>ফুলকপির তরকারী (শুধু ফুলকপি এবং আলু)</t>
  </si>
  <si>
    <t>Brassica olerace; Solanum tuberosum</t>
  </si>
  <si>
    <t>Cauliflower (cooked)</t>
  </si>
  <si>
    <t>Green papaya curry</t>
  </si>
  <si>
    <t>Green papaya (cooked)</t>
  </si>
  <si>
    <t>Radish curry</t>
  </si>
  <si>
    <t>Radish (cooked)</t>
  </si>
  <si>
    <t>Eggplant curry</t>
  </si>
  <si>
    <t>Aubergine (brinjal) curry</t>
  </si>
  <si>
    <t>Green pumpkin (courgette) curry</t>
  </si>
  <si>
    <t>31201</t>
  </si>
  <si>
    <t>Yellow pumpkin curry</t>
  </si>
  <si>
    <t>Pumpkin (cooked)</t>
  </si>
  <si>
    <t>Tomato curry</t>
  </si>
  <si>
    <t>Tomato (cooked)</t>
  </si>
  <si>
    <t>Soybean bori/maseaura curry</t>
  </si>
  <si>
    <t>recipe computed using paneer curry recipe and replacing paneer with soyabean chunks</t>
  </si>
  <si>
    <t>Soybean maseaura curry</t>
  </si>
  <si>
    <t>Bitter gourd curry</t>
  </si>
  <si>
    <t>Bitter gourd (cooked)</t>
  </si>
  <si>
    <t>Okra / Ladies fingers curry</t>
  </si>
  <si>
    <t>Okra (cooked)</t>
  </si>
  <si>
    <t>Sponge gourd curry</t>
  </si>
  <si>
    <t>Green bean curry</t>
  </si>
  <si>
    <t>Shim (cooked)</t>
  </si>
  <si>
    <t>Cooking (green) banana curry</t>
  </si>
  <si>
    <t>Plantain (cooked)</t>
  </si>
  <si>
    <t>Drumstick (sohijan) curry</t>
  </si>
  <si>
    <t>Fried potato</t>
  </si>
  <si>
    <t>আলু ভাজা</t>
  </si>
  <si>
    <t>Bhujiya, fried potato</t>
  </si>
  <si>
    <t>Fried bitter gourd (dry)</t>
  </si>
  <si>
    <t>করলা ভাজি</t>
  </si>
  <si>
    <t>Momordica charantia</t>
  </si>
  <si>
    <t>Gourd, bitter, fry*</t>
  </si>
  <si>
    <t>Cabbage fry</t>
  </si>
  <si>
    <t>Cabbage (cooked)</t>
  </si>
  <si>
    <t>Okra/Ladies fingers fry</t>
  </si>
  <si>
    <t>ঢেঁড়সের ভাজি</t>
  </si>
  <si>
    <t>Recipe analysis (n=5); values taken from okra curry recipes.</t>
  </si>
  <si>
    <t>33121</t>
  </si>
  <si>
    <t>Fried okra</t>
  </si>
  <si>
    <t>Jackfruit seed fry</t>
  </si>
  <si>
    <t>কাঁঠালের বীচির ভাজি</t>
  </si>
  <si>
    <t>Jackfruit seed (cooked)</t>
  </si>
  <si>
    <t>Cooking (green) banana fry</t>
  </si>
  <si>
    <t>কাঁচা কলার ভাজি</t>
  </si>
  <si>
    <t>Fried Root Yam</t>
  </si>
  <si>
    <t>Recipe analysis (n=1); imputed from bhujiya (recipe ID: 2005)</t>
  </si>
  <si>
    <t>20711</t>
  </si>
  <si>
    <t>Yam (fried)</t>
  </si>
  <si>
    <t>Tomato chutney</t>
  </si>
  <si>
    <t>টমেটোর চাটনি</t>
  </si>
  <si>
    <t>36001</t>
  </si>
  <si>
    <t>Rui (cooked)</t>
  </si>
  <si>
    <t>বড় পাঙ্গাস মাছ</t>
  </si>
  <si>
    <t>IFCT</t>
  </si>
  <si>
    <t>S001</t>
  </si>
  <si>
    <t>Cat fish (Tandanus tandanus)</t>
  </si>
  <si>
    <t>Fried fish fillet pieces</t>
  </si>
  <si>
    <t>USDA (SR25)</t>
  </si>
  <si>
    <t>CATFISH,CHANNEL,CKD,BREADED&amp;FRIED</t>
  </si>
  <si>
    <t>Fried fish eggs</t>
  </si>
  <si>
    <t>USDA (SR26)</t>
  </si>
  <si>
    <t> 174188 </t>
  </si>
  <si>
    <t>CAVIAR,BLACK&amp;RED,GRANULAR</t>
  </si>
  <si>
    <t xml:space="preserve">	0.649</t>
  </si>
  <si>
    <t>Goat curry</t>
  </si>
  <si>
    <t>51011</t>
  </si>
  <si>
    <t>Duck curry</t>
  </si>
  <si>
    <t>53011</t>
  </si>
  <si>
    <t>Pigeon curry</t>
  </si>
  <si>
    <t>Chicken egg fried</t>
  </si>
  <si>
    <t>মুরগীর ডিম পোচ</t>
  </si>
  <si>
    <t>USDA (SR)</t>
  </si>
  <si>
    <t>Egg, whole, cooked, fried</t>
  </si>
  <si>
    <t xml:space="preserve">1.31	</t>
  </si>
  <si>
    <t>Duck egg fried</t>
  </si>
  <si>
    <t>হাঁসের ডিম পোচ</t>
  </si>
  <si>
    <t>Survey (FNDDS)</t>
  </si>
  <si>
    <t>Duck egg, cooked</t>
  </si>
  <si>
    <t>Omelette</t>
  </si>
  <si>
    <t>ডিম ভাজা</t>
  </si>
  <si>
    <t>M010</t>
  </si>
  <si>
    <t>Egg, country hen, omlet</t>
  </si>
  <si>
    <t>Fried meat pieces</t>
  </si>
  <si>
    <t>ভাজা মাংসের টুকরা</t>
  </si>
  <si>
    <t>171074 </t>
  </si>
  <si>
    <t>Chicken, broilers or fryers, back, meat only, cooked, fried</t>
  </si>
  <si>
    <t>Mango pickle</t>
  </si>
  <si>
    <t>আমের আঁচার</t>
  </si>
  <si>
    <t>USDA-Branded</t>
  </si>
  <si>
    <t>MANGO PICKLE</t>
  </si>
  <si>
    <t>Mishti (gulab jamun/ etc)</t>
  </si>
  <si>
    <t>মিষ্টি</t>
  </si>
  <si>
    <t>Cofids</t>
  </si>
  <si>
    <t>Milky indian sweets (Lalmohan, rasbari, peda/barfi)</t>
  </si>
  <si>
    <t>Chenna (Sweet cheese ball)</t>
  </si>
  <si>
    <t>ছানা</t>
  </si>
  <si>
    <t>L004</t>
  </si>
  <si>
    <t>Khoa</t>
  </si>
  <si>
    <t>Ras malai (chenna in sweet milk)</t>
  </si>
  <si>
    <t>রস মালাই</t>
  </si>
  <si>
    <t>USDA (Haldiram brand label)</t>
  </si>
  <si>
    <t>MITHA MAGIC RASMALAI</t>
  </si>
  <si>
    <t>Laddu (chickpea flour sweet)</t>
  </si>
  <si>
    <t>Jeri / jilebi (deep fried sugar snack)</t>
  </si>
  <si>
    <t>জিলাপী</t>
  </si>
  <si>
    <t xml:space="preserve">Jeri / jilebi (deep fried sugar snack) </t>
  </si>
  <si>
    <t>Vermicelli (sewai) pudding</t>
  </si>
  <si>
    <t>সেমাই</t>
  </si>
  <si>
    <t xml:space="preserve">Vermicelli (sewai) pudding </t>
  </si>
  <si>
    <t>Semolina haluwa</t>
  </si>
  <si>
    <t>সুজির হালুয়া/বরফি</t>
  </si>
  <si>
    <t>Suji (milk unknown)</t>
  </si>
  <si>
    <t xml:space="preserve">ice cream </t>
  </si>
  <si>
    <t>আইস ক্রীম</t>
  </si>
  <si>
    <t>Ice creams, vanilla</t>
  </si>
  <si>
    <t>Fuchka</t>
  </si>
  <si>
    <t>ফুচকা</t>
  </si>
  <si>
    <t>MINT FCT</t>
  </si>
  <si>
    <t>Values from Haldiram's pani puri</t>
  </si>
  <si>
    <t>Samosa</t>
  </si>
  <si>
    <t>সামুচা</t>
  </si>
  <si>
    <t>15-305</t>
  </si>
  <si>
    <t>Chop</t>
  </si>
  <si>
    <t>চপ</t>
  </si>
  <si>
    <t>Pakora / kachuri / aluchap / taruwa</t>
  </si>
  <si>
    <t>Bun</t>
  </si>
  <si>
    <t>বন্রুটি</t>
  </si>
  <si>
    <t>Bread, bun/roll</t>
  </si>
  <si>
    <t>Roasted maize</t>
  </si>
  <si>
    <t>ভুট্টা ভাজা</t>
  </si>
  <si>
    <t>08648</t>
  </si>
  <si>
    <t>CEREALS RTE,KASHI SIMPLY MAIZE</t>
  </si>
  <si>
    <t>Roasted gram</t>
  </si>
  <si>
    <t>কলাই ভাজা</t>
  </si>
  <si>
    <t>Nepal Food Composition Database (unable to account for roasting)</t>
  </si>
  <si>
    <t>Horse gram, roasted</t>
  </si>
  <si>
    <t>Roasted chick peas</t>
  </si>
  <si>
    <t>বুট ভাজা</t>
  </si>
  <si>
    <t>Locally sourced item [Haldiram's brand 'chana cracker']</t>
  </si>
  <si>
    <t xml:space="preserve">Roasted chick peas </t>
  </si>
  <si>
    <t>Papad (lentil chip)</t>
  </si>
  <si>
    <t>পাপড়</t>
  </si>
  <si>
    <t>Locally sourced item [Bikayi brand]</t>
  </si>
  <si>
    <t>Papad</t>
  </si>
  <si>
    <t>Biscuit (sweet)</t>
  </si>
  <si>
    <t>বিস্কুট</t>
  </si>
  <si>
    <t>Biscuit, sweet</t>
  </si>
  <si>
    <t>Roasted dried peas</t>
  </si>
  <si>
    <t>মটর ভাজা</t>
  </si>
  <si>
    <t>13-102</t>
  </si>
  <si>
    <t>Beans, pigeon peas, whole, dried, raw</t>
  </si>
  <si>
    <t>Black tea with sugar</t>
  </si>
  <si>
    <t>লাল চা</t>
  </si>
  <si>
    <t>Camellia sinensis</t>
  </si>
  <si>
    <t>Tea, infusion (with sugar)</t>
  </si>
  <si>
    <t>Black tea with sugar and milk</t>
  </si>
  <si>
    <t>দুধ চা</t>
  </si>
  <si>
    <t>Tea infusion (with sugar and milk powder, whole fat)</t>
  </si>
  <si>
    <t>Black tea with lemon and sugar</t>
  </si>
  <si>
    <t>লেবু চা</t>
  </si>
  <si>
    <t>99236</t>
  </si>
  <si>
    <t>Tea with lemon and sugar</t>
  </si>
  <si>
    <t>Lemon or lime sugar water</t>
  </si>
  <si>
    <t>লেবুর শরবৎ</t>
  </si>
  <si>
    <t>Preparation (10 ml lemon juice and 10g sugar)</t>
  </si>
  <si>
    <t>40283</t>
  </si>
  <si>
    <t>Chicken egg boiled</t>
  </si>
  <si>
    <t>Egg, chicken, native, boiled* (without salt)</t>
  </si>
  <si>
    <t>Duck egg boiled</t>
  </si>
  <si>
    <t>Egg, duck, whole, boiled* (without salt)</t>
  </si>
  <si>
    <t>Boiled chickpea</t>
  </si>
  <si>
    <t>ছোলা/বুট</t>
  </si>
  <si>
    <t>173757 </t>
  </si>
  <si>
    <t>Chickpeas (garbanzo beans, bengal gram), mature seeds, cooked, boiled, without salt</t>
  </si>
  <si>
    <t xml:space="preserve">60.2	</t>
  </si>
  <si>
    <t xml:space="preserve">	8.86</t>
  </si>
  <si>
    <t xml:space="preserve">	2.59</t>
  </si>
  <si>
    <t>Mixed sak (cooked)</t>
  </si>
  <si>
    <t>Imputed from Minrd red spinach sak recipe</t>
  </si>
  <si>
    <t>(Jute leaf, Bottle gourd, red spinach, malabar, radish leaf)</t>
  </si>
  <si>
    <t>Red spinach sak</t>
  </si>
  <si>
    <t>Cake/pitha (Sujir pitha/Semolina snacks)</t>
  </si>
  <si>
    <t>Snake gourd, taro root, and eggplant curry (mix veg 4)</t>
  </si>
  <si>
    <t>Okra, Green papaya, Potato, Bitter gourd(mix veg 5)</t>
  </si>
  <si>
    <t>Naru (coconut mishti)</t>
  </si>
  <si>
    <t>Recipe unique ID</t>
  </si>
  <si>
    <t>Recipe source</t>
  </si>
  <si>
    <t>Item name (English)</t>
  </si>
  <si>
    <t>Item name (Bangla)</t>
  </si>
  <si>
    <t>Food item code (food list)</t>
  </si>
  <si>
    <t>Ingredient code (FCT)</t>
  </si>
  <si>
    <t>Photo atlas page number</t>
  </si>
  <si>
    <t>Ingredient name (English)</t>
  </si>
  <si>
    <t>Ingredient name (Bangla)</t>
  </si>
  <si>
    <t>Ingredient Weight (raw)</t>
  </si>
  <si>
    <t>Unit (mL/g)</t>
  </si>
  <si>
    <t>Pot weight before cooking (g)</t>
  </si>
  <si>
    <t>Pot weight after cooking (g)</t>
  </si>
  <si>
    <t>Total Raw weight</t>
  </si>
  <si>
    <t>Total weight of food (g)</t>
  </si>
  <si>
    <t>Number made</t>
  </si>
  <si>
    <t>Jackfruit seed</t>
  </si>
  <si>
    <t>g</t>
  </si>
  <si>
    <t>পেঁয়াজ</t>
  </si>
  <si>
    <t>Imputed from Alur (potato) dal (আলুর ডাল)</t>
  </si>
  <si>
    <t>কাঁঠালের বীচির ডাল</t>
  </si>
  <si>
    <t>Salt</t>
  </si>
  <si>
    <t>লবণ</t>
  </si>
  <si>
    <t>Turmeric powder</t>
  </si>
  <si>
    <t>হলুদের গুঁড়ো</t>
  </si>
  <si>
    <t>তেল (সয়াবিন)</t>
  </si>
  <si>
    <t>Five seasoning spices</t>
  </si>
  <si>
    <t>পাঁচফোড়ন</t>
  </si>
  <si>
    <t>রসুন</t>
  </si>
  <si>
    <t>পানি</t>
  </si>
  <si>
    <t>Potato</t>
  </si>
  <si>
    <t>আলু</t>
  </si>
  <si>
    <t>Cucumber</t>
  </si>
  <si>
    <t>Imputed from bottle gourd curry (মিক্সড সবজি তরকারি (৬))</t>
  </si>
  <si>
    <t>Water pumpkin/ash gourd</t>
  </si>
  <si>
    <t>impute from bottle gourd curry (মিক্সড সবজি তরকারি (৬))</t>
  </si>
  <si>
    <t>Taro root stem</t>
  </si>
  <si>
    <t>Potato (local small)</t>
  </si>
  <si>
    <t>আলু (ছোট দেশি)</t>
  </si>
  <si>
    <t>impute from long yam stem curry (কচুর ডাটার তরকারি)</t>
  </si>
  <si>
    <t>রসুুন</t>
  </si>
  <si>
    <t>ধনেপাতা</t>
  </si>
  <si>
    <t>Impute from long yam stem (hard) fry (কচুর ডাটার ভাজি)</t>
  </si>
  <si>
    <t>কচুর লতির ভাজি</t>
  </si>
  <si>
    <t>Dry chili</t>
  </si>
  <si>
    <t>শুকনা মরিচ</t>
  </si>
  <si>
    <t>impute from potato smash (আলু ভর্তা)</t>
  </si>
  <si>
    <t>কচুর মূখীর ভর্তা</t>
  </si>
  <si>
    <t>সরিষার তেল</t>
  </si>
  <si>
    <t>used to boil potatos</t>
  </si>
  <si>
    <t>N/A</t>
  </si>
  <si>
    <t>Egg</t>
  </si>
  <si>
    <t>impute using aloo smash recipe (আলু ভর্তা)</t>
  </si>
  <si>
    <t>ডিম ভর্তা</t>
  </si>
  <si>
    <t>white Wheat flour</t>
  </si>
  <si>
    <t>Impute from Chapri (Savory rice pancake) (চালের চাপড়ি)</t>
  </si>
  <si>
    <t>গমের চাপরি</t>
  </si>
  <si>
    <t>Mung lentil Dal</t>
  </si>
  <si>
    <t>impute using mooshor dal recipe (পাতলা ডাল)</t>
  </si>
  <si>
    <t>রসুন বাটা</t>
  </si>
  <si>
    <t>Panch phoron</t>
  </si>
  <si>
    <t>পাঁচ ফোড়ন</t>
  </si>
  <si>
    <t>mL</t>
  </si>
  <si>
    <t>হলুদ গুঁড়ো</t>
  </si>
  <si>
    <t>Black gram Dal</t>
  </si>
  <si>
    <t>impute using rice flour dal</t>
  </si>
  <si>
    <t>মাসকলাই /গাছকলাই ডাল</t>
  </si>
  <si>
    <t>Dried chilli powder</t>
  </si>
  <si>
    <t>শুঁকনো মরিচের গুঁড়া</t>
  </si>
  <si>
    <t>ধনিয়া গুঁড়ো</t>
  </si>
  <si>
    <t>দারুচিনি</t>
  </si>
  <si>
    <t>গোল মরিচ</t>
  </si>
  <si>
    <t>লবঙ্গ</t>
  </si>
  <si>
    <t xml:space="preserve">Khesari dal </t>
  </si>
  <si>
    <t>খেসারি /বাকলা কালাই ডাল</t>
  </si>
  <si>
    <t>Impute from Red spinach sak recipe (লাল শাক)</t>
  </si>
  <si>
    <t>কচুুর মুখী</t>
  </si>
  <si>
    <t>Impute from Taro root curry</t>
  </si>
  <si>
    <t>ধনিয়া পাতা</t>
  </si>
  <si>
    <t>Medium Taro root</t>
  </si>
  <si>
    <t>শিম</t>
  </si>
  <si>
    <t>impute from green bean fry শিম ভাজি</t>
  </si>
  <si>
    <t>Impute from Green pumpkin (courgette) fry</t>
  </si>
  <si>
    <t>চাল কুমড়া/জালি কুমড়ার ভাজি</t>
  </si>
  <si>
    <t xml:space="preserve">Sponge gourd </t>
  </si>
  <si>
    <t>ধুন্দলের ভাজি</t>
  </si>
  <si>
    <t>impute from long yam stem fry</t>
  </si>
  <si>
    <t>বাক্স কচু/মান কচু ভাজি</t>
  </si>
  <si>
    <t>Impute from pointed gourd fry</t>
  </si>
  <si>
    <t>কাঁকরোলের ভাজি</t>
  </si>
  <si>
    <t>কাঁচা পেঁপের ভাজি</t>
  </si>
  <si>
    <t>বাদাম (ভাজা)</t>
  </si>
  <si>
    <t>impute from peanut smash</t>
  </si>
  <si>
    <t>Okra / Ladies fingers</t>
  </si>
  <si>
    <t>Impute from bitter gourd smash</t>
  </si>
  <si>
    <t>ঢেঁড়সের ভর্তা</t>
  </si>
  <si>
    <t>তেল (সরিষা)</t>
  </si>
  <si>
    <t>পটলের ভর্তা</t>
  </si>
  <si>
    <t>impute from potato smash</t>
  </si>
  <si>
    <t>কাঁঠালের বিচির ভর্তা</t>
  </si>
  <si>
    <t xml:space="preserve">Luffa gourd </t>
  </si>
  <si>
    <t>impute from yellow pumpkin smash</t>
  </si>
  <si>
    <t>Arum spinach stem</t>
  </si>
  <si>
    <t>impute from long yam stem curry</t>
  </si>
  <si>
    <t>Impute from Large fish curry</t>
  </si>
  <si>
    <t>শুকনা মরিচের গুঁড়ো</t>
  </si>
  <si>
    <t>Impute from Medium fish curry</t>
  </si>
  <si>
    <t>জিরা (গুঁড়ো)</t>
  </si>
  <si>
    <t>Impute from small fish curry</t>
  </si>
  <si>
    <t>গোটা জিরার গুঁড়ো</t>
  </si>
  <si>
    <t xml:space="preserve">Pabda fish (Small) </t>
  </si>
  <si>
    <t>fish</t>
  </si>
  <si>
    <t>Impute from dried fish smash</t>
  </si>
  <si>
    <t>মাছের ভর্তা</t>
  </si>
  <si>
    <t>Dried chilli</t>
  </si>
  <si>
    <t>শিদলের ভর্তা</t>
  </si>
  <si>
    <t>yam</t>
  </si>
  <si>
    <t>Prawn</t>
  </si>
  <si>
    <t>চিংড়ি মাছের ভর্তা</t>
  </si>
  <si>
    <t>Intestine</t>
  </si>
  <si>
    <t>impute from chicken skin curry</t>
  </si>
  <si>
    <t>বট/ভূড়ী তরকারী</t>
  </si>
  <si>
    <t>কালো গোল মরিচ</t>
  </si>
  <si>
    <t>impute from chicken curry</t>
  </si>
  <si>
    <t>ছোট এলাচ</t>
  </si>
  <si>
    <t>Coasted cumin</t>
  </si>
  <si>
    <t>impute from jolpai pickle</t>
  </si>
  <si>
    <t>Fennel Seed powder</t>
  </si>
  <si>
    <t>মৌরির গুঁড়া</t>
  </si>
  <si>
    <t>Sugarcane Jaggery</t>
  </si>
  <si>
    <t>আখের গুড়</t>
  </si>
  <si>
    <t>রসুুুন</t>
  </si>
  <si>
    <t>গরম মসলা (সাদা এলাচ, কালো এলাচ, দারুচিনি, লং, গোল মরিচ</t>
  </si>
  <si>
    <t>চিনি</t>
  </si>
  <si>
    <t>Cow milk</t>
  </si>
  <si>
    <t>impute from carrot haluwa</t>
  </si>
  <si>
    <t>বুটের হালুয়া</t>
  </si>
  <si>
    <t>তেজপাতাা</t>
  </si>
  <si>
    <t>impute recipe from ginger tea with clove (with sugar)</t>
  </si>
  <si>
    <t>আদা চা লবঙ্গ সহ (চিনি ছাড়া)</t>
  </si>
  <si>
    <t>Tea-leaf</t>
  </si>
  <si>
    <t>চা পাতা</t>
  </si>
  <si>
    <t>আদা চা (চিনি সহ)</t>
  </si>
  <si>
    <t>Fish</t>
  </si>
  <si>
    <t>Impute recipe from dried fish smash</t>
  </si>
  <si>
    <t>Wheat flour</t>
  </si>
  <si>
    <t>impute from cake with egg</t>
  </si>
  <si>
    <t>Black cumin (Nigella)</t>
  </si>
  <si>
    <t>Imputed from Fried eggplant</t>
  </si>
  <si>
    <t>Nutrient#1</t>
  </si>
  <si>
    <t>Original Source Item Name</t>
  </si>
  <si>
    <t>Original Source nutrient value</t>
  </si>
  <si>
    <t>Alternative Source Item Name</t>
  </si>
  <si>
    <t>Alternative Source nutrient value</t>
  </si>
  <si>
    <t>Nutrient#2</t>
  </si>
  <si>
    <t>Nutrient#3</t>
  </si>
  <si>
    <t>Nutrient#4</t>
  </si>
  <si>
    <t>Vitamin C (mg)</t>
  </si>
  <si>
    <t>SR legacy</t>
  </si>
  <si>
    <t>21mg</t>
  </si>
  <si>
    <t>7.7mg</t>
  </si>
  <si>
    <t>4.5mg</t>
  </si>
  <si>
    <t>alpha-carotene (mcg)</t>
  </si>
  <si>
    <t>21mcg</t>
  </si>
  <si>
    <t>N/a</t>
  </si>
  <si>
    <t>7 mcg</t>
  </si>
  <si>
    <t>Vitamin B12 (mcg)</t>
  </si>
  <si>
    <t>3mcg</t>
  </si>
  <si>
    <t>1.8mg</t>
  </si>
  <si>
    <t>Vitamin D2_D3</t>
  </si>
  <si>
    <t>23.3mcg</t>
  </si>
  <si>
    <t>9.51mcg</t>
  </si>
  <si>
    <t>10.7mg</t>
  </si>
  <si>
    <t xml:space="preserve"> β - Carotene</t>
  </si>
  <si>
    <t>88mcg</t>
  </si>
  <si>
    <t>1.58mcg</t>
  </si>
  <si>
    <t>Energy kcal</t>
  </si>
  <si>
    <t>884kcal</t>
  </si>
  <si>
    <t>total fat (g)</t>
  </si>
  <si>
    <t>100g</t>
  </si>
  <si>
    <t>Vitamin E (mg)</t>
  </si>
  <si>
    <t>41.1mg</t>
  </si>
  <si>
    <t>5.4mcg</t>
  </si>
  <si>
    <t>32.3mg</t>
  </si>
  <si>
    <t>24.7mcg</t>
  </si>
  <si>
    <t>category</t>
  </si>
  <si>
    <t>India fct variables</t>
  </si>
  <si>
    <t xml:space="preserve">Bangla fct variables </t>
  </si>
  <si>
    <t>FNDDS variables</t>
  </si>
  <si>
    <t>Nepal fct variables</t>
  </si>
  <si>
    <t>CoFID variables</t>
  </si>
  <si>
    <t>proximate principles and dietary fibre</t>
  </si>
  <si>
    <t>Moisture (g)</t>
  </si>
  <si>
    <t>Water (g)</t>
  </si>
  <si>
    <t>Protein (g)</t>
  </si>
  <si>
    <t>Ash (g)</t>
  </si>
  <si>
    <t>n/a</t>
  </si>
  <si>
    <t>Total Fat (g)</t>
  </si>
  <si>
    <t>Total Dietary Fibre (g)</t>
  </si>
  <si>
    <t>Insoluble Dietary Fibre (g)</t>
  </si>
  <si>
    <t>Soluble Dietary Fibre (g)</t>
  </si>
  <si>
    <t>Carbohydrate (g)</t>
  </si>
  <si>
    <t>Energy (kJ)</t>
  </si>
  <si>
    <t>Energy (kcal)</t>
  </si>
  <si>
    <t>water soluble vitamins</t>
  </si>
  <si>
    <t>Thiamine (B1) (mg)</t>
  </si>
  <si>
    <t>Riboflavin (B2) (mg)</t>
  </si>
  <si>
    <t>Niacin (B3) (mg)</t>
  </si>
  <si>
    <t>Pantothenic Acid (B5) (mg)</t>
  </si>
  <si>
    <t>SR28- pantothenic acid (mg)</t>
  </si>
  <si>
    <t>Pantothenate (mg)</t>
  </si>
  <si>
    <t>Total B6 (mg)</t>
  </si>
  <si>
    <t>Total Folates (B9) (μg)</t>
  </si>
  <si>
    <t>Folate (μg)</t>
  </si>
  <si>
    <t>Vitamin B12 (μg)</t>
  </si>
  <si>
    <t>Total Ascorbic Acid (Vit C) (mg)</t>
  </si>
  <si>
    <t> fat soluble vitamins</t>
  </si>
  <si>
    <t>Vit D: Ergocalciferol (D2); Cholecalciferol (D3) (μg) (separate values)</t>
  </si>
  <si>
    <t>Vit D2+ D3 (μg)</t>
  </si>
  <si>
    <t>Vit D2+ D3  (μg)</t>
  </si>
  <si>
    <t>fat soluble vitamins</t>
  </si>
  <si>
    <t xml:space="preserve"> Tocopherols (α-T); α-Tocopherol Equivalent (mg)</t>
  </si>
  <si>
    <t>Vit E (mg)  (in alpha-tocopherol equivalents) or [alpha- tocopherol]</t>
  </si>
  <si>
    <t>Vit E [alpha- tocopherol] (mg)</t>
  </si>
  <si>
    <t xml:space="preserve"> Tocopherols (α-T)</t>
  </si>
  <si>
    <t>Phylloquinones (K1) (μg)</t>
  </si>
  <si>
    <t>Retinol (vit A) (μg)</t>
  </si>
  <si>
    <t>Vit A_ Retinol activity equivalent (RAE) (μg)</t>
  </si>
  <si>
    <t>Vit A_ Retinol activity equivalent (RAE)  (μg)</t>
  </si>
  <si>
    <t>carotenoids</t>
  </si>
  <si>
    <t xml:space="preserve">Lutein; Zeaxanthin; Lycopene; β - Cryptoxanthin; α - Carotene; β - Carotene; </t>
  </si>
  <si>
    <t xml:space="preserve">  β - Carotene, α - Carotene; Lutein; Zeaxanthin; Lycopene; β - Cryptoxanthin</t>
  </si>
  <si>
    <t xml:space="preserve"> α - Carotene; β - Carotene; β - Cryptoxanthin;  Lycopene;  Lutein; Zeaxanthin; (μg)</t>
  </si>
  <si>
    <t>Carotene (μg)</t>
  </si>
  <si>
    <t>Carotene; α - Carotene; β - Carotene; Cryptoxanthin; Lycopene;  Lutein (μg)</t>
  </si>
  <si>
    <t>minerals and trace elements</t>
  </si>
  <si>
    <t>Calcium (Ca) (mg)</t>
  </si>
  <si>
    <t>Copper (Cu) (mg)</t>
  </si>
  <si>
    <t xml:space="preserve">Iron (Fe) (mg) </t>
  </si>
  <si>
    <t>Magnesium (Mg) (mg)</t>
  </si>
  <si>
    <t>Manganese (Mn) (mg)</t>
  </si>
  <si>
    <t>SR28- Manganese (mg)</t>
  </si>
  <si>
    <t>Phosphorus (P) (mg)</t>
  </si>
  <si>
    <t>Potassium (K) (mg)</t>
  </si>
  <si>
    <t>Selenium (Se) (μg)</t>
  </si>
  <si>
    <t>Zinc (Zn) (mg)</t>
  </si>
  <si>
    <t>fatty acid profile</t>
  </si>
  <si>
    <t>Capric (C10:0) (g)</t>
  </si>
  <si>
    <t>Lauric (C12:0) (g)</t>
  </si>
  <si>
    <t>Myristic (C14:0) (g)</t>
  </si>
  <si>
    <t>Palmitic (C16:0) (g)</t>
  </si>
  <si>
    <t>Arachidic (C20:0) (mg)</t>
  </si>
  <si>
    <t>Arachidic (C20:0) (g)</t>
  </si>
  <si>
    <t>Behenic (C22:0)(mg)</t>
  </si>
  <si>
    <t>Behenic (C22:0)(g)</t>
  </si>
  <si>
    <t>Lignoceric (C24:0)(mg)</t>
  </si>
  <si>
    <t>Lignoceric (C24:0)(g)</t>
  </si>
  <si>
    <t>Myristoleic (C14:1)(mg)</t>
  </si>
  <si>
    <t>Myristoleic (C14:1)(g)</t>
  </si>
  <si>
    <t>Palmitoleic (C16:1)(g)</t>
  </si>
  <si>
    <t>Oleic (C18:1n9)(g)</t>
  </si>
  <si>
    <t>Erucic (C22:1n9)(g)</t>
  </si>
  <si>
    <t>Nervonic (C24:1n9)(mg)</t>
  </si>
  <si>
    <t>Linoleic (C18:2n6)(g)</t>
  </si>
  <si>
    <t>Eicosadienoic (C20:2)(mg)</t>
  </si>
  <si>
    <t>Eicosadienoic (C20:2)(g)</t>
  </si>
  <si>
    <t>Docosadienoic (C22:2) (mg)</t>
  </si>
  <si>
    <t>Docosadienoic (C22:2) (g)</t>
  </si>
  <si>
    <t>Α-Linolenic (C18:3n3) (g)</t>
  </si>
  <si>
    <t>Docosa pentaenoic (C22:5n3) (mg)</t>
  </si>
  <si>
    <t>Docosa pentaenoic (C22:5n3) (g)</t>
  </si>
  <si>
    <t>Arachidonic(C20:4n6) (g)</t>
  </si>
  <si>
    <t>Total Saturated Fatty Acids (TSFA) (mg)</t>
  </si>
  <si>
    <t>SFA (g)</t>
  </si>
  <si>
    <t>Total Mono Unsaturated Fatty Acids (TMUFA) (mg)</t>
  </si>
  <si>
    <t>MUFA (g)</t>
  </si>
  <si>
    <t>Total Poly Unsaturated Fatty Acids (TPUFA) (mg)</t>
  </si>
  <si>
    <t>PUFA (g)</t>
  </si>
  <si>
    <t>Undecanoic (C11:0) (mg)</t>
  </si>
  <si>
    <t>Pentadecanoic (C15:0) (mg)</t>
  </si>
  <si>
    <t>Eicosatrienoic (C20:3n6)(mg)</t>
  </si>
  <si>
    <t>Eicosapentaenoic (C20:5n3)(g)</t>
  </si>
  <si>
    <t>Eicosapentaenoic (C20:5n3)(mg)</t>
  </si>
  <si>
    <t>Docosahexaenoic(C22:6n3)(g)</t>
  </si>
  <si>
    <t>Docosahexaenoic(C22:6n3)(mg)</t>
  </si>
  <si>
    <t>Cholesterol (mg)</t>
  </si>
  <si>
    <t>amino acid profile</t>
  </si>
  <si>
    <t>Histidine (g)</t>
  </si>
  <si>
    <t>Histidine (mg)</t>
  </si>
  <si>
    <t>SR28-histidine (g)</t>
  </si>
  <si>
    <t>Isoleucine (g)</t>
  </si>
  <si>
    <t>Isoleucine (mg)</t>
  </si>
  <si>
    <t>Leucine(g)</t>
  </si>
  <si>
    <t>Leucine (mg)</t>
  </si>
  <si>
    <t>Lysine(g)</t>
  </si>
  <si>
    <t>Lysine(mg)</t>
  </si>
  <si>
    <t>Methionine(g)</t>
  </si>
  <si>
    <t>Methionine(mg)</t>
  </si>
  <si>
    <t>Cystine (g)</t>
  </si>
  <si>
    <t>Cystine (mg)</t>
  </si>
  <si>
    <t>Phenylalanine (g)</t>
  </si>
  <si>
    <t>Phenylalanine (mg)</t>
  </si>
  <si>
    <t>Threonine(g)</t>
  </si>
  <si>
    <t>Threonine(mg)</t>
  </si>
  <si>
    <t>Tryptophan(g)</t>
  </si>
  <si>
    <t>Tryptophan(mg)</t>
  </si>
  <si>
    <t>Valine(g)</t>
  </si>
  <si>
    <t>Valine(mg)</t>
  </si>
  <si>
    <t>Alanine(g)</t>
  </si>
  <si>
    <t>Alanine(mg)</t>
  </si>
  <si>
    <t>Arginine(g)</t>
  </si>
  <si>
    <t>Arginine(mg)</t>
  </si>
  <si>
    <t>Aspartic Acid(g)</t>
  </si>
  <si>
    <t>Aspartic Acid(mg)</t>
  </si>
  <si>
    <t>Glutamic Acid(g)</t>
  </si>
  <si>
    <t>Glutamic Acid(mg)</t>
  </si>
  <si>
    <t>Glycine(g)</t>
  </si>
  <si>
    <t>Glycine(mg)</t>
  </si>
  <si>
    <t>Proline(g)</t>
  </si>
  <si>
    <t>Proline(mg)</t>
  </si>
  <si>
    <t>Serine(g)</t>
  </si>
  <si>
    <t>Serine(mg)</t>
  </si>
  <si>
    <t>Tyrosine(g)</t>
  </si>
  <si>
    <t>Tyrosine(mg)</t>
  </si>
  <si>
    <t>polyphenols</t>
  </si>
  <si>
    <t>3,4-Dihydroxy Benzoic  acid (mg)</t>
  </si>
  <si>
    <t>3-Hydroxy Benzaldehyde (mg)</t>
  </si>
  <si>
    <t>Protocatechuic acid(mg)</t>
  </si>
  <si>
    <t>Vanillic acid(mg)</t>
  </si>
  <si>
    <t>Gallic acid(mg)</t>
  </si>
  <si>
    <t>Cinnamic acid(mg)</t>
  </si>
  <si>
    <t>O-Coumaric acid(mg)</t>
  </si>
  <si>
    <t>P- Coumaric acid(mg)</t>
  </si>
  <si>
    <t>Caffeic acid(mg)</t>
  </si>
  <si>
    <t>Chlorogenic acid(mg)</t>
  </si>
  <si>
    <t>Ferulic acid(mg)</t>
  </si>
  <si>
    <t>Apigenin(mg)</t>
  </si>
  <si>
    <t>Apigenin-6-C-gluoside(mg)</t>
  </si>
  <si>
    <t>Apigenin-7-O-Neohesperidoside (mg)</t>
  </si>
  <si>
    <t>Luteolin(mg)</t>
  </si>
  <si>
    <t>Kaempferol(mg)</t>
  </si>
  <si>
    <t>Quercetin(mg)</t>
  </si>
  <si>
    <t>Quercetin-3-Beta D-glucoside(mg)</t>
  </si>
  <si>
    <t>Quercetin-3-O-rutinoside(mg)</t>
  </si>
  <si>
    <t>Quercetin-3-Beta galactoside(mg)</t>
  </si>
  <si>
    <t>Isorhamnetin(mg)</t>
  </si>
  <si>
    <t>Myricetin(mg)</t>
  </si>
  <si>
    <t>Resveratrol (mg)</t>
  </si>
  <si>
    <t>Hesperetin(mg)</t>
  </si>
  <si>
    <t>Naringenin(mg)</t>
  </si>
  <si>
    <t>Hesperdin(mg)</t>
  </si>
  <si>
    <t>Daidzein(mg)</t>
  </si>
  <si>
    <t>Genistein(mg)</t>
  </si>
  <si>
    <t>(-)-Epicatechin(mg)</t>
  </si>
  <si>
    <t>(-)-Epigallocatechin(mg)</t>
  </si>
  <si>
    <t>(-)-Epigallocatechin 3-gallate(mg)</t>
  </si>
  <si>
    <t>(+)-Catechin(mg)</t>
  </si>
  <si>
    <t>(-) Gallocatechin Gallate(mg)</t>
  </si>
  <si>
    <t>(-) Gallo catechin(mg)</t>
  </si>
  <si>
    <t>Syringic acid(mg)</t>
  </si>
  <si>
    <t>Sinapinic acid(mg)</t>
  </si>
  <si>
    <t>Ellagic acid(mg)</t>
  </si>
  <si>
    <t>Total Polyphenols(mg)</t>
  </si>
  <si>
    <t>Total phenol (BD13) (mg)</t>
  </si>
  <si>
    <t>oligosaccharides, phytosterols, phytates and saponins</t>
  </si>
  <si>
    <t>Raffinose (g)</t>
  </si>
  <si>
    <t>Stachyose(g)</t>
  </si>
  <si>
    <t>Verbascose(g)</t>
  </si>
  <si>
    <t>Ajugose(g)</t>
  </si>
  <si>
    <t>Campesterol (mg)</t>
  </si>
  <si>
    <t>Stigmasterol(mg)</t>
  </si>
  <si>
    <t>β-Sitosterol(mg)</t>
  </si>
  <si>
    <t>Phytate(mg)</t>
  </si>
  <si>
    <t>oxalate (mg)</t>
  </si>
  <si>
    <t>Total Saponin(g)</t>
  </si>
  <si>
    <t>Butyric (C4:0) (%)</t>
  </si>
  <si>
    <t>Butyric (C4:0) (g)</t>
  </si>
  <si>
    <t>Caproic (C6:0)(%)</t>
  </si>
  <si>
    <t>Caproic (C6:0)(g)</t>
  </si>
  <si>
    <t>Caprylic (C8:0)(%)</t>
  </si>
  <si>
    <t>Caprylic (C8:0)(g)</t>
  </si>
  <si>
    <t>Elaidic (C18:1n9t)(%)</t>
  </si>
  <si>
    <t>MDD_W food group</t>
  </si>
  <si>
    <t>Code</t>
  </si>
  <si>
    <t xml:space="preserve"> Foods made from grains</t>
  </si>
  <si>
    <t>White roots, tubers, plantains</t>
  </si>
  <si>
    <t>Pulses (beans, peas, lentils)</t>
  </si>
  <si>
    <t xml:space="preserve"> Milk and milk products</t>
  </si>
  <si>
    <t>Vitamin A-rich vegetables, roots, and tubers</t>
  </si>
  <si>
    <t>Insects and other small protein foods</t>
  </si>
  <si>
    <t xml:space="preserve"> Other oils and fats</t>
  </si>
  <si>
    <t>Savoury and fried snacks</t>
  </si>
  <si>
    <t>Sugar-sweetened beverages</t>
  </si>
  <si>
    <t>Missing nutrients in IN17</t>
  </si>
  <si>
    <t># of non-zero values got from SR legacy</t>
  </si>
  <si>
    <t># of items we do not have value for it</t>
  </si>
  <si>
    <t>Missing nutrients in BD22</t>
  </si>
  <si>
    <t># of non-zero values got from IN17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</si>
</sst>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3">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0"/>
      <name val="Arial"/>
      <family val="2"/>
    </font>
    <font>
      <b/>
      <sz val="10"/>
      <name val="Arial"/>
      <family val="2"/>
    </font>
    <font>
      <sz val="11"/>
      <color rgb="FF242424"/>
      <name val="Aptos Narrow"/>
      <family val="2"/>
    </font>
    <font>
      <sz val="11"/>
      <color rgb="FF000000"/>
      <name val="Aptos Narrow"/>
      <family val="2"/>
      <scheme val="minor"/>
    </font>
    <font>
      <b/>
      <sz val="11"/>
      <color rgb="FF000000"/>
      <name val="Aptos Narrow"/>
      <family val="2"/>
      <scheme val="minor"/>
    </font>
    <font>
      <sz val="10"/>
      <color theme="1"/>
      <name val="Calibri"/>
      <family val="2"/>
    </font>
    <font>
      <b/>
      <sz val="10"/>
      <color theme="1"/>
      <name val="Calibri"/>
      <family val="2"/>
    </font>
    <font>
      <sz val="10"/>
      <color rgb="FF000000"/>
      <name val="Calibri"/>
      <family val="2"/>
    </font>
    <font>
      <i/>
      <sz val="10"/>
      <color rgb="FF000000"/>
      <name val="Calibri"/>
      <family val="2"/>
    </font>
    <font>
      <i/>
      <sz val="10"/>
      <color rgb="FF000000"/>
      <name val="Aptos Narrow"/>
      <family val="2"/>
      <scheme val="minor"/>
    </font>
    <font>
      <sz val="10"/>
      <color rgb="FF202124"/>
      <name val="Calibri"/>
      <family val="2"/>
    </font>
    <font>
      <sz val="11"/>
      <color theme="1"/>
      <name val="Aptos Narrow"/>
      <family val="2"/>
    </font>
    <font>
      <sz val="11"/>
      <color rgb="FF000000"/>
      <name val="Calibri"/>
      <family val="2"/>
    </font>
    <font>
      <b/>
      <sz val="10"/>
      <color rgb="FF000000"/>
      <name val="Calibri"/>
      <family val="2"/>
    </font>
    <font>
      <b/>
      <sz val="11"/>
      <color rgb="FF000000"/>
      <name val="Calibri"/>
      <family val="2"/>
    </font>
    <font>
      <sz val="11"/>
      <name val="Aptos Narrow"/>
      <family val="2"/>
      <scheme val="minor"/>
    </font>
    <font>
      <sz val="11"/>
      <color theme="1"/>
      <name val="Calibri"/>
      <family val="2"/>
    </font>
    <font>
      <sz val="11"/>
      <color theme="1"/>
      <name val="Aptos Narrow"/>
      <family val="2"/>
      <scheme val="minor"/>
    </font>
    <font>
      <b/>
      <sz val="11"/>
      <color theme="1"/>
      <name val="Arial"/>
      <family val="2"/>
    </font>
    <font>
      <sz val="10"/>
      <color theme="1"/>
      <name val="Arial"/>
      <family val="2"/>
    </font>
    <font>
      <sz val="11"/>
      <color theme="1"/>
      <name val="Arial"/>
      <family val="2"/>
    </font>
    <font>
      <sz val="12"/>
      <color rgb="FF202124"/>
      <name val="Arial"/>
      <family val="2"/>
    </font>
    <font>
      <sz val="11"/>
      <color rgb="FF000000"/>
      <name val="Aptos Narrow"/>
      <family val="2"/>
    </font>
    <font>
      <u/>
      <sz val="11"/>
      <color theme="10"/>
      <name val="Aptos Narrow"/>
      <family val="2"/>
      <scheme val="minor"/>
    </font>
    <font>
      <sz val="10"/>
      <color theme="1"/>
      <name val="Aptos Narrow"/>
      <family val="2"/>
      <scheme val="minor"/>
    </font>
    <font>
      <i/>
      <sz val="11"/>
      <color theme="1"/>
      <name val="Calibri"/>
      <family val="2"/>
    </font>
    <font>
      <i/>
      <sz val="11"/>
      <color theme="1"/>
      <name val="Aptos Narrow"/>
      <family val="2"/>
      <scheme val="minor"/>
    </font>
    <font>
      <sz val="11"/>
      <color rgb="FF1F1F1F"/>
      <name val="Aptos Narrow"/>
      <family val="2"/>
      <scheme val="minor"/>
    </font>
    <font>
      <sz val="10"/>
      <color rgb="FF000000"/>
      <name val="Arial"/>
      <family val="2"/>
    </font>
    <font>
      <sz val="12"/>
      <color rgb="FF212121"/>
      <name val="Source Sans Pro"/>
      <family val="2"/>
    </font>
    <font>
      <sz val="10"/>
      <name val="MS Sans Serif"/>
    </font>
    <font>
      <sz val="13"/>
      <color rgb="FF212121"/>
      <name val="Source Sans Pro"/>
      <family val="2"/>
    </font>
    <font>
      <sz val="10"/>
      <color rgb="FF000000"/>
      <name val="Helvetica Neue"/>
      <family val="2"/>
    </font>
    <font>
      <sz val="11"/>
      <name val="Calibri"/>
      <family val="2"/>
    </font>
    <font>
      <sz val="11"/>
      <color rgb="FF000000"/>
      <name val="Aptos Narrow"/>
      <family val="2"/>
      <charset val="1"/>
    </font>
    <font>
      <sz val="10"/>
      <color rgb="FF202124"/>
      <name val="Arial"/>
      <family val="2"/>
    </font>
    <font>
      <sz val="8"/>
      <color rgb="FF000000"/>
      <name val="Helvetica Neue"/>
      <charset val="1"/>
    </font>
    <font>
      <b/>
      <sz val="11"/>
      <color theme="1"/>
      <name val="Aptos Narrow"/>
      <scheme val="minor"/>
    </font>
    <font>
      <b/>
      <sz val="11"/>
      <color rgb="FF000000"/>
      <name val="Aptos Narrow"/>
      <scheme val="minor"/>
    </font>
  </fonts>
  <fills count="10">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rgb="FFB0B3B2"/>
        <bgColor indexed="64"/>
      </patternFill>
    </fill>
    <fill>
      <patternFill patternType="solid">
        <fgColor theme="2" tint="-9.9978637043366805E-2"/>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rgb="FFD0D7E5"/>
      </left>
      <right style="thin">
        <color rgb="FFD0D7E5"/>
      </right>
      <top style="thin">
        <color rgb="FFD0D7E5"/>
      </top>
      <bottom style="thin">
        <color rgb="FFD0D7E5"/>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000000"/>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rgb="FFCCCCCC"/>
      </left>
      <right style="thin">
        <color rgb="FFCCCCCC"/>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CCCCCC"/>
      </left>
      <right/>
      <top style="thin">
        <color rgb="FFCCCCCC"/>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style="thin">
        <color rgb="FFCCCCCC"/>
      </right>
      <top style="thin">
        <color rgb="FF000000"/>
      </top>
      <bottom style="thin">
        <color rgb="FFCCCCCC"/>
      </bottom>
      <diagonal/>
    </border>
    <border>
      <left style="thin">
        <color rgb="FFCCCCCC"/>
      </left>
      <right style="thin">
        <color rgb="FF000000"/>
      </right>
      <top style="thin">
        <color rgb="FF000000"/>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s>
  <cellStyleXfs count="2">
    <xf numFmtId="0" fontId="0" fillId="0" borderId="0"/>
    <xf numFmtId="0" fontId="27" fillId="0" borderId="0" applyNumberFormat="0" applyFill="0" applyBorder="0" applyAlignment="0" applyProtection="0"/>
  </cellStyleXfs>
  <cellXfs count="264">
    <xf numFmtId="0" fontId="0" fillId="0" borderId="0" xfId="0"/>
    <xf numFmtId="2" fontId="3" fillId="2" borderId="1" xfId="0" applyNumberFormat="1" applyFont="1" applyFill="1" applyBorder="1" applyAlignment="1">
      <alignment horizontal="center" vertical="top" wrapText="1"/>
    </xf>
    <xf numFmtId="2" fontId="3" fillId="2" borderId="2" xfId="0" applyNumberFormat="1" applyFont="1" applyFill="1" applyBorder="1" applyAlignment="1">
      <alignment horizontal="center" vertical="top" wrapText="1"/>
    </xf>
    <xf numFmtId="2" fontId="3" fillId="2" borderId="3" xfId="0" applyNumberFormat="1" applyFont="1" applyFill="1" applyBorder="1" applyAlignment="1">
      <alignment horizontal="center" vertical="top" wrapText="1"/>
    </xf>
    <xf numFmtId="2" fontId="3" fillId="0" borderId="0" xfId="0" applyNumberFormat="1" applyFont="1" applyAlignment="1">
      <alignment horizontal="center" vertical="top" wrapText="1"/>
    </xf>
    <xf numFmtId="2" fontId="3" fillId="0" borderId="0" xfId="0" applyNumberFormat="1" applyFont="1" applyAlignment="1">
      <alignment horizontal="center" vertical="top"/>
    </xf>
    <xf numFmtId="2" fontId="0" fillId="0" borderId="0" xfId="0" applyNumberFormat="1"/>
    <xf numFmtId="2" fontId="4" fillId="0" borderId="0" xfId="0" applyNumberFormat="1" applyFont="1"/>
    <xf numFmtId="0" fontId="5" fillId="0" borderId="0" xfId="0" applyFont="1"/>
    <xf numFmtId="0" fontId="4" fillId="0" borderId="0" xfId="0" applyFont="1"/>
    <xf numFmtId="0" fontId="0" fillId="0" borderId="0" xfId="0" applyAlignment="1">
      <alignment wrapText="1"/>
    </xf>
    <xf numFmtId="0" fontId="2" fillId="0" borderId="4" xfId="0" applyFont="1" applyBorder="1" applyAlignment="1">
      <alignment wrapText="1"/>
    </xf>
    <xf numFmtId="0" fontId="2" fillId="0" borderId="1" xfId="0" applyFont="1" applyBorder="1" applyAlignment="1">
      <alignment wrapText="1"/>
    </xf>
    <xf numFmtId="0" fontId="2" fillId="0" borderId="1" xfId="0" applyFont="1" applyBorder="1"/>
    <xf numFmtId="0" fontId="0" fillId="0" borderId="2" xfId="0" applyBorder="1"/>
    <xf numFmtId="0" fontId="0" fillId="3" borderId="1" xfId="0" applyFill="1" applyBorder="1" applyAlignment="1">
      <alignment wrapText="1"/>
    </xf>
    <xf numFmtId="0" fontId="0" fillId="3" borderId="4" xfId="0" applyFill="1" applyBorder="1" applyAlignment="1">
      <alignment wrapText="1"/>
    </xf>
    <xf numFmtId="0" fontId="0" fillId="3" borderId="5" xfId="0" applyFill="1" applyBorder="1" applyAlignment="1">
      <alignment wrapText="1"/>
    </xf>
    <xf numFmtId="0" fontId="0" fillId="3" borderId="6" xfId="0" applyFill="1" applyBorder="1" applyAlignment="1">
      <alignment wrapText="1"/>
    </xf>
    <xf numFmtId="0" fontId="0" fillId="0" borderId="1" xfId="0" applyBorder="1" applyAlignment="1">
      <alignment wrapText="1"/>
    </xf>
    <xf numFmtId="0" fontId="0" fillId="0" borderId="6" xfId="0" applyBorder="1" applyAlignment="1">
      <alignment wrapText="1"/>
    </xf>
    <xf numFmtId="0" fontId="0" fillId="0" borderId="5" xfId="0" applyBorder="1" applyAlignment="1">
      <alignment wrapText="1"/>
    </xf>
    <xf numFmtId="0" fontId="0" fillId="0" borderId="4" xfId="0" applyBorder="1" applyAlignment="1">
      <alignment wrapText="1"/>
    </xf>
    <xf numFmtId="0" fontId="6" fillId="3" borderId="0" xfId="0" applyFont="1" applyFill="1"/>
    <xf numFmtId="0" fontId="7" fillId="3" borderId="1" xfId="0" applyFont="1" applyFill="1" applyBorder="1" applyAlignment="1">
      <alignment wrapText="1"/>
    </xf>
    <xf numFmtId="0" fontId="0" fillId="3" borderId="0" xfId="0" applyFill="1" applyAlignment="1">
      <alignment wrapText="1"/>
    </xf>
    <xf numFmtId="0" fontId="7" fillId="3" borderId="4" xfId="0" applyFont="1" applyFill="1" applyBorder="1" applyAlignment="1">
      <alignment wrapText="1"/>
    </xf>
    <xf numFmtId="0" fontId="0" fillId="0" borderId="1" xfId="0" applyBorder="1"/>
    <xf numFmtId="0" fontId="0" fillId="3" borderId="7" xfId="0" applyFill="1" applyBorder="1" applyAlignment="1">
      <alignment wrapText="1"/>
    </xf>
    <xf numFmtId="0" fontId="0" fillId="4" borderId="1" xfId="0" applyFill="1" applyBorder="1" applyAlignment="1">
      <alignment wrapText="1"/>
    </xf>
    <xf numFmtId="0" fontId="9" fillId="0" borderId="0" xfId="0" applyFont="1" applyAlignment="1">
      <alignment horizontal="left"/>
    </xf>
    <xf numFmtId="0" fontId="9" fillId="0" borderId="0" xfId="0" applyFont="1"/>
    <xf numFmtId="0" fontId="9" fillId="0" borderId="0" xfId="0" applyFont="1" applyAlignment="1">
      <alignment horizontal="left" wrapText="1"/>
    </xf>
    <xf numFmtId="0" fontId="9" fillId="0" borderId="0" xfId="0" applyFont="1" applyAlignment="1">
      <alignment wrapText="1"/>
    </xf>
    <xf numFmtId="0" fontId="11" fillId="0" borderId="0" xfId="0" applyFont="1" applyAlignment="1">
      <alignment horizontal="left"/>
    </xf>
    <xf numFmtId="0" fontId="11" fillId="0" borderId="0" xfId="0" applyFont="1"/>
    <xf numFmtId="0" fontId="11" fillId="0" borderId="0" xfId="0" applyFont="1" applyAlignment="1">
      <alignment horizontal="left" wrapText="1"/>
    </xf>
    <xf numFmtId="0" fontId="12" fillId="0" borderId="0" xfId="0" applyFont="1"/>
    <xf numFmtId="0" fontId="11" fillId="0" borderId="0" xfId="0" applyFont="1" applyAlignment="1">
      <alignment wrapText="1"/>
    </xf>
    <xf numFmtId="0" fontId="14" fillId="0" borderId="0" xfId="0" applyFont="1"/>
    <xf numFmtId="0" fontId="10" fillId="0" borderId="0" xfId="0" applyFont="1" applyAlignment="1">
      <alignment horizontal="left"/>
    </xf>
    <xf numFmtId="0" fontId="2" fillId="2" borderId="1" xfId="0" applyFont="1" applyFill="1" applyBorder="1" applyAlignment="1">
      <alignment horizontal="center" vertical="top" wrapText="1"/>
    </xf>
    <xf numFmtId="0" fontId="2" fillId="2" borderId="3" xfId="0" applyFont="1" applyFill="1" applyBorder="1" applyAlignment="1">
      <alignment horizontal="center" vertical="top" wrapText="1"/>
    </xf>
    <xf numFmtId="0" fontId="8" fillId="2" borderId="1" xfId="0" applyFont="1" applyFill="1" applyBorder="1" applyAlignment="1">
      <alignment horizontal="center" vertical="top" wrapText="1"/>
    </xf>
    <xf numFmtId="0" fontId="2" fillId="2" borderId="1" xfId="0" applyFont="1" applyFill="1" applyBorder="1" applyAlignment="1">
      <alignment horizontal="center" wrapText="1"/>
    </xf>
    <xf numFmtId="0" fontId="0" fillId="0" borderId="0" xfId="0" applyAlignment="1">
      <alignment horizontal="center" wrapText="1"/>
    </xf>
    <xf numFmtId="10" fontId="0" fillId="0" borderId="0" xfId="0" applyNumberFormat="1"/>
    <xf numFmtId="0" fontId="15" fillId="0" borderId="0" xfId="0" applyFont="1" applyAlignment="1">
      <alignment readingOrder="1"/>
    </xf>
    <xf numFmtId="0" fontId="16" fillId="0" borderId="0" xfId="0" applyFont="1"/>
    <xf numFmtId="0" fontId="11" fillId="0" borderId="0" xfId="0" quotePrefix="1" applyFont="1"/>
    <xf numFmtId="0" fontId="11" fillId="0" borderId="9" xfId="0" applyFont="1" applyBorder="1" applyAlignment="1">
      <alignment wrapText="1"/>
    </xf>
    <xf numFmtId="0" fontId="16" fillId="0" borderId="0" xfId="0" quotePrefix="1" applyFont="1"/>
    <xf numFmtId="0" fontId="17" fillId="0" borderId="0" xfId="0" applyFont="1"/>
    <xf numFmtId="0" fontId="18" fillId="0" borderId="0" xfId="0" applyFont="1"/>
    <xf numFmtId="0" fontId="10" fillId="5" borderId="0" xfId="0" applyFont="1" applyFill="1" applyAlignment="1">
      <alignment horizontal="left"/>
    </xf>
    <xf numFmtId="0" fontId="9" fillId="5" borderId="0" xfId="0" applyFont="1" applyFill="1" applyAlignment="1">
      <alignment horizontal="left"/>
    </xf>
    <xf numFmtId="0" fontId="9" fillId="5" borderId="0" xfId="0" applyFont="1" applyFill="1"/>
    <xf numFmtId="0" fontId="11" fillId="5" borderId="0" xfId="0" applyFont="1" applyFill="1"/>
    <xf numFmtId="0" fontId="0" fillId="5" borderId="0" xfId="0" applyFill="1"/>
    <xf numFmtId="0" fontId="9" fillId="5" borderId="0" xfId="0" applyFont="1" applyFill="1" applyAlignment="1">
      <alignment horizontal="left" wrapText="1"/>
    </xf>
    <xf numFmtId="0" fontId="11" fillId="5" borderId="0" xfId="0" applyFont="1" applyFill="1" applyAlignment="1">
      <alignment horizontal="left" wrapText="1"/>
    </xf>
    <xf numFmtId="0" fontId="15" fillId="5" borderId="0" xfId="0" applyFont="1" applyFill="1" applyAlignment="1">
      <alignment readingOrder="1"/>
    </xf>
    <xf numFmtId="0" fontId="12" fillId="5" borderId="0" xfId="0" applyFont="1" applyFill="1"/>
    <xf numFmtId="0" fontId="9" fillId="5" borderId="0" xfId="0" applyFont="1" applyFill="1" applyAlignment="1">
      <alignment wrapText="1"/>
    </xf>
    <xf numFmtId="0" fontId="11" fillId="5" borderId="0" xfId="0" applyFont="1" applyFill="1" applyAlignment="1">
      <alignment horizontal="left"/>
    </xf>
    <xf numFmtId="2" fontId="19" fillId="0" borderId="0" xfId="0" applyNumberFormat="1" applyFont="1" applyAlignment="1">
      <alignment horizontal="center" vertical="top" wrapText="1"/>
    </xf>
    <xf numFmtId="0" fontId="2" fillId="0" borderId="0" xfId="0" applyFont="1"/>
    <xf numFmtId="0" fontId="9" fillId="6" borderId="0" xfId="0" applyFont="1" applyFill="1" applyAlignment="1">
      <alignment horizontal="left"/>
    </xf>
    <xf numFmtId="0" fontId="9" fillId="6" borderId="0" xfId="0" applyFont="1" applyFill="1" applyAlignment="1">
      <alignment horizontal="left" wrapText="1"/>
    </xf>
    <xf numFmtId="0" fontId="9" fillId="6" borderId="0" xfId="0" applyFont="1" applyFill="1"/>
    <xf numFmtId="0" fontId="10" fillId="0" borderId="0" xfId="0" applyFont="1" applyAlignment="1">
      <alignment horizontal="left" wrapText="1"/>
    </xf>
    <xf numFmtId="0" fontId="23" fillId="0" borderId="10" xfId="0" applyFont="1" applyBorder="1" applyAlignment="1">
      <alignment readingOrder="1"/>
    </xf>
    <xf numFmtId="0" fontId="23" fillId="0" borderId="11" xfId="0" applyFont="1" applyBorder="1" applyAlignment="1">
      <alignment readingOrder="1"/>
    </xf>
    <xf numFmtId="0" fontId="0" fillId="0" borderId="12" xfId="0" applyBorder="1"/>
    <xf numFmtId="0" fontId="24" fillId="0" borderId="0" xfId="0" applyFont="1" applyAlignment="1">
      <alignment readingOrder="1"/>
    </xf>
    <xf numFmtId="0" fontId="23" fillId="0" borderId="0" xfId="0" applyFont="1" applyAlignment="1">
      <alignment readingOrder="1"/>
    </xf>
    <xf numFmtId="0" fontId="25" fillId="0" borderId="0" xfId="0" applyFont="1" applyAlignment="1">
      <alignment readingOrder="1"/>
    </xf>
    <xf numFmtId="0" fontId="24" fillId="0" borderId="0" xfId="0" applyFont="1" applyAlignment="1">
      <alignment wrapText="1" readingOrder="1"/>
    </xf>
    <xf numFmtId="0" fontId="22" fillId="0" borderId="0" xfId="0" applyFont="1" applyAlignment="1">
      <alignment wrapText="1" readingOrder="1"/>
    </xf>
    <xf numFmtId="0" fontId="24" fillId="5" borderId="0" xfId="0" applyFont="1" applyFill="1" applyAlignment="1">
      <alignment readingOrder="1"/>
    </xf>
    <xf numFmtId="0" fontId="0" fillId="0" borderId="13" xfId="0" applyBorder="1"/>
    <xf numFmtId="0" fontId="0" fillId="0" borderId="14" xfId="0" applyBorder="1"/>
    <xf numFmtId="0" fontId="24" fillId="5" borderId="14" xfId="0" applyFont="1" applyFill="1" applyBorder="1" applyAlignment="1">
      <alignment readingOrder="1"/>
    </xf>
    <xf numFmtId="0" fontId="24" fillId="0" borderId="14" xfId="0" applyFont="1" applyBorder="1" applyAlignment="1">
      <alignment readingOrder="1"/>
    </xf>
    <xf numFmtId="0" fontId="0" fillId="0" borderId="15" xfId="0" applyBorder="1"/>
    <xf numFmtId="0" fontId="24" fillId="0" borderId="12" xfId="0" applyFont="1" applyBorder="1" applyAlignment="1">
      <alignment readingOrder="1"/>
    </xf>
    <xf numFmtId="0" fontId="0" fillId="0" borderId="0" xfId="0" applyAlignment="1">
      <alignment horizontal="left" wrapText="1"/>
    </xf>
    <xf numFmtId="0" fontId="0" fillId="0" borderId="0" xfId="0" applyAlignment="1">
      <alignment horizontal="left"/>
    </xf>
    <xf numFmtId="0" fontId="25" fillId="0" borderId="12" xfId="0" applyFont="1" applyBorder="1" applyAlignment="1">
      <alignment readingOrder="1"/>
    </xf>
    <xf numFmtId="0" fontId="0" fillId="5" borderId="0" xfId="0" applyFill="1" applyAlignment="1">
      <alignment horizontal="left"/>
    </xf>
    <xf numFmtId="0" fontId="24" fillId="0" borderId="0" xfId="0" applyFont="1"/>
    <xf numFmtId="0" fontId="0" fillId="5" borderId="14" xfId="0" applyFill="1" applyBorder="1" applyAlignment="1">
      <alignment horizontal="left"/>
    </xf>
    <xf numFmtId="0" fontId="25" fillId="5" borderId="0" xfId="0" applyFont="1" applyFill="1" applyAlignment="1">
      <alignment readingOrder="1"/>
    </xf>
    <xf numFmtId="0" fontId="24" fillId="0" borderId="16" xfId="0" applyFont="1" applyBorder="1" applyAlignment="1">
      <alignment readingOrder="1"/>
    </xf>
    <xf numFmtId="0" fontId="24" fillId="0" borderId="17" xfId="0" applyFont="1" applyBorder="1" applyAlignment="1">
      <alignment readingOrder="1"/>
    </xf>
    <xf numFmtId="0" fontId="25" fillId="5" borderId="14" xfId="0" applyFont="1" applyFill="1" applyBorder="1" applyAlignment="1">
      <alignment readingOrder="1"/>
    </xf>
    <xf numFmtId="0" fontId="23" fillId="0" borderId="18" xfId="0" applyFont="1" applyBorder="1" applyAlignment="1">
      <alignment readingOrder="1"/>
    </xf>
    <xf numFmtId="0" fontId="23" fillId="0" borderId="19" xfId="0" applyFont="1" applyBorder="1" applyAlignment="1">
      <alignment readingOrder="1"/>
    </xf>
    <xf numFmtId="0" fontId="23" fillId="0" borderId="14" xfId="0" applyFont="1" applyBorder="1" applyAlignment="1">
      <alignment readingOrder="1"/>
    </xf>
    <xf numFmtId="0" fontId="24" fillId="0" borderId="20" xfId="0" applyFont="1" applyBorder="1" applyAlignment="1">
      <alignment readingOrder="1"/>
    </xf>
    <xf numFmtId="0" fontId="23" fillId="0" borderId="21" xfId="0" applyFont="1" applyBorder="1" applyAlignment="1">
      <alignment readingOrder="1"/>
    </xf>
    <xf numFmtId="0" fontId="23" fillId="0" borderId="22" xfId="0" applyFont="1" applyBorder="1" applyAlignment="1">
      <alignment readingOrder="1"/>
    </xf>
    <xf numFmtId="0" fontId="23" fillId="0" borderId="12" xfId="0" applyFont="1" applyBorder="1" applyAlignment="1">
      <alignment readingOrder="1"/>
    </xf>
    <xf numFmtId="0" fontId="0" fillId="5" borderId="14" xfId="0" applyFill="1" applyBorder="1"/>
    <xf numFmtId="0" fontId="26" fillId="0" borderId="0" xfId="0" applyFont="1" applyAlignment="1">
      <alignment wrapText="1"/>
    </xf>
    <xf numFmtId="0" fontId="26" fillId="0" borderId="0" xfId="0" applyFont="1"/>
    <xf numFmtId="0" fontId="0" fillId="5" borderId="0" xfId="0" applyFill="1" applyAlignment="1">
      <alignment wrapText="1"/>
    </xf>
    <xf numFmtId="0" fontId="0" fillId="5" borderId="14" xfId="0" applyFill="1" applyBorder="1" applyAlignment="1">
      <alignment wrapText="1"/>
    </xf>
    <xf numFmtId="0" fontId="25" fillId="0" borderId="0" xfId="0" applyFont="1" applyAlignment="1">
      <alignment wrapText="1" readingOrder="1"/>
    </xf>
    <xf numFmtId="0" fontId="24" fillId="0" borderId="10" xfId="0" applyFont="1" applyBorder="1" applyAlignment="1">
      <alignment readingOrder="1"/>
    </xf>
    <xf numFmtId="0" fontId="24" fillId="0" borderId="11" xfId="0" applyFont="1" applyBorder="1" applyAlignment="1">
      <alignment readingOrder="1"/>
    </xf>
    <xf numFmtId="0" fontId="24" fillId="0" borderId="23" xfId="0" applyFont="1" applyBorder="1" applyAlignment="1">
      <alignment readingOrder="1"/>
    </xf>
    <xf numFmtId="0" fontId="23" fillId="0" borderId="23" xfId="0" applyFont="1" applyBorder="1" applyAlignment="1">
      <alignment readingOrder="1"/>
    </xf>
    <xf numFmtId="0" fontId="20" fillId="0" borderId="0" xfId="0" applyFont="1" applyAlignment="1">
      <alignment horizontal="left" wrapText="1"/>
    </xf>
    <xf numFmtId="0" fontId="24" fillId="0" borderId="24" xfId="0" applyFont="1" applyBorder="1" applyAlignment="1">
      <alignment readingOrder="1"/>
    </xf>
    <xf numFmtId="0" fontId="23" fillId="0" borderId="25" xfId="0" applyFont="1" applyBorder="1" applyAlignment="1">
      <alignment readingOrder="1"/>
    </xf>
    <xf numFmtId="2" fontId="20" fillId="7" borderId="1" xfId="0" applyNumberFormat="1" applyFont="1" applyFill="1" applyBorder="1" applyAlignment="1">
      <alignment horizontal="center" vertical="top" wrapText="1"/>
    </xf>
    <xf numFmtId="0" fontId="20" fillId="7" borderId="1" xfId="0" applyFont="1" applyFill="1" applyBorder="1" applyAlignment="1">
      <alignment horizontal="center" vertical="top" wrapText="1"/>
    </xf>
    <xf numFmtId="0" fontId="20" fillId="0" borderId="1" xfId="0" applyFont="1" applyBorder="1" applyAlignment="1">
      <alignment horizontal="center"/>
    </xf>
    <xf numFmtId="0" fontId="21" fillId="0" borderId="1" xfId="0" applyFont="1" applyBorder="1" applyAlignment="1">
      <alignment horizontal="center"/>
    </xf>
    <xf numFmtId="2" fontId="20" fillId="0" borderId="1" xfId="0" applyNumberFormat="1" applyFont="1" applyBorder="1" applyAlignment="1">
      <alignment horizontal="center" vertical="top" wrapText="1"/>
    </xf>
    <xf numFmtId="0" fontId="20" fillId="0" borderId="1" xfId="0" quotePrefix="1" applyFont="1" applyBorder="1" applyAlignment="1">
      <alignment horizontal="left"/>
    </xf>
    <xf numFmtId="0" fontId="20" fillId="0" borderId="1" xfId="0" applyFont="1" applyBorder="1" applyAlignment="1">
      <alignment horizontal="left"/>
    </xf>
    <xf numFmtId="10" fontId="20" fillId="0" borderId="1" xfId="0" applyNumberFormat="1" applyFont="1" applyBorder="1" applyAlignment="1">
      <alignment horizontal="left"/>
    </xf>
    <xf numFmtId="164" fontId="20" fillId="0" borderId="1" xfId="0" applyNumberFormat="1" applyFont="1" applyBorder="1" applyAlignment="1">
      <alignment horizontal="center"/>
    </xf>
    <xf numFmtId="2" fontId="20" fillId="0" borderId="1" xfId="0" applyNumberFormat="1" applyFont="1" applyBorder="1" applyAlignment="1">
      <alignment horizontal="center"/>
    </xf>
    <xf numFmtId="0" fontId="20" fillId="0" borderId="1" xfId="0" applyFont="1" applyBorder="1" applyAlignment="1">
      <alignment horizontal="center" wrapText="1"/>
    </xf>
    <xf numFmtId="0" fontId="29" fillId="0" borderId="1" xfId="0" applyFont="1" applyBorder="1" applyAlignment="1">
      <alignment horizontal="left"/>
    </xf>
    <xf numFmtId="0" fontId="20" fillId="0" borderId="1" xfId="0" applyFont="1" applyBorder="1" applyAlignment="1">
      <alignment horizontal="left" readingOrder="1"/>
    </xf>
    <xf numFmtId="0" fontId="28" fillId="0" borderId="1" xfId="0" applyFont="1" applyBorder="1" applyAlignment="1">
      <alignment horizontal="left"/>
    </xf>
    <xf numFmtId="0" fontId="21" fillId="0" borderId="1" xfId="0" applyFont="1" applyBorder="1" applyAlignment="1">
      <alignment horizontal="left"/>
    </xf>
    <xf numFmtId="164" fontId="21" fillId="0" borderId="1" xfId="0" applyNumberFormat="1" applyFont="1" applyBorder="1" applyAlignment="1">
      <alignment horizontal="center"/>
    </xf>
    <xf numFmtId="0" fontId="20" fillId="7" borderId="1" xfId="0" applyFont="1" applyFill="1" applyBorder="1" applyAlignment="1">
      <alignment horizontal="left" vertical="top"/>
    </xf>
    <xf numFmtId="164" fontId="20" fillId="7" borderId="1" xfId="0" applyNumberFormat="1" applyFont="1" applyFill="1" applyBorder="1" applyAlignment="1">
      <alignment horizontal="center" vertical="top" wrapText="1"/>
    </xf>
    <xf numFmtId="0" fontId="21" fillId="7" borderId="1" xfId="0" applyFont="1" applyFill="1" applyBorder="1" applyAlignment="1">
      <alignment horizontal="center" wrapText="1"/>
    </xf>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27" fillId="0" borderId="1" xfId="1" applyFill="1" applyBorder="1" applyAlignment="1">
      <alignment horizontal="left"/>
    </xf>
    <xf numFmtId="0" fontId="20" fillId="0" borderId="1" xfId="0" applyFont="1" applyBorder="1" applyAlignment="1">
      <alignment horizontal="left" wrapText="1"/>
    </xf>
    <xf numFmtId="0" fontId="20" fillId="0" borderId="0" xfId="0" applyFont="1" applyAlignment="1">
      <alignment horizontal="left"/>
    </xf>
    <xf numFmtId="0" fontId="20" fillId="0" borderId="0" xfId="0" applyFont="1" applyAlignment="1">
      <alignment horizontal="center"/>
    </xf>
    <xf numFmtId="0" fontId="20" fillId="7" borderId="26" xfId="0" applyFont="1" applyFill="1" applyBorder="1" applyAlignment="1">
      <alignment horizontal="left" vertical="top"/>
    </xf>
    <xf numFmtId="2" fontId="20" fillId="7" borderId="26" xfId="0" applyNumberFormat="1" applyFont="1" applyFill="1" applyBorder="1" applyAlignment="1">
      <alignment horizontal="center" vertical="top" wrapText="1"/>
    </xf>
    <xf numFmtId="0" fontId="20" fillId="7" borderId="26" xfId="0" applyFont="1" applyFill="1" applyBorder="1" applyAlignment="1">
      <alignment horizontal="center" vertical="top" wrapText="1"/>
    </xf>
    <xf numFmtId="164" fontId="20" fillId="7" borderId="26" xfId="0" applyNumberFormat="1" applyFont="1" applyFill="1" applyBorder="1" applyAlignment="1">
      <alignment horizontal="center" vertical="top" wrapText="1"/>
    </xf>
    <xf numFmtId="0" fontId="36" fillId="0" borderId="0" xfId="0" applyFont="1"/>
    <xf numFmtId="0" fontId="36" fillId="0" borderId="0" xfId="0" applyFont="1" applyAlignment="1">
      <alignment horizontal="left"/>
    </xf>
    <xf numFmtId="2" fontId="36" fillId="0" borderId="0" xfId="0" applyNumberFormat="1" applyFont="1"/>
    <xf numFmtId="2" fontId="20" fillId="0" borderId="0" xfId="0" applyNumberFormat="1" applyFont="1" applyAlignment="1">
      <alignment horizontal="center"/>
    </xf>
    <xf numFmtId="0" fontId="27" fillId="0" borderId="1" xfId="1" applyBorder="1" applyAlignment="1">
      <alignment horizontal="left"/>
    </xf>
    <xf numFmtId="0" fontId="16" fillId="0" borderId="1" xfId="0" applyFont="1" applyBorder="1"/>
    <xf numFmtId="0" fontId="0" fillId="0" borderId="1" xfId="0" applyBorder="1" applyAlignment="1">
      <alignment horizontal="left"/>
    </xf>
    <xf numFmtId="0" fontId="0" fillId="0" borderId="1" xfId="0" applyBorder="1" applyAlignment="1">
      <alignment horizontal="left" wrapText="1"/>
    </xf>
    <xf numFmtId="0" fontId="20" fillId="0" borderId="4" xfId="0" applyFont="1" applyBorder="1" applyAlignment="1">
      <alignment horizontal="center"/>
    </xf>
    <xf numFmtId="0" fontId="20" fillId="0" borderId="26" xfId="0" applyFont="1" applyBorder="1" applyAlignment="1">
      <alignment horizontal="left"/>
    </xf>
    <xf numFmtId="0" fontId="20" fillId="0" borderId="26" xfId="0" applyFont="1" applyBorder="1" applyAlignment="1">
      <alignment horizontal="left" readingOrder="1"/>
    </xf>
    <xf numFmtId="0" fontId="20" fillId="0" borderId="26" xfId="0" applyFont="1" applyBorder="1" applyAlignment="1">
      <alignment horizontal="center"/>
    </xf>
    <xf numFmtId="0" fontId="28" fillId="0" borderId="8" xfId="0" applyFont="1" applyBorder="1" applyAlignment="1">
      <alignment horizontal="left"/>
    </xf>
    <xf numFmtId="0" fontId="20" fillId="7" borderId="1" xfId="0" applyFont="1" applyFill="1" applyBorder="1" applyAlignment="1">
      <alignment vertical="top"/>
    </xf>
    <xf numFmtId="0" fontId="20" fillId="0" borderId="1" xfId="0" applyFont="1" applyBorder="1"/>
    <xf numFmtId="0" fontId="20" fillId="0" borderId="26" xfId="0" applyFont="1" applyBorder="1"/>
    <xf numFmtId="0" fontId="21" fillId="0" borderId="1" xfId="0" applyFont="1" applyBorder="1"/>
    <xf numFmtId="0" fontId="16" fillId="5" borderId="0" xfId="0" applyFont="1" applyFill="1"/>
    <xf numFmtId="0" fontId="0" fillId="5" borderId="0" xfId="0" applyFill="1" applyAlignment="1">
      <alignment horizontal="left" wrapText="1"/>
    </xf>
    <xf numFmtId="0" fontId="20" fillId="0" borderId="0" xfId="0" applyFont="1"/>
    <xf numFmtId="164" fontId="20" fillId="0" borderId="0" xfId="0" applyNumberFormat="1" applyFont="1" applyAlignment="1">
      <alignment horizontal="center"/>
    </xf>
    <xf numFmtId="0" fontId="37" fillId="0" borderId="0" xfId="0" applyFont="1"/>
    <xf numFmtId="0" fontId="0" fillId="4" borderId="0" xfId="0" applyFill="1" applyAlignment="1">
      <alignment horizontal="left"/>
    </xf>
    <xf numFmtId="0" fontId="37" fillId="0" borderId="3" xfId="0" applyFont="1" applyBorder="1"/>
    <xf numFmtId="0" fontId="37" fillId="0" borderId="27" xfId="0" applyFont="1" applyBorder="1"/>
    <xf numFmtId="0" fontId="0" fillId="0" borderId="0" xfId="0" quotePrefix="1"/>
    <xf numFmtId="0" fontId="6" fillId="0" borderId="0" xfId="0" applyFont="1"/>
    <xf numFmtId="0" fontId="34" fillId="0" borderId="0" xfId="0" quotePrefix="1" applyFont="1"/>
    <xf numFmtId="0" fontId="38" fillId="0" borderId="0" xfId="0" applyFont="1"/>
    <xf numFmtId="0" fontId="20" fillId="7" borderId="26" xfId="0" applyFont="1" applyFill="1" applyBorder="1" applyAlignment="1">
      <alignment horizontal="right" vertical="top"/>
    </xf>
    <xf numFmtId="0" fontId="0" fillId="0" borderId="0" xfId="0" applyAlignment="1">
      <alignment horizontal="right"/>
    </xf>
    <xf numFmtId="0" fontId="0" fillId="0" borderId="0" xfId="0" applyAlignment="1">
      <alignment horizontal="right" wrapText="1"/>
    </xf>
    <xf numFmtId="0" fontId="24" fillId="0" borderId="32" xfId="0" applyFont="1" applyBorder="1" applyAlignment="1">
      <alignment readingOrder="1"/>
    </xf>
    <xf numFmtId="0" fontId="25" fillId="0" borderId="32" xfId="0" applyFont="1" applyBorder="1" applyAlignment="1">
      <alignment readingOrder="1"/>
    </xf>
    <xf numFmtId="0" fontId="25" fillId="0" borderId="33" xfId="0" applyFont="1" applyBorder="1" applyAlignment="1">
      <alignment readingOrder="1"/>
    </xf>
    <xf numFmtId="0" fontId="24" fillId="5" borderId="28" xfId="0" applyFont="1" applyFill="1" applyBorder="1" applyAlignment="1">
      <alignment readingOrder="1"/>
    </xf>
    <xf numFmtId="0" fontId="24" fillId="0" borderId="33" xfId="0" applyFont="1" applyBorder="1" applyAlignment="1">
      <alignment readingOrder="1"/>
    </xf>
    <xf numFmtId="0" fontId="23" fillId="0" borderId="34" xfId="0" applyFont="1" applyBorder="1" applyAlignment="1">
      <alignment readingOrder="1"/>
    </xf>
    <xf numFmtId="0" fontId="24" fillId="0" borderId="35" xfId="0" applyFont="1" applyBorder="1" applyAlignment="1">
      <alignment readingOrder="1"/>
    </xf>
    <xf numFmtId="0" fontId="23" fillId="0" borderId="35" xfId="0" applyFont="1" applyBorder="1" applyAlignment="1">
      <alignment readingOrder="1"/>
    </xf>
    <xf numFmtId="0" fontId="23" fillId="5" borderId="34" xfId="0" applyFont="1" applyFill="1" applyBorder="1" applyAlignment="1">
      <alignment readingOrder="1"/>
    </xf>
    <xf numFmtId="0" fontId="23" fillId="5" borderId="14" xfId="0" applyFont="1" applyFill="1" applyBorder="1" applyAlignment="1">
      <alignment readingOrder="1"/>
    </xf>
    <xf numFmtId="0" fontId="39" fillId="0" borderId="0" xfId="0" applyFont="1" applyAlignment="1">
      <alignment readingOrder="1"/>
    </xf>
    <xf numFmtId="0" fontId="4" fillId="0" borderId="1" xfId="0" quotePrefix="1" applyFont="1" applyBorder="1" applyAlignment="1">
      <alignment horizontal="left"/>
    </xf>
    <xf numFmtId="0" fontId="30" fillId="5" borderId="0" xfId="0" applyFont="1" applyFill="1"/>
    <xf numFmtId="0" fontId="0" fillId="5" borderId="1" xfId="0" applyFill="1" applyBorder="1" applyAlignment="1">
      <alignment wrapText="1"/>
    </xf>
    <xf numFmtId="0" fontId="0" fillId="5" borderId="5" xfId="0" applyFill="1" applyBorder="1" applyAlignment="1">
      <alignment wrapText="1"/>
    </xf>
    <xf numFmtId="0" fontId="0" fillId="5" borderId="4" xfId="0" applyFill="1" applyBorder="1" applyAlignment="1">
      <alignment wrapText="1"/>
    </xf>
    <xf numFmtId="0" fontId="20" fillId="0" borderId="2" xfId="0" applyFont="1" applyBorder="1" applyAlignment="1">
      <alignment horizontal="center"/>
    </xf>
    <xf numFmtId="2" fontId="20" fillId="0" borderId="2" xfId="0" applyNumberFormat="1" applyFont="1" applyBorder="1" applyAlignment="1">
      <alignment horizontal="center" vertical="top" wrapText="1"/>
    </xf>
    <xf numFmtId="0" fontId="1" fillId="0" borderId="0" xfId="0" applyFont="1" applyAlignment="1">
      <alignment wrapText="1"/>
    </xf>
    <xf numFmtId="2" fontId="2" fillId="2" borderId="1" xfId="0" applyNumberFormat="1" applyFont="1" applyFill="1" applyBorder="1" applyAlignment="1">
      <alignment horizontal="center" vertical="top" wrapText="1"/>
    </xf>
    <xf numFmtId="2" fontId="1" fillId="0" borderId="0" xfId="0" applyNumberFormat="1" applyFont="1" applyAlignment="1">
      <alignment horizontal="center" vertical="top" wrapText="1"/>
    </xf>
    <xf numFmtId="0" fontId="7" fillId="0" borderId="0" xfId="0" applyFont="1"/>
    <xf numFmtId="2" fontId="1" fillId="7" borderId="1" xfId="0" applyNumberFormat="1" applyFont="1" applyFill="1" applyBorder="1" applyAlignment="1">
      <alignment horizontal="center" vertical="top" wrapText="1"/>
    </xf>
    <xf numFmtId="0" fontId="1" fillId="7" borderId="1" xfId="0" applyFont="1" applyFill="1" applyBorder="1" applyAlignment="1">
      <alignment horizontal="center" vertical="top" wrapText="1"/>
    </xf>
    <xf numFmtId="0" fontId="1" fillId="0" borderId="1" xfId="0" applyFont="1" applyBorder="1" applyAlignment="1">
      <alignment horizontal="center"/>
    </xf>
    <xf numFmtId="0" fontId="1" fillId="0" borderId="26" xfId="0" applyFont="1" applyBorder="1" applyAlignment="1">
      <alignment horizontal="center"/>
    </xf>
    <xf numFmtId="0" fontId="1" fillId="0" borderId="4" xfId="0" applyFont="1" applyBorder="1" applyAlignment="1">
      <alignment horizontal="center"/>
    </xf>
    <xf numFmtId="0" fontId="1" fillId="0" borderId="8" xfId="0" applyFont="1" applyBorder="1" applyAlignment="1">
      <alignment horizontal="center"/>
    </xf>
    <xf numFmtId="0" fontId="1" fillId="0" borderId="1" xfId="0" applyFont="1" applyBorder="1"/>
    <xf numFmtId="0" fontId="16" fillId="0" borderId="2" xfId="0" applyFont="1" applyBorder="1"/>
    <xf numFmtId="0" fontId="1" fillId="0" borderId="2" xfId="0" applyFont="1" applyBorder="1" applyAlignment="1">
      <alignment horizontal="center"/>
    </xf>
    <xf numFmtId="0" fontId="1" fillId="0" borderId="1" xfId="0" applyFont="1" applyBorder="1" applyAlignment="1">
      <alignment horizontal="left"/>
    </xf>
    <xf numFmtId="0" fontId="20" fillId="0" borderId="1" xfId="0" applyFont="1" applyBorder="1" applyAlignment="1">
      <alignment wrapText="1"/>
    </xf>
    <xf numFmtId="0" fontId="16" fillId="0" borderId="1" xfId="0" applyFont="1" applyBorder="1" applyAlignment="1">
      <alignment horizontal="left"/>
    </xf>
    <xf numFmtId="164" fontId="1" fillId="0" borderId="1" xfId="0" applyNumberFormat="1" applyFont="1" applyBorder="1" applyAlignment="1">
      <alignment horizontal="center"/>
    </xf>
    <xf numFmtId="0" fontId="7" fillId="0" borderId="1" xfId="0" applyFont="1" applyBorder="1" applyAlignment="1">
      <alignment horizontal="left"/>
    </xf>
    <xf numFmtId="0" fontId="1" fillId="0" borderId="8" xfId="0" applyFont="1" applyBorder="1" applyAlignment="1">
      <alignment horizontal="left"/>
    </xf>
    <xf numFmtId="0" fontId="1" fillId="0" borderId="8" xfId="0" applyFont="1" applyBorder="1"/>
    <xf numFmtId="2" fontId="1" fillId="0" borderId="1" xfId="0" applyNumberFormat="1" applyFont="1" applyBorder="1" applyAlignment="1">
      <alignment horizontal="center" vertical="top" wrapText="1"/>
    </xf>
    <xf numFmtId="2" fontId="1" fillId="0" borderId="1" xfId="0" applyNumberFormat="1" applyFont="1" applyBorder="1" applyAlignment="1">
      <alignment horizontal="center" vertical="top"/>
    </xf>
    <xf numFmtId="0" fontId="20" fillId="5" borderId="0" xfId="0" applyFont="1" applyFill="1" applyAlignment="1">
      <alignment horizontal="left"/>
    </xf>
    <xf numFmtId="0" fontId="32" fillId="0" borderId="0" xfId="0" applyFont="1" applyAlignment="1">
      <alignment wrapText="1"/>
    </xf>
    <xf numFmtId="0" fontId="20" fillId="0" borderId="0" xfId="0" applyFont="1" applyAlignment="1">
      <alignment wrapText="1"/>
    </xf>
    <xf numFmtId="0" fontId="20" fillId="5" borderId="0" xfId="0" applyFont="1" applyFill="1"/>
    <xf numFmtId="0" fontId="7" fillId="0" borderId="0" xfId="0" applyFont="1" applyAlignment="1">
      <alignment horizontal="left"/>
    </xf>
    <xf numFmtId="2" fontId="1" fillId="7" borderId="26" xfId="0" applyNumberFormat="1" applyFont="1" applyFill="1" applyBorder="1" applyAlignment="1">
      <alignment horizontal="center" vertical="top" wrapText="1"/>
    </xf>
    <xf numFmtId="0" fontId="1" fillId="0" borderId="0" xfId="0" applyFont="1" applyAlignment="1">
      <alignment horizontal="left"/>
    </xf>
    <xf numFmtId="0" fontId="1" fillId="0" borderId="0" xfId="0" applyFont="1" applyAlignment="1">
      <alignment horizontal="center"/>
    </xf>
    <xf numFmtId="0" fontId="20" fillId="5" borderId="14" xfId="0" applyFont="1" applyFill="1" applyBorder="1" applyAlignment="1">
      <alignment horizontal="left"/>
    </xf>
    <xf numFmtId="0" fontId="20" fillId="0" borderId="0" xfId="0" applyFont="1" applyAlignment="1">
      <alignment readingOrder="1"/>
    </xf>
    <xf numFmtId="0" fontId="20" fillId="0" borderId="14" xfId="0" applyFont="1" applyBorder="1" applyAlignment="1">
      <alignment readingOrder="1"/>
    </xf>
    <xf numFmtId="0" fontId="20" fillId="0" borderId="12" xfId="0" applyFont="1" applyBorder="1" applyAlignment="1">
      <alignment readingOrder="1"/>
    </xf>
    <xf numFmtId="0" fontId="20" fillId="5" borderId="14" xfId="0" applyFont="1" applyFill="1" applyBorder="1"/>
    <xf numFmtId="0" fontId="20" fillId="5" borderId="14" xfId="0" applyFont="1" applyFill="1" applyBorder="1" applyAlignment="1">
      <alignment horizontal="left" wrapText="1"/>
    </xf>
    <xf numFmtId="0" fontId="20" fillId="5" borderId="0" xfId="0" applyFont="1" applyFill="1" applyAlignment="1">
      <alignment horizontal="left" wrapText="1"/>
    </xf>
    <xf numFmtId="0" fontId="20" fillId="0" borderId="23" xfId="0" applyFont="1" applyBorder="1" applyAlignment="1">
      <alignment readingOrder="1"/>
    </xf>
    <xf numFmtId="0" fontId="26" fillId="5" borderId="0" xfId="0" applyFont="1" applyFill="1"/>
    <xf numFmtId="0" fontId="26" fillId="5" borderId="14" xfId="0" applyFont="1" applyFill="1" applyBorder="1"/>
    <xf numFmtId="0" fontId="20" fillId="5" borderId="0" xfId="0" applyFont="1" applyFill="1" applyAlignment="1">
      <alignment readingOrder="1"/>
    </xf>
    <xf numFmtId="0" fontId="20" fillId="5" borderId="14" xfId="0" applyFont="1" applyFill="1" applyBorder="1" applyAlignment="1">
      <alignment readingOrder="1"/>
    </xf>
    <xf numFmtId="0" fontId="20" fillId="5" borderId="0" xfId="0" applyFont="1" applyFill="1" applyAlignment="1">
      <alignment wrapText="1"/>
    </xf>
    <xf numFmtId="0" fontId="2" fillId="0" borderId="2" xfId="0" applyFont="1" applyBorder="1"/>
    <xf numFmtId="0" fontId="40" fillId="0" borderId="1" xfId="0" applyFont="1" applyBorder="1"/>
    <xf numFmtId="2" fontId="40" fillId="0" borderId="1" xfId="0" applyNumberFormat="1" applyFont="1" applyBorder="1"/>
    <xf numFmtId="0" fontId="0" fillId="0" borderId="1" xfId="0" applyBorder="1" applyAlignment="1">
      <alignment horizontal="right"/>
    </xf>
    <xf numFmtId="0" fontId="36" fillId="0" borderId="1" xfId="0" applyFont="1" applyBorder="1" applyAlignment="1">
      <alignment horizontal="left"/>
    </xf>
    <xf numFmtId="0" fontId="0" fillId="0" borderId="1" xfId="0" applyBorder="1" applyAlignment="1">
      <alignment horizontal="right" wrapText="1"/>
    </xf>
    <xf numFmtId="2" fontId="40" fillId="0" borderId="4" xfId="0" applyNumberFormat="1" applyFont="1" applyBorder="1"/>
    <xf numFmtId="0" fontId="41" fillId="0" borderId="0" xfId="0" applyFont="1"/>
    <xf numFmtId="0" fontId="41" fillId="9" borderId="1" xfId="0" applyFont="1" applyFill="1" applyBorder="1" applyAlignment="1">
      <alignment horizontal="right" vertical="top"/>
    </xf>
    <xf numFmtId="0" fontId="42" fillId="9" borderId="1" xfId="0" applyFont="1" applyFill="1" applyBorder="1"/>
    <xf numFmtId="0" fontId="41" fillId="9" borderId="1" xfId="0" applyFont="1" applyFill="1" applyBorder="1" applyAlignment="1">
      <alignment horizontal="left" vertical="top"/>
    </xf>
    <xf numFmtId="0" fontId="42" fillId="9" borderId="4" xfId="0" applyFont="1" applyFill="1" applyBorder="1"/>
    <xf numFmtId="0" fontId="42" fillId="8" borderId="1" xfId="0" applyFont="1" applyFill="1" applyBorder="1"/>
    <xf numFmtId="0" fontId="20" fillId="0" borderId="14" xfId="0" applyFont="1" applyBorder="1" applyAlignment="1">
      <alignment readingOrder="1"/>
    </xf>
    <xf numFmtId="0" fontId="20" fillId="0" borderId="0" xfId="0" applyFont="1" applyAlignment="1">
      <alignment readingOrder="1"/>
    </xf>
    <xf numFmtId="0" fontId="20" fillId="0" borderId="12" xfId="0" applyFont="1" applyBorder="1" applyAlignment="1">
      <alignment readingOrder="1"/>
    </xf>
    <xf numFmtId="0" fontId="24" fillId="0" borderId="14" xfId="0" applyFont="1" applyBorder="1" applyAlignment="1">
      <alignment readingOrder="1"/>
    </xf>
    <xf numFmtId="0" fontId="24" fillId="0" borderId="0" xfId="0" applyFont="1" applyAlignment="1">
      <alignment readingOrder="1"/>
    </xf>
    <xf numFmtId="0" fontId="24" fillId="0" borderId="12" xfId="0" applyFont="1" applyBorder="1" applyAlignment="1">
      <alignment readingOrder="1"/>
    </xf>
    <xf numFmtId="0" fontId="24" fillId="0" borderId="29" xfId="0" applyFont="1" applyBorder="1" applyAlignment="1">
      <alignment readingOrder="1"/>
    </xf>
    <xf numFmtId="0" fontId="24" fillId="0" borderId="30" xfId="0" applyFont="1" applyBorder="1" applyAlignment="1">
      <alignment readingOrder="1"/>
    </xf>
    <xf numFmtId="0" fontId="24" fillId="0" borderId="31" xfId="0" applyFont="1" applyBorder="1" applyAlignment="1">
      <alignment readingOrder="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Wenxuan Fan" id="{FAE0CD14-9B70-4420-A06E-11FF3386F228}" userId="S::wfan15@jh.edu::6a48feda-519c-481e-9805-e054d69eff9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F1" dT="2025-06-06T13:15:18.90" personId="{FAE0CD14-9B70-4420-A06E-11FF3386F228}" id="{FE938788-4E0D-4C73-B13A-54D557F5B779}">
    <text>fatty acids values are in the FNDDS, but they are quite different from the values in the india FCT.</text>
  </threadedComment>
</ThreadedComments>
</file>

<file path=xl/threadedComments/threadedComment2.xml><?xml version="1.0" encoding="utf-8"?>
<ThreadedComments xmlns="http://schemas.microsoft.com/office/spreadsheetml/2018/threadedcomments" xmlns:x="http://schemas.openxmlformats.org/spreadsheetml/2006/main">
  <threadedComment ref="B245" dT="2024-11-23T22:05:59.60" personId="{FAE0CD14-9B70-4420-A06E-11FF3386F228}" id="{1A4B49DA-5D43-4A47-9534-EF9C8D4523A9}">
    <text>it said 'impute from fried yellow pumpkin', but I feel impute from green pumpkin fry may be more accurate.</text>
  </threadedComment>
  <threadedComment ref="B255" dT="2024-11-23T22:05:59.60" personId="{FAE0CD14-9B70-4420-A06E-11FF3386F228}" id="{A6EF2404-8635-48E2-9E4B-CA4928927C53}">
    <text>it said 'impute from fried yellow pumpkin', but I feel impute from green pumpkin fry may be more accurate.</text>
  </threadedComment>
  <threadedComment ref="B284" dT="2024-11-23T22:05:59.60" personId="{FAE0CD14-9B70-4420-A06E-11FF3386F228}" id="{1A3FFE09-A90B-4B1B-86DA-B448BB74073C}">
    <text>it said 'impute from fried yellow pumpkin', but I feel impute from green pumpkin fry may be more accurate.</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4-10-04T19:33:43.45" personId="{FAE0CD14-9B70-4420-A06E-11FF3386F228}" id="{A703FC7B-D08B-4784-B0B2-16425F6B3737}">
    <text>-SR Legacy 170919- spices, cardamom</text>
  </threadedComment>
  <threadedComment ref="B3" dT="2024-10-04T19:50:35.62" personId="{FAE0CD14-9B70-4420-A06E-11FF3386F228}" id="{3F981D1D-7BA3-45DF-A804-E30BE63CC8A2}">
    <text xml:space="preserve">SR legacy 170923, cumin seed
</text>
  </threadedComment>
  <threadedComment ref="B4" dT="2024-10-04T20:10:58.65" personId="{FAE0CD14-9B70-4420-A06E-11FF3386F228}" id="{B38A102C-7AF1-4B5C-9E1E-E48A756C560B}">
    <text>-SR legacy 173744 Beans, kidney, red, mature seeds, raw
-Foundation 747440 Beans, Dry, Dark Red Kidney (0% moisture)</text>
  </threadedComment>
  <threadedComment ref="B5" dT="2024-10-04T20:22:35.40" personId="{FAE0CD14-9B70-4420-A06E-11FF3386F228}" id="{10E8930E-5AED-4DD5-9968-57805916D0F2}">
    <text xml:space="preserve">-SR legacy  170427 Peppers, sweet, green, raw
-cofid 13-524 Pepper, capsicum, red, raw (526: yellow, 318: green)
</text>
  </threadedComment>
  <threadedComment ref="B6" dT="2024-10-04T20:36:51.74" personId="{FAE0CD14-9B70-4420-A06E-11FF3386F228}" id="{5DCEE2C9-09EB-4A1F-87BB-117DAAF51BB1}">
    <text>-SR legacy 174193 Fish, eel, mixed species, raw
-fndds 26113110 fish, eel
-cofid 16-035 eel conger fresh only, raw; 16-173 eel yellow, raw</text>
  </threadedComment>
  <threadedComment ref="B7" dT="2024-10-04T20:46:19.78" personId="{FAE0CD14-9B70-4420-A06E-11FF3386F228}" id="{628173A2-9EE6-4A94-8144-4BED9D8C085D}">
    <text>-SR legacy: beef, lamb, veal, pork brains</text>
  </threadedComment>
  <threadedComment ref="B8" dT="2024-10-04T20:48:11.73" personId="{FAE0CD14-9B70-4420-A06E-11FF3386F228}" id="{BB7971D0-E5EF-4499-841B-08334C8A50B7}">
    <text>-SR legacy 172191; Egg, quail, whole, fresh, raw</text>
  </threadedComment>
  <threadedComment ref="B9" dT="2024-10-04T20:58:23.15" personId="{FAE0CD14-9B70-4420-A06E-11FF3386F228}" id="{553C55A4-F006-47FE-BBC9-731BCD5483D5}">
    <text>-sr legacy 171025 Oil, sunflower, linoleic, (approx. 65%)
-foundation 1750349 oil, sunflower</text>
  </threadedComment>
  <threadedComment ref="B10" dT="2024-10-04T20:59:21.60" personId="{FAE0CD14-9B70-4420-A06E-11FF3386F228}" id="{64AE3460-41EE-4158-929F-2B3E3B034692}">
    <text>- sr legacy 171013 Oil, rice bran</text>
  </threadedComment>
</ThreadedComments>
</file>

<file path=xl/threadedComments/threadedComment4.xml><?xml version="1.0" encoding="utf-8"?>
<ThreadedComments xmlns="http://schemas.microsoft.com/office/spreadsheetml/2018/threadedcomments" xmlns:x="http://schemas.openxmlformats.org/spreadsheetml/2006/main">
  <threadedComment ref="B23" dT="2024-09-20T18:28:19.75" personId="{FAE0CD14-9B70-4420-A06E-11FF3386F228}" id="{C1A8BED7-7734-4B4B-B427-F97184D018EC}">
    <text>can be calculated using the formula: Total vitamin A in retinol activity equivalent (RAE) = mcg retinol + 1/12 mcg beta-carotene + 1/24 mcg a-carotene + 1/24 b-cryptoxanthin</text>
  </threadedComment>
  <threadedComment ref="B118" dT="2024-09-20T15:01:11.50" personId="{FAE0CD14-9B70-4420-A06E-11FF3386F228}" id="{EA966F3A-9A72-4505-8C3F-BD57D1D6E22D}">
    <text>provides a detailed analysis of polyphenols specifically, including individual compounds.</text>
  </threadedComment>
  <threadedComment ref="C118" dT="2024-09-20T15:01:37.65" personId="{FAE0CD14-9B70-4420-A06E-11FF3386F228}" id="{0A4C491D-07EB-413E-BB0F-D794A568F9C9}">
    <text>measures total phenols, which could include both simple phenols and polyphenols, using a colorimetric method that is less specific.</text>
  </threadedComment>
</ThreadedComment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cadbury.com.au/cadbury-dairy-milk-chocolate-milk-chocolate-bar-50g" TargetMode="External"/><Relationship Id="rId7" Type="http://schemas.openxmlformats.org/officeDocument/2006/relationships/vmlDrawing" Target="../drawings/vmlDrawing1.vml"/><Relationship Id="rId2" Type="http://schemas.openxmlformats.org/officeDocument/2006/relationships/hyperlink" Target="https://trsnafoods.com/products/green-tamarind-pickle?srsltid=AfmBOopD-24smatmOZtTh-XrcAStfXf3FKAPPz6gEoBz8RixHvccwNp2&amp;variant=42981772296329" TargetMode="External"/><Relationship Id="rId1" Type="http://schemas.openxmlformats.org/officeDocument/2006/relationships/hyperlink" Target="https://www.nobomela.com/index.php?id_product=719&amp;controller=product" TargetMode="External"/><Relationship Id="rId6" Type="http://schemas.openxmlformats.org/officeDocument/2006/relationships/hyperlink" Target="https://dancake.com.bd/products/plain-cake/vanilla-plain-cake-single-slice-18gm/" TargetMode="External"/><Relationship Id="rId5" Type="http://schemas.openxmlformats.org/officeDocument/2006/relationships/hyperlink" Target="https://www.daraz.com.bd/products/smc-orange-flavor-fruity-tasty-saline-20-pcs-1-box-i235485444.html" TargetMode="External"/><Relationship Id="rId4" Type="http://schemas.openxmlformats.org/officeDocument/2006/relationships/hyperlink" Target="https://www.eatthismuch.com/calories/bombay-mix-chanachur-4127631" TargetMode="External"/><Relationship Id="rId9"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cadbury.com.au/cadbury-dairy-milk-chocolate-milk-chocolate-bar-50g" TargetMode="External"/><Relationship Id="rId2" Type="http://schemas.openxmlformats.org/officeDocument/2006/relationships/hyperlink" Target="https://trsnafoods.com/products/green-tamarind-pickle?srsltid=AfmBOopD-24smatmOZtTh-XrcAStfXf3FKAPPz6gEoBz8RixHvccwNp2&amp;variant=42981772296329" TargetMode="External"/><Relationship Id="rId1" Type="http://schemas.openxmlformats.org/officeDocument/2006/relationships/hyperlink" Target="https://www.nobomela.com/index.php?id_product=719&amp;controller=product" TargetMode="External"/><Relationship Id="rId6" Type="http://schemas.openxmlformats.org/officeDocument/2006/relationships/hyperlink" Target="https://dancake.com.bd/products/plain-cake/vanilla-plain-cake-single-slice-18gm/" TargetMode="External"/><Relationship Id="rId5" Type="http://schemas.openxmlformats.org/officeDocument/2006/relationships/hyperlink" Target="https://www.daraz.com.bd/products/smc-orange-flavor-fruity-tasty-saline-20-pcs-1-box-i235485444.html" TargetMode="External"/><Relationship Id="rId4" Type="http://schemas.openxmlformats.org/officeDocument/2006/relationships/hyperlink" Target="https://www.eatthismuch.com/calories/bombay-mix-chanachur-4127631"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025F7-9466-4DFB-BCCC-B2D9AEA2A4C4}">
  <sheetPr filterMode="1"/>
  <dimension ref="A1:DC279"/>
  <sheetViews>
    <sheetView workbookViewId="0">
      <pane ySplit="1" topLeftCell="A64" activePane="bottomLeft" state="frozen"/>
      <selection pane="bottomLeft" activeCell="BA5" sqref="BA5"/>
    </sheetView>
  </sheetViews>
  <sheetFormatPr defaultRowHeight="14.85"/>
  <cols>
    <col min="1" max="1" width="10" style="31" customWidth="1"/>
    <col min="2" max="2" width="19.28515625" customWidth="1"/>
    <col min="3" max="3" width="9.28515625" customWidth="1"/>
    <col min="4" max="4" width="16.7109375" style="35" customWidth="1"/>
    <col min="5" max="5" width="16.28515625" customWidth="1"/>
    <col min="6" max="7" width="15.42578125" customWidth="1"/>
    <col min="8" max="8" width="4.7109375" customWidth="1"/>
    <col min="9" max="9" width="27" customWidth="1"/>
    <col min="14" max="14" width="10.85546875" customWidth="1"/>
  </cols>
  <sheetData>
    <row r="1" spans="1:107" s="45" customFormat="1" ht="55.5" customHeight="1">
      <c r="A1" s="41" t="s">
        <v>0</v>
      </c>
      <c r="B1" s="41" t="s">
        <v>1</v>
      </c>
      <c r="C1" s="41" t="s">
        <v>2</v>
      </c>
      <c r="D1" s="43" t="s">
        <v>3</v>
      </c>
      <c r="E1" s="41" t="s">
        <v>4</v>
      </c>
      <c r="F1" s="41" t="s">
        <v>5</v>
      </c>
      <c r="G1" s="41" t="s">
        <v>6</v>
      </c>
      <c r="H1" s="41" t="s">
        <v>7</v>
      </c>
      <c r="I1" s="4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41" t="s">
        <v>24</v>
      </c>
      <c r="Z1" s="42" t="s">
        <v>25</v>
      </c>
      <c r="AA1" s="1" t="s">
        <v>26</v>
      </c>
      <c r="AB1" s="1" t="s">
        <v>27</v>
      </c>
      <c r="AC1" s="1" t="s">
        <v>28</v>
      </c>
      <c r="AD1" s="1" t="s">
        <v>29</v>
      </c>
      <c r="AE1" s="1" t="s">
        <v>30</v>
      </c>
      <c r="AF1" s="1" t="s">
        <v>31</v>
      </c>
      <c r="AG1" s="1" t="s">
        <v>32</v>
      </c>
      <c r="AH1" s="1" t="s">
        <v>33</v>
      </c>
      <c r="AI1" s="1" t="s">
        <v>34</v>
      </c>
      <c r="AJ1" s="1" t="s">
        <v>35</v>
      </c>
      <c r="AK1" s="1" t="s">
        <v>36</v>
      </c>
      <c r="AL1" s="1" t="s">
        <v>37</v>
      </c>
      <c r="AM1" s="1" t="s">
        <v>38</v>
      </c>
      <c r="AN1" s="3" t="s">
        <v>39</v>
      </c>
      <c r="AO1" s="3" t="s">
        <v>40</v>
      </c>
      <c r="AP1" s="1" t="s">
        <v>41</v>
      </c>
      <c r="AQ1" s="3"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200" t="s">
        <v>59</v>
      </c>
      <c r="BI1" s="200" t="s">
        <v>60</v>
      </c>
      <c r="BJ1" s="1" t="s">
        <v>61</v>
      </c>
      <c r="BK1" s="1" t="s">
        <v>62</v>
      </c>
      <c r="BL1" s="1" t="s">
        <v>63</v>
      </c>
      <c r="BM1" s="1" t="s">
        <v>64</v>
      </c>
      <c r="BN1" s="1" t="s">
        <v>65</v>
      </c>
      <c r="BO1" s="1" t="s">
        <v>66</v>
      </c>
      <c r="BP1" s="1" t="s">
        <v>67</v>
      </c>
      <c r="BQ1" s="1"/>
      <c r="BR1" s="1"/>
      <c r="BS1" s="1"/>
      <c r="BT1" s="1"/>
      <c r="BU1" s="1"/>
      <c r="BV1" s="1"/>
      <c r="BW1" s="1"/>
      <c r="BX1" s="1"/>
      <c r="BY1" s="1"/>
      <c r="BZ1" s="1"/>
      <c r="CA1" s="1"/>
      <c r="CB1" s="1"/>
      <c r="CC1" s="1"/>
      <c r="CD1" s="1"/>
      <c r="CE1" s="1"/>
      <c r="CF1" s="1"/>
      <c r="CG1" s="44"/>
      <c r="CH1" s="44"/>
      <c r="CI1" s="44"/>
      <c r="CJ1" s="44"/>
      <c r="CK1" s="44"/>
      <c r="CL1" s="44"/>
      <c r="CM1" s="44"/>
      <c r="CN1" s="44"/>
      <c r="CO1" s="44"/>
      <c r="CP1" s="44"/>
      <c r="CQ1" s="44"/>
      <c r="CR1" s="44"/>
      <c r="CS1" s="44"/>
      <c r="CT1" s="44"/>
      <c r="CU1" s="44"/>
      <c r="CV1" s="44"/>
      <c r="CW1" s="44"/>
      <c r="CX1" s="44"/>
      <c r="CY1" s="44"/>
      <c r="CZ1" s="44"/>
      <c r="DA1" s="44"/>
      <c r="DB1" s="44"/>
      <c r="DC1" s="44"/>
    </row>
    <row r="2" spans="1:107">
      <c r="A2" s="30">
        <v>13201</v>
      </c>
      <c r="B2" s="30" t="s">
        <v>68</v>
      </c>
      <c r="C2" s="30" t="s">
        <v>69</v>
      </c>
      <c r="D2" s="34" t="s">
        <v>70</v>
      </c>
      <c r="E2" s="52" t="s">
        <v>71</v>
      </c>
      <c r="F2" s="48">
        <v>13041</v>
      </c>
      <c r="G2" s="48" t="s">
        <v>68</v>
      </c>
      <c r="H2">
        <v>3</v>
      </c>
      <c r="I2" s="46" t="s">
        <v>72</v>
      </c>
      <c r="J2">
        <v>53.8</v>
      </c>
      <c r="K2">
        <v>1.72</v>
      </c>
      <c r="L2">
        <v>1.57</v>
      </c>
      <c r="M2">
        <v>0.12</v>
      </c>
      <c r="N2">
        <v>11.39</v>
      </c>
      <c r="O2">
        <v>0.45</v>
      </c>
      <c r="P2">
        <v>0.02</v>
      </c>
      <c r="Q2">
        <v>0.01</v>
      </c>
      <c r="R2">
        <v>0.12</v>
      </c>
      <c r="T2">
        <v>0.01</v>
      </c>
      <c r="U2">
        <v>2.5499999999999998</v>
      </c>
      <c r="V2">
        <v>0</v>
      </c>
      <c r="W2">
        <v>0.3</v>
      </c>
      <c r="Y2">
        <v>0.01</v>
      </c>
      <c r="AA2">
        <v>0</v>
      </c>
      <c r="AC2">
        <v>0</v>
      </c>
      <c r="AD2">
        <v>0.6</v>
      </c>
      <c r="AI2">
        <v>3.56</v>
      </c>
      <c r="AK2">
        <v>0.28000000000000003</v>
      </c>
      <c r="AQ2">
        <v>0.14000000000000001</v>
      </c>
      <c r="BO2">
        <v>18.71</v>
      </c>
    </row>
    <row r="3" spans="1:107">
      <c r="A3" s="39"/>
      <c r="B3" s="30" t="s">
        <v>73</v>
      </c>
      <c r="C3" s="31" t="s">
        <v>74</v>
      </c>
      <c r="D3" s="34" t="s">
        <v>75</v>
      </c>
      <c r="E3" s="35" t="s">
        <v>76</v>
      </c>
      <c r="F3" s="35">
        <v>70002</v>
      </c>
      <c r="G3" s="35" t="s">
        <v>77</v>
      </c>
      <c r="H3">
        <v>21</v>
      </c>
      <c r="I3" t="s">
        <v>78</v>
      </c>
      <c r="J3">
        <v>261</v>
      </c>
      <c r="K3">
        <v>20</v>
      </c>
      <c r="L3">
        <v>10.199999999999999</v>
      </c>
      <c r="M3">
        <v>2.2000000000000002</v>
      </c>
      <c r="N3">
        <v>37.78</v>
      </c>
      <c r="O3">
        <v>24.42</v>
      </c>
      <c r="P3">
        <v>0.22</v>
      </c>
      <c r="Q3">
        <v>0.17</v>
      </c>
      <c r="R3">
        <v>0.8</v>
      </c>
      <c r="S3">
        <v>0.27</v>
      </c>
      <c r="T3">
        <v>0.23</v>
      </c>
      <c r="U3">
        <v>3.91</v>
      </c>
      <c r="V3">
        <v>0</v>
      </c>
      <c r="W3">
        <v>0</v>
      </c>
      <c r="X3">
        <v>38.35</v>
      </c>
      <c r="AA3">
        <v>0</v>
      </c>
      <c r="AB3">
        <v>0</v>
      </c>
      <c r="AD3">
        <v>60.65</v>
      </c>
      <c r="AE3">
        <v>65.45</v>
      </c>
      <c r="AH3">
        <v>38.01</v>
      </c>
      <c r="AI3">
        <v>130</v>
      </c>
      <c r="AJ3">
        <v>0.47</v>
      </c>
      <c r="AK3">
        <v>4.5999999999999996</v>
      </c>
      <c r="AL3">
        <v>173</v>
      </c>
      <c r="AN3">
        <v>160</v>
      </c>
      <c r="AO3">
        <v>976.01</v>
      </c>
      <c r="AQ3">
        <v>2.81</v>
      </c>
      <c r="AR3">
        <v>0.41</v>
      </c>
      <c r="AS3">
        <v>0.99</v>
      </c>
      <c r="AT3">
        <v>0.55000000000000004</v>
      </c>
      <c r="AV3">
        <v>138.01</v>
      </c>
      <c r="AW3">
        <v>146.15</v>
      </c>
      <c r="AX3">
        <v>490.62</v>
      </c>
      <c r="AY3">
        <v>215.34</v>
      </c>
      <c r="AZ3">
        <v>76.22</v>
      </c>
      <c r="BA3">
        <v>68.45</v>
      </c>
      <c r="BB3">
        <v>285.27</v>
      </c>
      <c r="BC3">
        <v>221.26</v>
      </c>
      <c r="BD3">
        <v>67.34</v>
      </c>
      <c r="BE3">
        <v>203.13</v>
      </c>
      <c r="BF3">
        <v>459.91</v>
      </c>
      <c r="BG3">
        <v>617.53</v>
      </c>
      <c r="BH3">
        <v>1002.7</v>
      </c>
      <c r="BI3">
        <v>1369.74</v>
      </c>
      <c r="BJ3">
        <v>404.41</v>
      </c>
      <c r="BK3">
        <v>290.45</v>
      </c>
      <c r="BL3">
        <v>414.03</v>
      </c>
      <c r="BM3">
        <v>161.32</v>
      </c>
      <c r="BO3">
        <v>463.66</v>
      </c>
    </row>
    <row r="4" spans="1:107">
      <c r="A4" s="40"/>
      <c r="B4" s="30" t="s">
        <v>79</v>
      </c>
      <c r="C4" s="31" t="s">
        <v>80</v>
      </c>
      <c r="D4" s="35" t="s">
        <v>81</v>
      </c>
      <c r="E4" s="35" t="s">
        <v>82</v>
      </c>
      <c r="F4" s="35" t="s">
        <v>83</v>
      </c>
      <c r="G4" s="35" t="s">
        <v>84</v>
      </c>
      <c r="H4">
        <v>21</v>
      </c>
      <c r="I4" t="s">
        <v>78</v>
      </c>
      <c r="J4">
        <v>270.55</v>
      </c>
      <c r="K4">
        <v>6.69</v>
      </c>
      <c r="L4">
        <v>6.69</v>
      </c>
      <c r="M4">
        <v>2.8</v>
      </c>
      <c r="N4">
        <v>52.53</v>
      </c>
      <c r="O4">
        <v>23.46</v>
      </c>
      <c r="P4">
        <v>0.05</v>
      </c>
      <c r="Q4">
        <v>0.13</v>
      </c>
      <c r="R4">
        <v>0.52</v>
      </c>
      <c r="S4">
        <v>0.27</v>
      </c>
      <c r="T4">
        <v>0.2</v>
      </c>
      <c r="U4">
        <v>4.96</v>
      </c>
      <c r="W4" t="s">
        <v>85</v>
      </c>
      <c r="Y4">
        <v>0.36</v>
      </c>
      <c r="Z4">
        <v>5.74</v>
      </c>
      <c r="AA4" t="s">
        <v>85</v>
      </c>
      <c r="AC4" t="s">
        <v>85</v>
      </c>
      <c r="AD4">
        <v>77.48</v>
      </c>
      <c r="AE4">
        <v>56.9</v>
      </c>
      <c r="AF4" t="s">
        <v>85</v>
      </c>
      <c r="AG4" t="s">
        <v>85</v>
      </c>
      <c r="AH4">
        <v>10.31</v>
      </c>
      <c r="AI4">
        <v>312</v>
      </c>
      <c r="AJ4">
        <v>0.75</v>
      </c>
      <c r="AK4">
        <v>7.94</v>
      </c>
      <c r="AL4">
        <v>286</v>
      </c>
      <c r="AM4">
        <v>30.25</v>
      </c>
      <c r="AN4">
        <v>117</v>
      </c>
      <c r="AO4">
        <v>1331</v>
      </c>
      <c r="AP4">
        <v>3.99</v>
      </c>
      <c r="AQ4">
        <v>4.75</v>
      </c>
      <c r="AR4">
        <v>0.49</v>
      </c>
      <c r="AS4">
        <v>1.08</v>
      </c>
      <c r="AT4">
        <v>0.52</v>
      </c>
      <c r="AU4" t="s">
        <v>85</v>
      </c>
      <c r="AV4">
        <v>1.82</v>
      </c>
      <c r="AW4">
        <v>1.8</v>
      </c>
      <c r="AX4">
        <v>6.02</v>
      </c>
      <c r="AY4">
        <v>2.58</v>
      </c>
      <c r="AZ4">
        <v>0.86</v>
      </c>
      <c r="BA4">
        <v>0.79</v>
      </c>
      <c r="BB4">
        <v>3.39</v>
      </c>
      <c r="BC4">
        <v>2.95</v>
      </c>
      <c r="BD4">
        <v>0.86</v>
      </c>
      <c r="BE4">
        <v>2.64</v>
      </c>
      <c r="BF4">
        <v>6.19</v>
      </c>
      <c r="BG4">
        <v>7.36</v>
      </c>
      <c r="BH4">
        <v>15.14</v>
      </c>
      <c r="BI4">
        <v>17.809999999999999</v>
      </c>
      <c r="BJ4">
        <v>5.64</v>
      </c>
      <c r="BK4">
        <v>4.25</v>
      </c>
      <c r="BL4">
        <v>5.37</v>
      </c>
      <c r="BM4">
        <v>1.97</v>
      </c>
      <c r="BN4">
        <v>134</v>
      </c>
      <c r="BO4">
        <v>670</v>
      </c>
      <c r="BP4">
        <v>247</v>
      </c>
    </row>
    <row r="5" spans="1:107">
      <c r="A5" s="40"/>
      <c r="B5" s="30" t="s">
        <v>86</v>
      </c>
      <c r="C5" s="31" t="s">
        <v>87</v>
      </c>
      <c r="D5" s="35" t="s">
        <v>88</v>
      </c>
      <c r="E5" s="35" t="s">
        <v>82</v>
      </c>
      <c r="F5" s="35" t="s">
        <v>89</v>
      </c>
      <c r="G5" s="35" t="s">
        <v>90</v>
      </c>
      <c r="H5">
        <v>21</v>
      </c>
      <c r="I5" t="s">
        <v>78</v>
      </c>
      <c r="J5">
        <v>304.49</v>
      </c>
      <c r="K5">
        <v>10.59</v>
      </c>
      <c r="L5">
        <v>13.91</v>
      </c>
      <c r="M5">
        <v>16.64</v>
      </c>
      <c r="N5">
        <v>22.62</v>
      </c>
      <c r="O5">
        <v>30.35</v>
      </c>
      <c r="P5">
        <v>0.52</v>
      </c>
      <c r="Q5">
        <v>0.13</v>
      </c>
      <c r="R5">
        <v>2.87</v>
      </c>
      <c r="S5">
        <v>0.22</v>
      </c>
      <c r="T5">
        <v>0.39</v>
      </c>
      <c r="U5">
        <v>27.79</v>
      </c>
      <c r="W5" t="s">
        <v>85</v>
      </c>
      <c r="X5" s="65"/>
      <c r="Y5" s="65">
        <v>1.49</v>
      </c>
      <c r="Z5" s="65">
        <v>146</v>
      </c>
      <c r="AA5" s="65" t="s">
        <v>85</v>
      </c>
      <c r="AB5" s="65"/>
      <c r="AC5" s="65" t="s">
        <v>85</v>
      </c>
      <c r="AD5" s="65">
        <v>89.19</v>
      </c>
      <c r="AE5" s="65">
        <v>170</v>
      </c>
      <c r="AF5" s="65" t="s">
        <v>85</v>
      </c>
      <c r="AG5" s="65" t="s">
        <v>85</v>
      </c>
      <c r="AH5" s="65">
        <v>42.6</v>
      </c>
      <c r="AI5" s="65">
        <v>878</v>
      </c>
      <c r="AJ5" s="65">
        <v>1.1399999999999999</v>
      </c>
      <c r="AK5" s="65">
        <v>20.58</v>
      </c>
      <c r="AL5" s="65">
        <v>442</v>
      </c>
      <c r="AM5" s="65">
        <v>4.21</v>
      </c>
      <c r="AN5" s="65">
        <v>382</v>
      </c>
      <c r="AO5" s="65">
        <v>1886</v>
      </c>
      <c r="AP5" s="65">
        <v>4.01</v>
      </c>
      <c r="AQ5" s="65">
        <v>4.29</v>
      </c>
      <c r="AR5" s="65">
        <v>0.62</v>
      </c>
      <c r="AS5" s="65">
        <v>8.3800000000000008</v>
      </c>
      <c r="AT5" s="65">
        <v>4.3099999999999996</v>
      </c>
      <c r="AU5" s="65" t="s">
        <v>85</v>
      </c>
      <c r="AV5" s="65">
        <v>2.87</v>
      </c>
      <c r="AW5" s="65">
        <v>4.43</v>
      </c>
      <c r="AX5" s="201">
        <v>6.23</v>
      </c>
      <c r="AY5" s="201">
        <v>4.8499999999999996</v>
      </c>
      <c r="AZ5" s="65">
        <v>1.25</v>
      </c>
      <c r="BA5" s="65">
        <v>1.02</v>
      </c>
      <c r="BB5" s="65">
        <v>4.46</v>
      </c>
      <c r="BC5" s="65">
        <v>3.91</v>
      </c>
      <c r="BD5" s="65">
        <v>0.95</v>
      </c>
      <c r="BE5" s="65">
        <v>5.13</v>
      </c>
      <c r="BF5" s="65">
        <v>5.22</v>
      </c>
      <c r="BG5" s="65">
        <v>6.82</v>
      </c>
      <c r="BH5" s="65">
        <v>8.9600000000000009</v>
      </c>
      <c r="BI5" s="65">
        <v>20.91</v>
      </c>
      <c r="BJ5" s="65">
        <v>7.22</v>
      </c>
      <c r="BK5" s="65">
        <v>4.33</v>
      </c>
      <c r="BL5" s="65">
        <v>5.07</v>
      </c>
      <c r="BM5" s="65">
        <v>3.27</v>
      </c>
      <c r="BN5" s="65">
        <v>165</v>
      </c>
      <c r="BO5" s="65">
        <v>445</v>
      </c>
      <c r="BP5" s="65">
        <v>817</v>
      </c>
      <c r="BQ5" s="65"/>
      <c r="BR5" s="65"/>
      <c r="BS5" s="4"/>
      <c r="BT5" s="5"/>
      <c r="BU5" s="4"/>
      <c r="BV5" s="5"/>
    </row>
    <row r="6" spans="1:107">
      <c r="A6" s="40"/>
      <c r="B6" s="30" t="s">
        <v>91</v>
      </c>
      <c r="C6" s="31" t="s">
        <v>92</v>
      </c>
      <c r="D6" s="35" t="s">
        <v>93</v>
      </c>
      <c r="E6" s="35" t="s">
        <v>76</v>
      </c>
      <c r="F6" s="35">
        <v>70001</v>
      </c>
      <c r="G6" s="35" t="s">
        <v>94</v>
      </c>
      <c r="H6">
        <v>21</v>
      </c>
      <c r="I6" t="s">
        <v>78</v>
      </c>
      <c r="J6">
        <v>353</v>
      </c>
      <c r="K6">
        <v>5.44</v>
      </c>
      <c r="L6">
        <v>7.61</v>
      </c>
      <c r="M6">
        <v>8.36</v>
      </c>
      <c r="N6">
        <v>48.67</v>
      </c>
      <c r="O6">
        <v>26.3</v>
      </c>
      <c r="P6">
        <v>0.01</v>
      </c>
      <c r="Q6">
        <v>0.42</v>
      </c>
      <c r="R6">
        <v>2.0099999999999998</v>
      </c>
      <c r="T6">
        <v>1.74</v>
      </c>
      <c r="U6">
        <v>180</v>
      </c>
      <c r="V6">
        <v>0</v>
      </c>
      <c r="W6" s="65">
        <v>46.5</v>
      </c>
      <c r="X6" s="65">
        <v>0</v>
      </c>
      <c r="AA6">
        <v>0</v>
      </c>
      <c r="AB6">
        <v>309.17</v>
      </c>
      <c r="AD6">
        <v>3710</v>
      </c>
      <c r="AI6">
        <v>834</v>
      </c>
      <c r="AJ6">
        <v>0.42</v>
      </c>
      <c r="AK6">
        <v>43</v>
      </c>
      <c r="AL6">
        <v>120</v>
      </c>
      <c r="AN6">
        <v>113</v>
      </c>
      <c r="AO6">
        <v>529</v>
      </c>
      <c r="AQ6">
        <v>3.7</v>
      </c>
    </row>
    <row r="7" spans="1:107">
      <c r="A7" s="40"/>
      <c r="B7" s="30" t="s">
        <v>95</v>
      </c>
      <c r="C7" s="31" t="s">
        <v>96</v>
      </c>
      <c r="D7" s="35" t="s">
        <v>97</v>
      </c>
      <c r="E7" s="35" t="s">
        <v>76</v>
      </c>
      <c r="F7" s="35">
        <v>70003</v>
      </c>
      <c r="G7" s="35" t="s">
        <v>98</v>
      </c>
      <c r="H7">
        <v>21</v>
      </c>
      <c r="I7" t="s">
        <v>78</v>
      </c>
      <c r="J7">
        <v>313</v>
      </c>
      <c r="K7">
        <v>10</v>
      </c>
      <c r="L7">
        <v>15.9</v>
      </c>
      <c r="M7">
        <v>6.2</v>
      </c>
      <c r="N7" s="6">
        <v>35.18</v>
      </c>
      <c r="O7" s="6">
        <v>26.62</v>
      </c>
      <c r="P7" s="6">
        <v>0.93</v>
      </c>
      <c r="Q7" s="6">
        <v>0.43</v>
      </c>
      <c r="R7" s="6">
        <v>8.6999999999999993</v>
      </c>
      <c r="S7" s="6">
        <v>0.56999999999999995</v>
      </c>
      <c r="T7" s="6">
        <v>2.4500000000000002</v>
      </c>
      <c r="U7" s="6">
        <v>106</v>
      </c>
      <c r="V7" s="6">
        <v>0</v>
      </c>
      <c r="W7" s="6">
        <v>47.4</v>
      </c>
      <c r="X7" s="6">
        <v>0</v>
      </c>
      <c r="Y7" s="6">
        <v>19.71</v>
      </c>
      <c r="Z7" s="6"/>
      <c r="AA7" s="7">
        <v>0</v>
      </c>
      <c r="AB7" s="6">
        <v>746.91</v>
      </c>
      <c r="AC7" s="6">
        <v>0</v>
      </c>
      <c r="AD7" s="6">
        <v>7840.65</v>
      </c>
      <c r="AE7" s="6">
        <v>1843</v>
      </c>
      <c r="AF7" s="6">
        <v>36.44</v>
      </c>
      <c r="AG7" s="6">
        <v>1599</v>
      </c>
      <c r="AH7" s="6">
        <v>2712</v>
      </c>
      <c r="AI7">
        <v>160</v>
      </c>
      <c r="AJ7">
        <v>0.37</v>
      </c>
      <c r="AK7">
        <v>2.2999999999999998</v>
      </c>
      <c r="AL7">
        <v>152</v>
      </c>
      <c r="AN7">
        <v>293</v>
      </c>
      <c r="AO7">
        <v>2010</v>
      </c>
      <c r="AQ7">
        <v>2.48</v>
      </c>
      <c r="AR7">
        <v>1.1399999999999999</v>
      </c>
      <c r="AS7">
        <v>0.72</v>
      </c>
      <c r="AT7" t="s">
        <v>99</v>
      </c>
      <c r="AV7">
        <v>267.76</v>
      </c>
      <c r="AW7">
        <v>475.88</v>
      </c>
      <c r="AX7">
        <v>809.62</v>
      </c>
      <c r="AY7">
        <v>531.71</v>
      </c>
      <c r="AZ7">
        <v>159.88999999999999</v>
      </c>
      <c r="BA7">
        <v>220.81</v>
      </c>
      <c r="BB7">
        <v>645.91999999999996</v>
      </c>
      <c r="BC7">
        <v>517.75</v>
      </c>
      <c r="BD7">
        <v>116.75</v>
      </c>
      <c r="BE7">
        <v>611.66</v>
      </c>
      <c r="BF7">
        <v>605.30999999999995</v>
      </c>
      <c r="BG7">
        <v>629.41999999999996</v>
      </c>
      <c r="BH7">
        <v>1782.95</v>
      </c>
      <c r="BI7">
        <v>2197.91</v>
      </c>
      <c r="BJ7">
        <v>651</v>
      </c>
      <c r="BK7">
        <v>719.52</v>
      </c>
      <c r="BL7">
        <v>548.21</v>
      </c>
      <c r="BM7">
        <v>392.12</v>
      </c>
      <c r="BO7">
        <v>264</v>
      </c>
      <c r="BP7">
        <v>67</v>
      </c>
    </row>
    <row r="8" spans="1:107">
      <c r="A8" s="40"/>
      <c r="B8" s="30" t="s">
        <v>100</v>
      </c>
      <c r="C8" s="31" t="s">
        <v>101</v>
      </c>
      <c r="D8" s="35" t="s">
        <v>102</v>
      </c>
      <c r="E8" s="52" t="s">
        <v>103</v>
      </c>
      <c r="F8" s="49" t="s">
        <v>104</v>
      </c>
      <c r="G8" s="50" t="s">
        <v>105</v>
      </c>
      <c r="H8">
        <v>21</v>
      </c>
      <c r="I8" t="s">
        <v>78</v>
      </c>
      <c r="W8" s="65"/>
      <c r="X8" s="65"/>
      <c r="Y8" s="65"/>
      <c r="Z8" s="65"/>
      <c r="AA8" s="65"/>
      <c r="AB8" s="65"/>
      <c r="AC8" s="65"/>
      <c r="AD8" s="65"/>
      <c r="AE8" s="65"/>
      <c r="AF8" s="65"/>
      <c r="AG8" s="65"/>
      <c r="AH8" s="65"/>
      <c r="AI8" s="65"/>
      <c r="AJ8" s="65"/>
      <c r="AK8" s="65"/>
      <c r="AL8" s="65"/>
    </row>
    <row r="9" spans="1:107">
      <c r="A9" s="40"/>
      <c r="B9" s="30" t="s">
        <v>106</v>
      </c>
      <c r="C9" s="31" t="s">
        <v>107</v>
      </c>
      <c r="D9" s="35" t="s">
        <v>88</v>
      </c>
      <c r="E9" s="52" t="s">
        <v>103</v>
      </c>
      <c r="F9" s="35">
        <v>170923</v>
      </c>
      <c r="G9" t="s">
        <v>108</v>
      </c>
      <c r="H9">
        <v>21</v>
      </c>
      <c r="I9" t="s">
        <v>78</v>
      </c>
    </row>
    <row r="10" spans="1:107">
      <c r="A10" s="40"/>
      <c r="B10" s="30" t="s">
        <v>109</v>
      </c>
      <c r="C10" s="31"/>
      <c r="E10" s="35" t="s">
        <v>76</v>
      </c>
      <c r="F10" s="35">
        <v>70008</v>
      </c>
      <c r="G10" s="35" t="s">
        <v>110</v>
      </c>
      <c r="H10">
        <v>21</v>
      </c>
      <c r="I10" t="s">
        <v>78</v>
      </c>
      <c r="J10">
        <v>336</v>
      </c>
      <c r="K10">
        <v>11.2</v>
      </c>
      <c r="L10">
        <v>14.1</v>
      </c>
      <c r="M10">
        <v>16.100000000000001</v>
      </c>
      <c r="N10">
        <v>13.38</v>
      </c>
      <c r="O10">
        <v>40.82</v>
      </c>
      <c r="P10">
        <v>0.22</v>
      </c>
      <c r="Q10">
        <v>0.35</v>
      </c>
      <c r="R10">
        <v>2.13</v>
      </c>
      <c r="S10">
        <v>0.28000000000000003</v>
      </c>
      <c r="T10">
        <v>0.04</v>
      </c>
      <c r="U10">
        <v>22.07</v>
      </c>
      <c r="V10">
        <v>0</v>
      </c>
      <c r="W10">
        <v>0</v>
      </c>
      <c r="X10">
        <v>1.31</v>
      </c>
      <c r="Y10">
        <v>1.01</v>
      </c>
      <c r="AA10">
        <v>0</v>
      </c>
      <c r="AB10">
        <v>0</v>
      </c>
      <c r="AC10">
        <v>0</v>
      </c>
      <c r="AD10">
        <v>122</v>
      </c>
      <c r="AE10">
        <v>225</v>
      </c>
      <c r="AH10">
        <v>10.96</v>
      </c>
      <c r="AI10">
        <v>630</v>
      </c>
      <c r="AJ10">
        <v>0.95</v>
      </c>
      <c r="AK10">
        <v>17.899999999999999</v>
      </c>
      <c r="AL10">
        <v>321.52999999999997</v>
      </c>
      <c r="AN10">
        <v>398.5</v>
      </c>
      <c r="AO10">
        <v>1230</v>
      </c>
      <c r="AQ10">
        <v>4.58</v>
      </c>
      <c r="AR10">
        <v>0.93</v>
      </c>
      <c r="AS10">
        <v>10.77</v>
      </c>
      <c r="AT10">
        <v>2.25</v>
      </c>
      <c r="AV10">
        <v>303.81</v>
      </c>
      <c r="AW10">
        <v>481.83</v>
      </c>
      <c r="AX10">
        <v>717.42</v>
      </c>
      <c r="AY10">
        <v>599.09</v>
      </c>
      <c r="AZ10">
        <v>217.46</v>
      </c>
      <c r="BA10">
        <v>105.53</v>
      </c>
      <c r="BB10">
        <v>435.99</v>
      </c>
      <c r="BC10">
        <v>428.53</v>
      </c>
      <c r="BD10">
        <v>125.79</v>
      </c>
      <c r="BE10">
        <v>665.18</v>
      </c>
      <c r="BF10">
        <v>529.79999999999995</v>
      </c>
      <c r="BG10">
        <v>640.66999999999996</v>
      </c>
      <c r="BH10">
        <v>1142.75</v>
      </c>
      <c r="BI10">
        <v>1665.09</v>
      </c>
      <c r="BJ10">
        <v>670.51</v>
      </c>
      <c r="BK10">
        <v>523.41</v>
      </c>
      <c r="BL10">
        <v>501.02</v>
      </c>
      <c r="BM10">
        <v>325.13</v>
      </c>
      <c r="BO10">
        <v>1008</v>
      </c>
    </row>
    <row r="11" spans="1:107">
      <c r="A11" s="40"/>
      <c r="B11" s="30" t="s">
        <v>111</v>
      </c>
      <c r="C11" s="31" t="s">
        <v>112</v>
      </c>
      <c r="D11" s="35" t="s">
        <v>113</v>
      </c>
      <c r="E11" s="35" t="s">
        <v>76</v>
      </c>
      <c r="F11" s="35">
        <v>70004</v>
      </c>
      <c r="G11" s="35" t="s">
        <v>114</v>
      </c>
      <c r="H11">
        <v>21</v>
      </c>
      <c r="I11" t="s">
        <v>78</v>
      </c>
      <c r="J11">
        <v>243</v>
      </c>
      <c r="K11" s="6">
        <v>10.58</v>
      </c>
      <c r="L11" s="6">
        <v>3.99</v>
      </c>
      <c r="M11" s="6">
        <v>1.24</v>
      </c>
      <c r="N11" s="6">
        <v>27.49</v>
      </c>
      <c r="O11" s="6">
        <v>53.1</v>
      </c>
      <c r="P11" s="6">
        <v>0.02</v>
      </c>
      <c r="Q11" s="6">
        <v>0.04</v>
      </c>
      <c r="R11" s="6">
        <v>1.33</v>
      </c>
      <c r="S11" s="6"/>
      <c r="T11" s="6">
        <v>0.16</v>
      </c>
      <c r="U11" s="6">
        <v>6</v>
      </c>
      <c r="V11" s="6">
        <v>0</v>
      </c>
      <c r="W11" s="6">
        <v>3.8</v>
      </c>
      <c r="X11" s="6">
        <v>0</v>
      </c>
      <c r="Y11" s="6">
        <v>2.3199999999999998</v>
      </c>
      <c r="Z11" s="6"/>
      <c r="AA11" s="6">
        <v>0</v>
      </c>
      <c r="AB11" s="6">
        <v>14.75</v>
      </c>
      <c r="AC11" s="6">
        <v>1</v>
      </c>
      <c r="AD11" s="6">
        <v>112</v>
      </c>
      <c r="AE11" s="6"/>
      <c r="AF11" s="6"/>
      <c r="AG11" s="6"/>
      <c r="AH11" s="6"/>
      <c r="AI11" s="6">
        <v>1000</v>
      </c>
      <c r="AJ11" s="6">
        <v>0.34</v>
      </c>
      <c r="AK11" s="7">
        <v>8.32</v>
      </c>
      <c r="AL11" s="6">
        <v>60</v>
      </c>
      <c r="AM11" s="6"/>
      <c r="AN11">
        <v>64</v>
      </c>
      <c r="AO11">
        <v>431</v>
      </c>
      <c r="AQ11">
        <v>1.83</v>
      </c>
    </row>
    <row r="12" spans="1:107">
      <c r="A12" s="40"/>
      <c r="B12" s="31" t="s">
        <v>115</v>
      </c>
      <c r="C12" s="31" t="s">
        <v>116</v>
      </c>
      <c r="D12" s="34" t="s">
        <v>117</v>
      </c>
      <c r="E12" s="35" t="s">
        <v>76</v>
      </c>
      <c r="F12" s="35">
        <v>70011</v>
      </c>
      <c r="G12" s="35" t="s">
        <v>118</v>
      </c>
      <c r="H12">
        <v>21</v>
      </c>
      <c r="I12" t="s">
        <v>78</v>
      </c>
      <c r="J12">
        <v>330</v>
      </c>
      <c r="K12">
        <v>10.68</v>
      </c>
      <c r="L12">
        <v>21.8</v>
      </c>
      <c r="M12">
        <v>6.91</v>
      </c>
      <c r="N12">
        <v>32.81</v>
      </c>
      <c r="O12">
        <v>24.6</v>
      </c>
      <c r="P12">
        <v>0.33</v>
      </c>
      <c r="Q12">
        <v>0.34</v>
      </c>
      <c r="R12">
        <v>1.47</v>
      </c>
      <c r="S12">
        <v>0.27</v>
      </c>
      <c r="T12">
        <v>0.6</v>
      </c>
      <c r="U12">
        <v>64</v>
      </c>
      <c r="V12">
        <v>0</v>
      </c>
      <c r="X12">
        <v>0.3</v>
      </c>
      <c r="AA12">
        <v>0</v>
      </c>
      <c r="AB12">
        <v>8.33</v>
      </c>
      <c r="AC12">
        <v>0</v>
      </c>
      <c r="AD12">
        <v>11</v>
      </c>
      <c r="AE12">
        <v>585</v>
      </c>
      <c r="AH12">
        <v>201</v>
      </c>
      <c r="AI12">
        <v>155.33000000000001</v>
      </c>
      <c r="AJ12">
        <v>1.46</v>
      </c>
      <c r="AK12">
        <v>23.64</v>
      </c>
      <c r="AL12">
        <v>180.5</v>
      </c>
      <c r="AN12">
        <v>318</v>
      </c>
      <c r="AO12">
        <v>710</v>
      </c>
      <c r="AQ12">
        <v>4.7</v>
      </c>
      <c r="AR12">
        <v>0.77</v>
      </c>
      <c r="AS12">
        <v>0.68</v>
      </c>
      <c r="AT12">
        <v>3.13</v>
      </c>
      <c r="AV12">
        <v>579.35</v>
      </c>
      <c r="AW12">
        <v>1161.24</v>
      </c>
      <c r="AX12">
        <v>1524.6</v>
      </c>
      <c r="AY12">
        <v>1677.06</v>
      </c>
      <c r="AZ12">
        <v>310</v>
      </c>
      <c r="BA12">
        <v>350.66</v>
      </c>
      <c r="BB12">
        <v>1041.81</v>
      </c>
      <c r="BC12">
        <v>724.19</v>
      </c>
      <c r="BD12">
        <v>302.38</v>
      </c>
      <c r="BE12">
        <v>1125.6600000000001</v>
      </c>
      <c r="BF12">
        <v>1095.17</v>
      </c>
      <c r="BG12">
        <v>2129.36</v>
      </c>
      <c r="BH12">
        <v>2797.64</v>
      </c>
      <c r="BI12">
        <v>4693.2299999999996</v>
      </c>
      <c r="BJ12">
        <v>1250.17</v>
      </c>
      <c r="BK12">
        <v>990.99</v>
      </c>
      <c r="BL12">
        <v>1351.81</v>
      </c>
      <c r="BM12">
        <v>653.04</v>
      </c>
      <c r="BO12">
        <v>570</v>
      </c>
    </row>
    <row r="13" spans="1:107">
      <c r="A13" s="30">
        <v>90404</v>
      </c>
      <c r="B13" s="31" t="s">
        <v>119</v>
      </c>
      <c r="C13" s="31" t="s">
        <v>120</v>
      </c>
      <c r="D13" s="35" t="s">
        <v>121</v>
      </c>
      <c r="E13" s="35" t="s">
        <v>122</v>
      </c>
      <c r="F13" s="35">
        <v>2284215</v>
      </c>
      <c r="G13" s="35" t="s">
        <v>123</v>
      </c>
      <c r="H13">
        <v>17</v>
      </c>
      <c r="I13" t="s">
        <v>124</v>
      </c>
      <c r="J13">
        <v>900</v>
      </c>
      <c r="L13">
        <v>0</v>
      </c>
      <c r="M13">
        <v>100</v>
      </c>
      <c r="N13">
        <v>0</v>
      </c>
      <c r="AA13">
        <v>0</v>
      </c>
      <c r="AK13">
        <v>0</v>
      </c>
      <c r="AR13">
        <v>20</v>
      </c>
    </row>
    <row r="14" spans="1:107">
      <c r="A14" s="40"/>
      <c r="B14" s="31" t="s">
        <v>125</v>
      </c>
      <c r="C14" s="31" t="s">
        <v>126</v>
      </c>
      <c r="D14" s="34" t="s">
        <v>127</v>
      </c>
      <c r="E14" s="35" t="s">
        <v>76</v>
      </c>
      <c r="F14" s="35">
        <v>70010</v>
      </c>
      <c r="G14" s="35" t="s">
        <v>128</v>
      </c>
      <c r="H14">
        <v>21</v>
      </c>
      <c r="I14" t="s">
        <v>78</v>
      </c>
      <c r="J14">
        <v>329</v>
      </c>
      <c r="K14">
        <v>8.27</v>
      </c>
      <c r="L14">
        <v>15.8</v>
      </c>
      <c r="M14">
        <v>14.89</v>
      </c>
      <c r="N14">
        <v>13.03</v>
      </c>
      <c r="O14">
        <v>39.799999999999997</v>
      </c>
      <c r="P14">
        <v>0.41</v>
      </c>
      <c r="Q14">
        <v>0.35</v>
      </c>
      <c r="R14">
        <v>7.47</v>
      </c>
      <c r="T14">
        <v>0.47</v>
      </c>
      <c r="V14">
        <v>0</v>
      </c>
      <c r="W14">
        <v>0</v>
      </c>
      <c r="X14">
        <v>0</v>
      </c>
      <c r="AA14">
        <v>0</v>
      </c>
      <c r="AB14">
        <v>7</v>
      </c>
      <c r="AI14">
        <v>1200</v>
      </c>
      <c r="AJ14">
        <v>1.07</v>
      </c>
      <c r="AK14">
        <v>16.45</v>
      </c>
      <c r="AL14">
        <v>386.67</v>
      </c>
      <c r="AN14">
        <v>494.67</v>
      </c>
      <c r="AO14">
        <v>1680</v>
      </c>
      <c r="AQ14">
        <v>3.7</v>
      </c>
    </row>
    <row r="15" spans="1:107">
      <c r="A15" s="40"/>
      <c r="B15" s="31" t="s">
        <v>129</v>
      </c>
      <c r="C15" s="31" t="s">
        <v>130</v>
      </c>
      <c r="D15" s="35" t="s">
        <v>88</v>
      </c>
      <c r="E15" s="35" t="s">
        <v>76</v>
      </c>
      <c r="F15" s="35">
        <v>70009</v>
      </c>
      <c r="G15" s="35" t="s">
        <v>131</v>
      </c>
      <c r="H15">
        <v>21</v>
      </c>
      <c r="I15" t="s">
        <v>78</v>
      </c>
      <c r="J15">
        <v>402</v>
      </c>
      <c r="K15">
        <v>9.99</v>
      </c>
      <c r="L15">
        <v>18.25</v>
      </c>
      <c r="M15">
        <v>17.62</v>
      </c>
      <c r="N15">
        <v>37.229999999999997</v>
      </c>
      <c r="O15">
        <v>10.5</v>
      </c>
      <c r="P15">
        <v>0.57999999999999996</v>
      </c>
      <c r="Q15">
        <v>0.35</v>
      </c>
      <c r="R15">
        <v>3.59</v>
      </c>
      <c r="S15">
        <v>0.22</v>
      </c>
      <c r="T15">
        <v>0.44</v>
      </c>
      <c r="U15">
        <v>10</v>
      </c>
      <c r="V15">
        <v>0</v>
      </c>
      <c r="W15">
        <v>7.7</v>
      </c>
      <c r="X15">
        <v>12.1</v>
      </c>
      <c r="Y15">
        <v>3.33</v>
      </c>
      <c r="AA15">
        <v>0</v>
      </c>
      <c r="AB15">
        <v>63.5</v>
      </c>
      <c r="AC15">
        <v>0</v>
      </c>
      <c r="AD15">
        <v>762</v>
      </c>
      <c r="AE15">
        <v>170</v>
      </c>
      <c r="AH15">
        <v>42.6</v>
      </c>
      <c r="AI15">
        <v>1020</v>
      </c>
      <c r="AJ15">
        <v>0.96</v>
      </c>
      <c r="AK15">
        <v>44.52</v>
      </c>
      <c r="AL15">
        <v>403.67</v>
      </c>
      <c r="AN15">
        <v>506.67</v>
      </c>
      <c r="AO15">
        <v>1380</v>
      </c>
      <c r="AQ15">
        <v>3.89</v>
      </c>
      <c r="AR15">
        <v>0.62</v>
      </c>
      <c r="AS15">
        <v>8.3800000000000008</v>
      </c>
      <c r="AT15">
        <v>4.3099999999999996</v>
      </c>
      <c r="AV15">
        <v>399.22</v>
      </c>
      <c r="AW15">
        <v>616.21</v>
      </c>
      <c r="AX15">
        <v>866.59</v>
      </c>
      <c r="AY15">
        <v>674.64</v>
      </c>
      <c r="AZ15">
        <v>173.88</v>
      </c>
      <c r="BA15">
        <v>141.88</v>
      </c>
      <c r="BB15">
        <v>620.39</v>
      </c>
      <c r="BC15">
        <v>543.88</v>
      </c>
      <c r="BD15">
        <v>132.15</v>
      </c>
      <c r="BE15">
        <v>713.58</v>
      </c>
      <c r="BF15">
        <v>726.1</v>
      </c>
      <c r="BG15">
        <v>948.66</v>
      </c>
      <c r="BH15">
        <v>1246.3399999999999</v>
      </c>
      <c r="BI15">
        <v>2908.58</v>
      </c>
      <c r="BJ15">
        <v>1004.3</v>
      </c>
      <c r="BK15">
        <v>602.29999999999995</v>
      </c>
      <c r="BL15">
        <v>705.24</v>
      </c>
      <c r="BM15">
        <v>454.86</v>
      </c>
      <c r="BO15">
        <v>445</v>
      </c>
    </row>
    <row r="16" spans="1:107" s="58" customFormat="1">
      <c r="A16" s="54"/>
      <c r="B16" s="55" t="s">
        <v>132</v>
      </c>
      <c r="C16" s="56" t="s">
        <v>133</v>
      </c>
      <c r="D16" s="57" t="s">
        <v>88</v>
      </c>
      <c r="E16" s="57"/>
      <c r="F16" s="57"/>
      <c r="G16" s="57"/>
      <c r="H16" s="58">
        <v>21</v>
      </c>
      <c r="I16" s="58" t="s">
        <v>78</v>
      </c>
    </row>
    <row r="17" spans="1:68">
      <c r="A17" s="40"/>
      <c r="B17" s="30" t="s">
        <v>134</v>
      </c>
      <c r="C17" s="31" t="s">
        <v>135</v>
      </c>
      <c r="D17" s="35" t="s">
        <v>136</v>
      </c>
      <c r="E17" s="35" t="s">
        <v>122</v>
      </c>
      <c r="F17" s="35">
        <v>2396268</v>
      </c>
      <c r="G17" s="35" t="s">
        <v>137</v>
      </c>
      <c r="H17">
        <v>19</v>
      </c>
      <c r="I17" t="s">
        <v>138</v>
      </c>
      <c r="J17">
        <v>305</v>
      </c>
      <c r="L17">
        <v>0</v>
      </c>
      <c r="M17">
        <v>0</v>
      </c>
      <c r="N17">
        <v>75</v>
      </c>
      <c r="O17">
        <v>5</v>
      </c>
      <c r="AI17">
        <v>75</v>
      </c>
      <c r="AK17">
        <v>1</v>
      </c>
      <c r="AO17">
        <v>835</v>
      </c>
      <c r="AR17">
        <v>0</v>
      </c>
      <c r="AU17">
        <v>0</v>
      </c>
    </row>
    <row r="18" spans="1:68" s="58" customFormat="1">
      <c r="A18" s="54"/>
      <c r="B18" s="55" t="s">
        <v>139</v>
      </c>
      <c r="C18" s="56" t="s">
        <v>140</v>
      </c>
      <c r="D18" s="57"/>
      <c r="E18" s="57"/>
      <c r="F18" s="57"/>
      <c r="G18" s="57"/>
      <c r="H18" s="58">
        <v>21</v>
      </c>
      <c r="I18" s="58" t="s">
        <v>78</v>
      </c>
    </row>
    <row r="19" spans="1:68">
      <c r="A19" s="40"/>
      <c r="B19" s="31" t="s">
        <v>141</v>
      </c>
      <c r="C19" s="31" t="s">
        <v>142</v>
      </c>
      <c r="D19" s="35" t="s">
        <v>143</v>
      </c>
      <c r="E19" s="35" t="s">
        <v>76</v>
      </c>
      <c r="F19" s="35">
        <v>20003</v>
      </c>
      <c r="G19" s="35" t="s">
        <v>144</v>
      </c>
      <c r="H19">
        <v>3</v>
      </c>
      <c r="I19" s="46" t="s">
        <v>72</v>
      </c>
      <c r="J19">
        <v>317</v>
      </c>
      <c r="K19">
        <v>11.3</v>
      </c>
      <c r="L19">
        <v>22.31</v>
      </c>
      <c r="M19">
        <v>1.68</v>
      </c>
      <c r="N19">
        <v>45.09</v>
      </c>
      <c r="O19">
        <v>16.3</v>
      </c>
      <c r="P19">
        <v>0.42</v>
      </c>
      <c r="Q19">
        <v>0.26</v>
      </c>
      <c r="R19">
        <v>2.1</v>
      </c>
      <c r="S19">
        <v>3.98</v>
      </c>
      <c r="T19">
        <v>0.28000000000000003</v>
      </c>
      <c r="U19">
        <v>140</v>
      </c>
      <c r="V19">
        <v>0</v>
      </c>
      <c r="X19">
        <v>16.84</v>
      </c>
      <c r="Y19">
        <v>1.9</v>
      </c>
      <c r="AA19">
        <v>0</v>
      </c>
      <c r="AB19">
        <v>2</v>
      </c>
      <c r="AC19">
        <v>0</v>
      </c>
      <c r="AD19">
        <v>24</v>
      </c>
      <c r="AI19">
        <v>184.35</v>
      </c>
      <c r="AJ19">
        <v>1.07</v>
      </c>
      <c r="AK19">
        <v>5.91</v>
      </c>
      <c r="AL19">
        <v>189</v>
      </c>
      <c r="AN19">
        <v>337</v>
      </c>
      <c r="AO19">
        <v>1121.1500000000001</v>
      </c>
      <c r="AQ19">
        <v>2.31</v>
      </c>
      <c r="AR19">
        <v>0.26</v>
      </c>
      <c r="AS19">
        <v>0.16</v>
      </c>
      <c r="AT19">
        <v>0.72</v>
      </c>
      <c r="AV19">
        <v>626.15</v>
      </c>
      <c r="AW19">
        <v>751.37</v>
      </c>
      <c r="AX19">
        <v>1665.33</v>
      </c>
      <c r="AY19">
        <v>1395.1</v>
      </c>
      <c r="AZ19">
        <v>257.05</v>
      </c>
      <c r="BA19">
        <v>127.43</v>
      </c>
      <c r="BB19">
        <v>1296.23</v>
      </c>
      <c r="BC19">
        <v>630.54</v>
      </c>
      <c r="BD19">
        <v>215.31</v>
      </c>
      <c r="BE19">
        <v>902.97</v>
      </c>
      <c r="BF19">
        <v>1019.41</v>
      </c>
      <c r="BG19">
        <v>1331.38</v>
      </c>
      <c r="BH19">
        <v>2882.46</v>
      </c>
      <c r="BI19">
        <v>4174.3</v>
      </c>
      <c r="BJ19">
        <v>834.86</v>
      </c>
      <c r="BK19">
        <v>885.39</v>
      </c>
      <c r="BL19">
        <v>1162.21</v>
      </c>
      <c r="BM19">
        <v>672.28</v>
      </c>
      <c r="BO19">
        <v>675</v>
      </c>
    </row>
    <row r="20" spans="1:68">
      <c r="A20" s="40"/>
      <c r="B20" s="31" t="s">
        <v>141</v>
      </c>
      <c r="C20" s="31" t="s">
        <v>142</v>
      </c>
      <c r="D20" s="35" t="s">
        <v>143</v>
      </c>
      <c r="E20" s="35" t="s">
        <v>76</v>
      </c>
      <c r="F20" s="35">
        <v>20004</v>
      </c>
      <c r="G20" s="35" t="s">
        <v>145</v>
      </c>
      <c r="H20">
        <v>3</v>
      </c>
      <c r="I20" s="46" t="s">
        <v>72</v>
      </c>
      <c r="J20">
        <v>350</v>
      </c>
      <c r="K20">
        <v>10.48</v>
      </c>
      <c r="L20">
        <v>22.6</v>
      </c>
      <c r="M20">
        <v>1.22</v>
      </c>
      <c r="N20">
        <v>61.81</v>
      </c>
      <c r="O20">
        <v>0.9</v>
      </c>
      <c r="P20">
        <v>0.42</v>
      </c>
      <c r="Q20">
        <v>0.18</v>
      </c>
      <c r="R20">
        <v>2</v>
      </c>
      <c r="S20">
        <v>2.95</v>
      </c>
      <c r="T20">
        <v>0.28000000000000003</v>
      </c>
      <c r="U20">
        <v>132</v>
      </c>
      <c r="V20">
        <v>0</v>
      </c>
      <c r="X20">
        <v>8.4600000000000009</v>
      </c>
      <c r="Y20">
        <v>1.9</v>
      </c>
      <c r="AA20">
        <v>0</v>
      </c>
      <c r="AB20">
        <v>4.6900000000000004</v>
      </c>
      <c r="AC20">
        <v>0</v>
      </c>
      <c r="AD20">
        <v>56.3</v>
      </c>
      <c r="AI20">
        <v>52.9</v>
      </c>
      <c r="AJ20">
        <v>1.08</v>
      </c>
      <c r="AK20">
        <v>3.26</v>
      </c>
      <c r="AL20">
        <v>141.93</v>
      </c>
      <c r="AN20">
        <v>385</v>
      </c>
      <c r="AO20">
        <v>790</v>
      </c>
      <c r="AQ20">
        <v>2.4500000000000002</v>
      </c>
      <c r="AR20">
        <v>0.28000000000000003</v>
      </c>
      <c r="AS20">
        <v>0.19</v>
      </c>
      <c r="AT20">
        <v>0.74</v>
      </c>
      <c r="AV20">
        <v>608.78</v>
      </c>
      <c r="AW20">
        <v>864.75</v>
      </c>
      <c r="AX20">
        <v>1828.66</v>
      </c>
      <c r="AY20">
        <v>1434.33</v>
      </c>
      <c r="AZ20">
        <v>302.08999999999997</v>
      </c>
      <c r="BA20">
        <v>112.99</v>
      </c>
      <c r="BB20">
        <v>1309.81</v>
      </c>
      <c r="BC20">
        <v>689.49</v>
      </c>
      <c r="BD20">
        <v>246.74</v>
      </c>
      <c r="BE20">
        <v>1063.07</v>
      </c>
      <c r="BF20">
        <v>1090.74</v>
      </c>
      <c r="BG20">
        <v>1441.25</v>
      </c>
      <c r="BH20">
        <v>2757.98</v>
      </c>
      <c r="BI20">
        <v>4238.43</v>
      </c>
      <c r="BJ20">
        <v>779.43</v>
      </c>
      <c r="BK20">
        <v>860.14</v>
      </c>
      <c r="BL20">
        <v>1219.8699999999999</v>
      </c>
      <c r="BM20">
        <v>701.02</v>
      </c>
      <c r="BO20">
        <v>708</v>
      </c>
    </row>
    <row r="21" spans="1:68">
      <c r="A21" s="30">
        <v>11201</v>
      </c>
      <c r="B21" s="30" t="s">
        <v>146</v>
      </c>
      <c r="C21" s="30" t="s">
        <v>147</v>
      </c>
      <c r="D21" s="34" t="s">
        <v>148</v>
      </c>
      <c r="E21" s="35" t="s">
        <v>76</v>
      </c>
      <c r="F21" s="35">
        <v>10037</v>
      </c>
      <c r="G21" s="35" t="s">
        <v>149</v>
      </c>
      <c r="H21">
        <v>1</v>
      </c>
      <c r="I21" t="s">
        <v>150</v>
      </c>
      <c r="J21">
        <v>109</v>
      </c>
      <c r="K21">
        <v>71.17</v>
      </c>
      <c r="L21">
        <v>2.14</v>
      </c>
      <c r="M21">
        <v>0.14000000000000001</v>
      </c>
      <c r="N21">
        <v>24.3</v>
      </c>
      <c r="O21">
        <v>1.1000000000000001</v>
      </c>
      <c r="P21">
        <v>0.03</v>
      </c>
      <c r="Q21">
        <v>0.01</v>
      </c>
      <c r="R21">
        <v>0.9</v>
      </c>
      <c r="T21">
        <v>0.03</v>
      </c>
      <c r="U21">
        <v>2.5299999999999998</v>
      </c>
      <c r="W21">
        <v>0</v>
      </c>
      <c r="X21">
        <v>0</v>
      </c>
      <c r="Y21">
        <v>0.04</v>
      </c>
      <c r="AA21">
        <v>0</v>
      </c>
      <c r="AB21">
        <v>0</v>
      </c>
      <c r="AC21">
        <v>0</v>
      </c>
      <c r="AD21">
        <v>0</v>
      </c>
      <c r="AI21">
        <v>6.09</v>
      </c>
      <c r="AJ21">
        <v>7.0000000000000007E-2</v>
      </c>
      <c r="AK21">
        <v>0.32</v>
      </c>
      <c r="AL21">
        <v>15.65</v>
      </c>
      <c r="AN21">
        <v>39.4</v>
      </c>
      <c r="AO21">
        <v>38.6</v>
      </c>
      <c r="AQ21">
        <v>0.41</v>
      </c>
    </row>
    <row r="22" spans="1:68">
      <c r="A22" s="30">
        <v>11303</v>
      </c>
      <c r="B22" s="30" t="s">
        <v>151</v>
      </c>
      <c r="C22" s="30" t="s">
        <v>152</v>
      </c>
      <c r="D22" s="34" t="s">
        <v>148</v>
      </c>
      <c r="E22" s="35" t="s">
        <v>76</v>
      </c>
      <c r="F22" s="35">
        <v>10023</v>
      </c>
      <c r="G22" s="35" t="s">
        <v>153</v>
      </c>
      <c r="H22">
        <v>1</v>
      </c>
      <c r="I22" t="s">
        <v>150</v>
      </c>
      <c r="J22">
        <v>361</v>
      </c>
      <c r="K22">
        <v>7.3</v>
      </c>
      <c r="L22">
        <v>6.71</v>
      </c>
      <c r="M22">
        <v>0.1</v>
      </c>
      <c r="N22">
        <v>82.74</v>
      </c>
      <c r="O22">
        <v>1.35</v>
      </c>
      <c r="P22">
        <v>0.21</v>
      </c>
      <c r="Q22">
        <v>0.12</v>
      </c>
      <c r="R22">
        <v>3.52</v>
      </c>
      <c r="S22">
        <v>0.38</v>
      </c>
      <c r="U22">
        <v>11.63</v>
      </c>
      <c r="W22">
        <v>0</v>
      </c>
      <c r="X22">
        <v>0</v>
      </c>
      <c r="Y22">
        <v>0.1</v>
      </c>
      <c r="AA22">
        <v>0</v>
      </c>
      <c r="AB22">
        <v>0</v>
      </c>
      <c r="AC22">
        <v>0</v>
      </c>
      <c r="AD22">
        <v>0</v>
      </c>
      <c r="AE22">
        <v>1.51</v>
      </c>
      <c r="AI22">
        <v>9.19</v>
      </c>
      <c r="AJ22">
        <v>0.2</v>
      </c>
      <c r="AK22">
        <v>0.69</v>
      </c>
      <c r="AL22">
        <v>45.48</v>
      </c>
      <c r="AN22">
        <v>133.26</v>
      </c>
      <c r="AO22">
        <v>153.99</v>
      </c>
      <c r="AQ22">
        <v>0.84</v>
      </c>
      <c r="AR22">
        <v>0.05</v>
      </c>
      <c r="AS22">
        <v>0.04</v>
      </c>
      <c r="AT22">
        <v>0.45</v>
      </c>
      <c r="AV22">
        <v>157.62</v>
      </c>
      <c r="AW22">
        <v>274.89999999999998</v>
      </c>
      <c r="AX22">
        <v>578.92999999999995</v>
      </c>
      <c r="AY22">
        <v>234.56</v>
      </c>
      <c r="AZ22">
        <v>149.4</v>
      </c>
      <c r="BA22">
        <v>100.1</v>
      </c>
      <c r="BB22">
        <v>398.15</v>
      </c>
      <c r="BC22">
        <v>226.34</v>
      </c>
      <c r="BD22">
        <v>79.930000000000007</v>
      </c>
      <c r="BE22">
        <v>401.14</v>
      </c>
      <c r="BF22">
        <v>462.39</v>
      </c>
      <c r="BG22">
        <v>525.89</v>
      </c>
      <c r="BH22">
        <v>656.61</v>
      </c>
      <c r="BI22">
        <v>1341.61</v>
      </c>
      <c r="BJ22">
        <v>301.04000000000002</v>
      </c>
      <c r="BK22">
        <v>301.79000000000002</v>
      </c>
      <c r="BL22">
        <v>345.11</v>
      </c>
      <c r="BM22">
        <v>308.51</v>
      </c>
      <c r="BO22">
        <v>656</v>
      </c>
    </row>
    <row r="23" spans="1:68">
      <c r="A23" s="30">
        <v>11001</v>
      </c>
      <c r="B23" s="30" t="s">
        <v>154</v>
      </c>
      <c r="C23" s="30" t="s">
        <v>155</v>
      </c>
      <c r="D23" s="34" t="s">
        <v>148</v>
      </c>
      <c r="E23" s="52" t="s">
        <v>156</v>
      </c>
      <c r="F23" s="35">
        <v>33</v>
      </c>
      <c r="G23" s="35" t="s">
        <v>157</v>
      </c>
      <c r="H23">
        <v>1</v>
      </c>
      <c r="I23" t="s">
        <v>150</v>
      </c>
      <c r="J23">
        <v>360</v>
      </c>
      <c r="K23">
        <v>10.89</v>
      </c>
      <c r="L23">
        <v>7.68</v>
      </c>
      <c r="M23">
        <v>1.94</v>
      </c>
      <c r="N23">
        <v>77.900000000000006</v>
      </c>
      <c r="O23">
        <v>0.56000000000000005</v>
      </c>
      <c r="AI23">
        <v>19.11</v>
      </c>
      <c r="AN23">
        <v>109.3</v>
      </c>
    </row>
    <row r="24" spans="1:68">
      <c r="A24" s="30"/>
      <c r="B24" s="30" t="s">
        <v>158</v>
      </c>
      <c r="C24" s="31" t="s">
        <v>159</v>
      </c>
      <c r="D24" s="34" t="s">
        <v>148</v>
      </c>
      <c r="E24" s="35" t="s">
        <v>76</v>
      </c>
      <c r="F24" s="35">
        <v>170018</v>
      </c>
      <c r="G24" s="35" t="s">
        <v>160</v>
      </c>
      <c r="H24">
        <v>1</v>
      </c>
      <c r="I24" t="s">
        <v>150</v>
      </c>
      <c r="J24">
        <v>360</v>
      </c>
      <c r="K24">
        <v>10.9</v>
      </c>
      <c r="L24">
        <v>7.6</v>
      </c>
      <c r="M24">
        <v>1.3</v>
      </c>
      <c r="N24">
        <v>79.099999999999994</v>
      </c>
      <c r="O24">
        <v>0.6</v>
      </c>
      <c r="P24">
        <v>0.04</v>
      </c>
      <c r="Q24">
        <v>0.08</v>
      </c>
      <c r="R24">
        <v>2.5</v>
      </c>
      <c r="S24">
        <v>0.5</v>
      </c>
      <c r="V24">
        <v>0</v>
      </c>
      <c r="W24">
        <v>0</v>
      </c>
      <c r="AA24">
        <v>22</v>
      </c>
      <c r="AB24">
        <v>22</v>
      </c>
      <c r="AD24">
        <v>0</v>
      </c>
      <c r="AI24">
        <v>17</v>
      </c>
      <c r="AJ24">
        <v>0</v>
      </c>
      <c r="AK24">
        <v>1.1000000000000001</v>
      </c>
      <c r="AL24">
        <v>0</v>
      </c>
      <c r="AN24">
        <v>60</v>
      </c>
      <c r="AO24">
        <v>32</v>
      </c>
      <c r="AQ24">
        <v>0</v>
      </c>
    </row>
    <row r="25" spans="1:68">
      <c r="A25" s="30"/>
      <c r="B25" s="30" t="s">
        <v>161</v>
      </c>
      <c r="C25" s="31" t="s">
        <v>162</v>
      </c>
      <c r="D25" s="35" t="s">
        <v>163</v>
      </c>
      <c r="E25" s="35" t="s">
        <v>76</v>
      </c>
      <c r="F25" s="35">
        <v>10031</v>
      </c>
      <c r="G25" s="35" t="s">
        <v>164</v>
      </c>
      <c r="H25">
        <v>1</v>
      </c>
      <c r="I25" t="s">
        <v>150</v>
      </c>
      <c r="J25">
        <v>347</v>
      </c>
      <c r="K25">
        <v>12.21</v>
      </c>
      <c r="L25">
        <v>10.61</v>
      </c>
      <c r="M25">
        <v>1.64</v>
      </c>
      <c r="N25">
        <v>70.34</v>
      </c>
      <c r="O25">
        <v>4.42</v>
      </c>
      <c r="P25">
        <v>0.13</v>
      </c>
      <c r="Q25">
        <v>0.05</v>
      </c>
      <c r="R25">
        <v>1.9</v>
      </c>
      <c r="S25">
        <v>0.72</v>
      </c>
      <c r="T25">
        <v>0.1</v>
      </c>
      <c r="U25">
        <v>20</v>
      </c>
      <c r="W25">
        <v>0</v>
      </c>
      <c r="X25">
        <v>6.62</v>
      </c>
      <c r="Y25">
        <v>0.43</v>
      </c>
      <c r="AA25">
        <v>0</v>
      </c>
      <c r="AB25">
        <v>0</v>
      </c>
      <c r="AD25">
        <v>2.67</v>
      </c>
      <c r="AI25">
        <v>12.79</v>
      </c>
      <c r="AJ25">
        <v>0.19</v>
      </c>
      <c r="AK25">
        <v>3.8</v>
      </c>
      <c r="AL25">
        <v>57.89</v>
      </c>
      <c r="AN25">
        <v>140</v>
      </c>
      <c r="AO25">
        <v>210.27</v>
      </c>
      <c r="AQ25">
        <v>1.55</v>
      </c>
      <c r="AR25">
        <v>0.22</v>
      </c>
      <c r="AS25">
        <v>0.15</v>
      </c>
      <c r="AT25">
        <v>0.73</v>
      </c>
      <c r="AU25">
        <v>0</v>
      </c>
      <c r="AV25">
        <v>229</v>
      </c>
      <c r="AW25">
        <v>307</v>
      </c>
      <c r="AX25">
        <v>691</v>
      </c>
      <c r="AY25">
        <v>276</v>
      </c>
      <c r="AZ25">
        <v>220</v>
      </c>
      <c r="BA25">
        <v>218</v>
      </c>
      <c r="BB25">
        <v>475</v>
      </c>
      <c r="BC25">
        <v>300</v>
      </c>
      <c r="BD25">
        <v>124</v>
      </c>
      <c r="BE25">
        <v>450</v>
      </c>
      <c r="BF25">
        <v>556</v>
      </c>
      <c r="BG25">
        <v>440</v>
      </c>
      <c r="BH25">
        <v>505</v>
      </c>
      <c r="BI25">
        <v>3537</v>
      </c>
      <c r="BJ25">
        <v>412</v>
      </c>
      <c r="BK25">
        <v>1065</v>
      </c>
      <c r="BL25">
        <v>505</v>
      </c>
      <c r="BM25">
        <v>270</v>
      </c>
      <c r="BO25">
        <v>228</v>
      </c>
    </row>
    <row r="26" spans="1:68">
      <c r="A26" s="30"/>
      <c r="B26" s="30" t="s">
        <v>165</v>
      </c>
      <c r="C26" s="31" t="s">
        <v>166</v>
      </c>
      <c r="D26" s="35" t="s">
        <v>163</v>
      </c>
      <c r="E26" s="35" t="s">
        <v>76</v>
      </c>
      <c r="F26" s="35">
        <v>10030</v>
      </c>
      <c r="G26" s="35" t="s">
        <v>167</v>
      </c>
      <c r="H26">
        <v>1</v>
      </c>
      <c r="I26" t="s">
        <v>150</v>
      </c>
      <c r="J26">
        <v>334</v>
      </c>
      <c r="K26">
        <v>12.28</v>
      </c>
      <c r="L26">
        <v>11.29</v>
      </c>
      <c r="M26">
        <v>2.09</v>
      </c>
      <c r="N26">
        <v>62.18</v>
      </c>
      <c r="O26">
        <v>10.7</v>
      </c>
      <c r="P26">
        <v>0.49</v>
      </c>
      <c r="Q26">
        <v>0.17</v>
      </c>
      <c r="R26">
        <v>3.8</v>
      </c>
      <c r="S26">
        <v>0.87</v>
      </c>
      <c r="T26">
        <v>0.41</v>
      </c>
      <c r="U26">
        <v>29</v>
      </c>
      <c r="W26">
        <v>0</v>
      </c>
      <c r="X26">
        <v>17.38</v>
      </c>
      <c r="Y26">
        <v>0.72</v>
      </c>
      <c r="AA26">
        <v>0</v>
      </c>
      <c r="AB26">
        <v>0.42</v>
      </c>
      <c r="AC26">
        <v>0</v>
      </c>
      <c r="AD26">
        <v>5</v>
      </c>
      <c r="AE26">
        <v>42.12</v>
      </c>
      <c r="AH26">
        <v>1.31</v>
      </c>
      <c r="AI26">
        <v>52.21</v>
      </c>
      <c r="AJ26">
        <v>0.53</v>
      </c>
      <c r="AK26">
        <v>4.9000000000000004</v>
      </c>
      <c r="AL26">
        <v>150.97</v>
      </c>
      <c r="AN26">
        <v>306</v>
      </c>
      <c r="AO26">
        <v>284</v>
      </c>
      <c r="AQ26">
        <v>3.02</v>
      </c>
      <c r="AR26">
        <v>0.21</v>
      </c>
      <c r="AS26">
        <v>0.15</v>
      </c>
      <c r="AT26">
        <v>0.74</v>
      </c>
      <c r="AV26">
        <v>0.27</v>
      </c>
      <c r="AW26">
        <v>0.4</v>
      </c>
      <c r="AX26">
        <v>0.65</v>
      </c>
      <c r="AY26">
        <v>0.26</v>
      </c>
      <c r="AZ26">
        <v>0.19</v>
      </c>
      <c r="BA26">
        <v>0.24</v>
      </c>
      <c r="BB26">
        <v>0.53</v>
      </c>
      <c r="BC26">
        <v>0.27</v>
      </c>
      <c r="BD26">
        <v>0.1</v>
      </c>
      <c r="BE26">
        <v>0.54</v>
      </c>
      <c r="BF26">
        <v>0.41</v>
      </c>
      <c r="BG26">
        <v>0.5</v>
      </c>
      <c r="BH26">
        <v>0.53</v>
      </c>
      <c r="BI26">
        <v>3.13</v>
      </c>
      <c r="BJ26">
        <v>0.4</v>
      </c>
      <c r="BK26">
        <v>1.0900000000000001</v>
      </c>
      <c r="BL26">
        <v>0.5</v>
      </c>
      <c r="BM26">
        <v>0</v>
      </c>
      <c r="BO26">
        <v>632</v>
      </c>
      <c r="BP26">
        <v>8</v>
      </c>
    </row>
    <row r="27" spans="1:68">
      <c r="A27" s="30"/>
      <c r="B27" s="30" t="s">
        <v>168</v>
      </c>
      <c r="C27" s="31" t="s">
        <v>169</v>
      </c>
      <c r="D27" s="35" t="s">
        <v>170</v>
      </c>
      <c r="E27" s="35" t="s">
        <v>76</v>
      </c>
      <c r="F27" s="35">
        <v>10004</v>
      </c>
      <c r="G27" s="35" t="s">
        <v>171</v>
      </c>
      <c r="H27">
        <v>1</v>
      </c>
      <c r="I27" t="s">
        <v>150</v>
      </c>
      <c r="J27">
        <v>355</v>
      </c>
      <c r="K27">
        <v>10.91</v>
      </c>
      <c r="L27">
        <v>6.93</v>
      </c>
      <c r="M27">
        <v>3.86</v>
      </c>
      <c r="N27">
        <v>69.55</v>
      </c>
      <c r="O27">
        <v>7.3</v>
      </c>
      <c r="P27">
        <v>0.25</v>
      </c>
      <c r="Q27">
        <v>0.08</v>
      </c>
      <c r="R27">
        <v>1.9</v>
      </c>
      <c r="T27">
        <v>0.37</v>
      </c>
      <c r="U27">
        <v>25</v>
      </c>
      <c r="V27">
        <v>0</v>
      </c>
      <c r="W27">
        <v>0</v>
      </c>
      <c r="X27">
        <v>0</v>
      </c>
      <c r="Y27">
        <v>0.42</v>
      </c>
      <c r="AA27">
        <v>0</v>
      </c>
      <c r="AB27">
        <v>27.99</v>
      </c>
      <c r="AC27">
        <v>0</v>
      </c>
      <c r="AD27">
        <v>335.91</v>
      </c>
      <c r="AI27">
        <v>7</v>
      </c>
      <c r="AJ27">
        <v>0.23</v>
      </c>
      <c r="AK27">
        <v>2.38</v>
      </c>
      <c r="AL27">
        <v>93</v>
      </c>
      <c r="AN27">
        <v>272</v>
      </c>
      <c r="AO27">
        <v>315</v>
      </c>
      <c r="AQ27">
        <v>1.73</v>
      </c>
      <c r="AR27">
        <v>0.54</v>
      </c>
      <c r="AS27">
        <v>1.02</v>
      </c>
      <c r="AT27">
        <v>1.76</v>
      </c>
      <c r="AU27">
        <v>0</v>
      </c>
      <c r="AV27">
        <v>194</v>
      </c>
      <c r="AW27">
        <v>255</v>
      </c>
      <c r="AX27">
        <v>876</v>
      </c>
      <c r="AY27">
        <v>194</v>
      </c>
      <c r="AZ27">
        <v>132</v>
      </c>
      <c r="BA27">
        <v>112</v>
      </c>
      <c r="BB27">
        <v>357</v>
      </c>
      <c r="BC27">
        <v>255</v>
      </c>
      <c r="BD27">
        <v>45</v>
      </c>
      <c r="BE27">
        <v>336</v>
      </c>
      <c r="BF27">
        <v>520</v>
      </c>
      <c r="BG27">
        <v>285</v>
      </c>
      <c r="BH27">
        <v>448</v>
      </c>
      <c r="BI27">
        <v>1427</v>
      </c>
      <c r="BJ27">
        <v>255</v>
      </c>
      <c r="BK27">
        <v>622</v>
      </c>
      <c r="BL27">
        <v>357</v>
      </c>
      <c r="BM27">
        <v>265</v>
      </c>
    </row>
    <row r="28" spans="1:68">
      <c r="A28" s="30"/>
      <c r="B28" s="30" t="s">
        <v>172</v>
      </c>
      <c r="C28" s="31" t="s">
        <v>173</v>
      </c>
      <c r="D28" s="35" t="s">
        <v>70</v>
      </c>
      <c r="E28" s="35" t="s">
        <v>76</v>
      </c>
      <c r="F28" s="35">
        <v>20001</v>
      </c>
      <c r="G28" s="35" t="s">
        <v>174</v>
      </c>
      <c r="H28">
        <v>3</v>
      </c>
      <c r="I28" s="46" t="s">
        <v>72</v>
      </c>
      <c r="J28">
        <v>368</v>
      </c>
      <c r="K28">
        <v>10.8</v>
      </c>
      <c r="L28">
        <v>19.100000000000001</v>
      </c>
      <c r="M28">
        <v>5.4</v>
      </c>
      <c r="N28">
        <v>59.3</v>
      </c>
      <c r="O28">
        <v>2.8</v>
      </c>
      <c r="P28">
        <v>0.33</v>
      </c>
      <c r="Q28">
        <v>0.21</v>
      </c>
      <c r="R28">
        <v>1.9</v>
      </c>
      <c r="S28">
        <v>1.6</v>
      </c>
      <c r="T28">
        <v>0.19</v>
      </c>
      <c r="U28">
        <v>148</v>
      </c>
      <c r="V28">
        <v>0</v>
      </c>
      <c r="W28">
        <v>1</v>
      </c>
      <c r="X28">
        <v>1.75</v>
      </c>
      <c r="Y28">
        <v>0.19</v>
      </c>
      <c r="AA28">
        <v>0</v>
      </c>
      <c r="AB28">
        <v>10</v>
      </c>
      <c r="AD28">
        <v>117.05</v>
      </c>
      <c r="AI28">
        <v>54</v>
      </c>
      <c r="AJ28">
        <v>0.73</v>
      </c>
      <c r="AK28">
        <v>8.9</v>
      </c>
      <c r="AL28">
        <v>119</v>
      </c>
      <c r="AN28">
        <v>325</v>
      </c>
      <c r="AO28">
        <v>725</v>
      </c>
      <c r="AQ28">
        <v>3.17</v>
      </c>
      <c r="AR28">
        <v>0.47</v>
      </c>
      <c r="AS28">
        <v>0.88</v>
      </c>
      <c r="AT28">
        <v>2.48</v>
      </c>
      <c r="AV28">
        <v>515.04999999999995</v>
      </c>
      <c r="AW28">
        <v>915.88</v>
      </c>
      <c r="AX28">
        <v>1489.11</v>
      </c>
      <c r="AY28">
        <v>1305.93</v>
      </c>
      <c r="AZ28">
        <v>241.36</v>
      </c>
      <c r="BA28">
        <v>181.02</v>
      </c>
      <c r="BB28">
        <v>1286.54</v>
      </c>
      <c r="BC28">
        <v>698.22</v>
      </c>
      <c r="BD28">
        <v>234.9</v>
      </c>
      <c r="BE28">
        <v>881.4</v>
      </c>
      <c r="BF28">
        <v>885.71</v>
      </c>
      <c r="BG28">
        <v>1902.87</v>
      </c>
      <c r="BH28">
        <v>2527.8200000000002</v>
      </c>
      <c r="BI28">
        <v>3560.06</v>
      </c>
      <c r="BJ28">
        <v>745.63</v>
      </c>
      <c r="BK28">
        <v>760.72</v>
      </c>
      <c r="BL28">
        <v>982.68</v>
      </c>
      <c r="BM28">
        <v>586.16</v>
      </c>
      <c r="BO28">
        <v>859</v>
      </c>
    </row>
    <row r="29" spans="1:68">
      <c r="A29" s="30"/>
      <c r="B29" s="30" t="s">
        <v>172</v>
      </c>
      <c r="C29" s="31" t="s">
        <v>173</v>
      </c>
      <c r="D29" s="35" t="s">
        <v>70</v>
      </c>
      <c r="E29" s="35" t="s">
        <v>76</v>
      </c>
      <c r="F29" s="35">
        <v>20002</v>
      </c>
      <c r="G29" s="35" t="s">
        <v>175</v>
      </c>
      <c r="H29">
        <v>3</v>
      </c>
      <c r="I29" s="46" t="s">
        <v>72</v>
      </c>
      <c r="J29">
        <v>350</v>
      </c>
      <c r="K29">
        <v>8.86</v>
      </c>
      <c r="L29">
        <v>20.36</v>
      </c>
      <c r="M29">
        <v>6.04</v>
      </c>
      <c r="N29">
        <v>44.78</v>
      </c>
      <c r="O29">
        <v>17.399999999999999</v>
      </c>
      <c r="P29">
        <v>0.3</v>
      </c>
      <c r="Q29">
        <v>0.27</v>
      </c>
      <c r="R29">
        <v>1.9</v>
      </c>
      <c r="S29">
        <v>2.38</v>
      </c>
      <c r="T29">
        <v>0.54</v>
      </c>
      <c r="U29">
        <v>186</v>
      </c>
      <c r="V29">
        <v>0</v>
      </c>
      <c r="X29">
        <v>0</v>
      </c>
      <c r="Y29">
        <v>2.88</v>
      </c>
      <c r="AA29">
        <v>0</v>
      </c>
      <c r="AB29">
        <v>3.33</v>
      </c>
      <c r="AC29">
        <v>0</v>
      </c>
      <c r="AD29">
        <v>40</v>
      </c>
      <c r="AI29">
        <v>203.08</v>
      </c>
      <c r="AJ29">
        <v>1.23</v>
      </c>
      <c r="AK29">
        <v>8.84</v>
      </c>
      <c r="AL29">
        <v>130</v>
      </c>
      <c r="AN29">
        <v>367.63</v>
      </c>
      <c r="AO29">
        <v>715.95</v>
      </c>
      <c r="AQ29">
        <v>2.68</v>
      </c>
      <c r="AR29">
        <v>0.45</v>
      </c>
      <c r="AS29">
        <v>0.89</v>
      </c>
      <c r="AT29">
        <v>2.34</v>
      </c>
      <c r="AV29">
        <v>560</v>
      </c>
      <c r="AW29">
        <v>874</v>
      </c>
      <c r="AX29">
        <v>1450</v>
      </c>
      <c r="AY29">
        <v>1362</v>
      </c>
      <c r="AZ29">
        <v>267</v>
      </c>
      <c r="BA29">
        <v>273</v>
      </c>
      <c r="BB29">
        <v>1091</v>
      </c>
      <c r="BC29">
        <v>755</v>
      </c>
      <c r="BD29">
        <v>195</v>
      </c>
      <c r="BE29">
        <v>854</v>
      </c>
      <c r="BF29">
        <v>874</v>
      </c>
      <c r="BG29">
        <v>1919</v>
      </c>
      <c r="BH29">
        <v>2395</v>
      </c>
      <c r="BI29">
        <v>3561</v>
      </c>
      <c r="BJ29">
        <v>847</v>
      </c>
      <c r="BK29">
        <v>841</v>
      </c>
      <c r="BL29">
        <v>1027</v>
      </c>
      <c r="BM29">
        <v>505</v>
      </c>
      <c r="BO29">
        <v>687</v>
      </c>
    </row>
    <row r="30" spans="1:68">
      <c r="A30" s="30"/>
      <c r="B30" s="30" t="s">
        <v>176</v>
      </c>
      <c r="C30" s="31" t="s">
        <v>177</v>
      </c>
      <c r="D30" s="35" t="s">
        <v>178</v>
      </c>
      <c r="E30" s="35" t="s">
        <v>76</v>
      </c>
      <c r="F30" s="35">
        <v>20009</v>
      </c>
      <c r="G30" s="35" t="s">
        <v>179</v>
      </c>
      <c r="H30">
        <v>3</v>
      </c>
      <c r="I30" s="46" t="s">
        <v>72</v>
      </c>
      <c r="J30">
        <v>317</v>
      </c>
      <c r="K30">
        <v>12.16</v>
      </c>
      <c r="L30">
        <v>27.7</v>
      </c>
      <c r="M30">
        <v>0.8</v>
      </c>
      <c r="N30">
        <v>43.2</v>
      </c>
      <c r="O30">
        <v>13.2</v>
      </c>
      <c r="P30">
        <v>0.77</v>
      </c>
      <c r="Q30">
        <v>0.13</v>
      </c>
      <c r="R30">
        <v>2</v>
      </c>
      <c r="S30">
        <v>1.61</v>
      </c>
      <c r="T30">
        <v>0.34</v>
      </c>
      <c r="U30">
        <v>35</v>
      </c>
      <c r="W30">
        <v>4.5</v>
      </c>
      <c r="X30">
        <v>1.31</v>
      </c>
      <c r="Y30">
        <v>0.16</v>
      </c>
      <c r="AA30">
        <v>0</v>
      </c>
      <c r="AB30">
        <v>3</v>
      </c>
      <c r="AC30">
        <v>0</v>
      </c>
      <c r="AD30">
        <v>34</v>
      </c>
      <c r="AI30">
        <v>23</v>
      </c>
      <c r="AJ30">
        <v>0.79</v>
      </c>
      <c r="AK30">
        <v>5.0999999999999996</v>
      </c>
      <c r="AL30">
        <v>72</v>
      </c>
      <c r="AN30">
        <v>261</v>
      </c>
      <c r="AO30">
        <v>635</v>
      </c>
      <c r="AQ30">
        <v>3.89</v>
      </c>
      <c r="AR30">
        <v>0.14000000000000001</v>
      </c>
      <c r="AS30">
        <v>0.17</v>
      </c>
      <c r="AT30">
        <v>0.42</v>
      </c>
      <c r="AU30">
        <v>0</v>
      </c>
      <c r="AV30">
        <v>633</v>
      </c>
      <c r="AW30">
        <v>1048</v>
      </c>
      <c r="AX30">
        <v>2017</v>
      </c>
      <c r="AY30">
        <v>2118</v>
      </c>
      <c r="AZ30">
        <v>147</v>
      </c>
      <c r="BA30">
        <v>216</v>
      </c>
      <c r="BB30">
        <v>1431</v>
      </c>
      <c r="BC30">
        <v>1032</v>
      </c>
      <c r="BD30">
        <v>257</v>
      </c>
      <c r="BE30">
        <v>1366</v>
      </c>
      <c r="BF30">
        <v>1917</v>
      </c>
      <c r="BG30">
        <v>2265</v>
      </c>
      <c r="BH30">
        <v>3228</v>
      </c>
      <c r="BI30">
        <v>5481</v>
      </c>
      <c r="BJ30">
        <v>1150</v>
      </c>
      <c r="BK30">
        <v>1075</v>
      </c>
      <c r="BL30">
        <v>1515</v>
      </c>
      <c r="BM30">
        <v>836</v>
      </c>
      <c r="BO30">
        <v>133</v>
      </c>
    </row>
    <row r="31" spans="1:68">
      <c r="A31" s="30"/>
      <c r="B31" s="30" t="s">
        <v>180</v>
      </c>
      <c r="C31" s="31" t="s">
        <v>181</v>
      </c>
      <c r="D31" s="35" t="s">
        <v>182</v>
      </c>
      <c r="E31" s="35" t="s">
        <v>76</v>
      </c>
      <c r="F31" s="35">
        <v>20007</v>
      </c>
      <c r="G31" s="35" t="s">
        <v>183</v>
      </c>
      <c r="H31">
        <v>3</v>
      </c>
      <c r="I31" s="46" t="s">
        <v>72</v>
      </c>
      <c r="J31">
        <v>332</v>
      </c>
      <c r="K31">
        <v>10.16</v>
      </c>
      <c r="L31">
        <v>24.8</v>
      </c>
      <c r="M31">
        <v>1.2</v>
      </c>
      <c r="N31">
        <v>50.8</v>
      </c>
      <c r="O31">
        <v>9.4</v>
      </c>
      <c r="P31">
        <v>0.41</v>
      </c>
      <c r="Q31">
        <v>0.11</v>
      </c>
      <c r="R31">
        <v>1.84</v>
      </c>
      <c r="S31">
        <v>1.68</v>
      </c>
      <c r="T31">
        <v>0.19</v>
      </c>
      <c r="U31">
        <v>140</v>
      </c>
      <c r="V31">
        <v>0</v>
      </c>
      <c r="W31">
        <v>0</v>
      </c>
      <c r="X31">
        <v>2.0499999999999998</v>
      </c>
      <c r="Y31">
        <v>0.23</v>
      </c>
      <c r="AA31">
        <v>0</v>
      </c>
      <c r="AB31">
        <v>4</v>
      </c>
      <c r="AD31">
        <v>44</v>
      </c>
      <c r="AI31">
        <v>59</v>
      </c>
      <c r="AJ31">
        <v>1.34</v>
      </c>
      <c r="AK31">
        <v>6.5</v>
      </c>
      <c r="AL31">
        <v>151</v>
      </c>
      <c r="AN31">
        <v>320</v>
      </c>
      <c r="AO31">
        <v>1369</v>
      </c>
      <c r="AQ31">
        <v>2.81</v>
      </c>
      <c r="AR31">
        <v>0.25</v>
      </c>
      <c r="AS31">
        <v>0.04</v>
      </c>
      <c r="AT31">
        <v>0.53</v>
      </c>
      <c r="AV31">
        <v>690</v>
      </c>
      <c r="AW31">
        <v>990</v>
      </c>
      <c r="AX31">
        <v>1800</v>
      </c>
      <c r="AY31">
        <v>1700</v>
      </c>
      <c r="AZ31">
        <v>290</v>
      </c>
      <c r="BA31">
        <v>210</v>
      </c>
      <c r="BB31">
        <v>1500</v>
      </c>
      <c r="BC31">
        <v>760</v>
      </c>
      <c r="BD31">
        <v>260</v>
      </c>
      <c r="BE31">
        <v>1200</v>
      </c>
      <c r="BF31">
        <v>1100</v>
      </c>
      <c r="BG31">
        <v>1700</v>
      </c>
      <c r="BH31">
        <v>2700</v>
      </c>
      <c r="BI31">
        <v>4200</v>
      </c>
      <c r="BJ31">
        <v>960</v>
      </c>
      <c r="BK31">
        <v>1100</v>
      </c>
      <c r="BL31">
        <v>1200</v>
      </c>
      <c r="BM31">
        <v>730</v>
      </c>
      <c r="BO31">
        <v>580</v>
      </c>
    </row>
    <row r="32" spans="1:68">
      <c r="A32" s="30"/>
      <c r="B32" s="30" t="s">
        <v>180</v>
      </c>
      <c r="C32" s="31" t="s">
        <v>181</v>
      </c>
      <c r="D32" s="35" t="s">
        <v>182</v>
      </c>
      <c r="E32" s="35" t="s">
        <v>76</v>
      </c>
      <c r="F32" s="35">
        <v>20008</v>
      </c>
      <c r="G32" s="35" t="s">
        <v>184</v>
      </c>
      <c r="H32">
        <v>3</v>
      </c>
      <c r="I32" s="46" t="s">
        <v>72</v>
      </c>
      <c r="J32">
        <v>318</v>
      </c>
      <c r="K32">
        <v>10.4</v>
      </c>
      <c r="L32">
        <v>23.73</v>
      </c>
      <c r="M32">
        <v>1.25</v>
      </c>
      <c r="N32">
        <v>44.83</v>
      </c>
      <c r="O32">
        <v>16.3</v>
      </c>
      <c r="P32">
        <v>0.47</v>
      </c>
      <c r="Q32">
        <v>0.39</v>
      </c>
      <c r="R32">
        <v>2.25</v>
      </c>
      <c r="S32">
        <v>2.02</v>
      </c>
      <c r="T32">
        <v>0.5</v>
      </c>
      <c r="U32">
        <v>140</v>
      </c>
      <c r="V32">
        <v>0</v>
      </c>
      <c r="X32">
        <v>3.15</v>
      </c>
      <c r="Y32">
        <v>1.9</v>
      </c>
      <c r="AA32">
        <v>0</v>
      </c>
      <c r="AB32">
        <v>3.25</v>
      </c>
      <c r="AC32">
        <v>0</v>
      </c>
      <c r="AD32">
        <v>39</v>
      </c>
      <c r="AI32">
        <v>137.27000000000001</v>
      </c>
      <c r="AJ32">
        <v>1.17</v>
      </c>
      <c r="AK32">
        <v>7.86</v>
      </c>
      <c r="AL32">
        <v>189</v>
      </c>
      <c r="AN32">
        <v>325.5</v>
      </c>
      <c r="AO32">
        <v>1780.35</v>
      </c>
      <c r="AQ32">
        <v>2.68</v>
      </c>
      <c r="AR32">
        <v>0.27</v>
      </c>
      <c r="AS32">
        <v>0.03</v>
      </c>
      <c r="AT32">
        <v>0.61</v>
      </c>
      <c r="AV32">
        <v>690</v>
      </c>
      <c r="AW32">
        <v>990</v>
      </c>
      <c r="AX32">
        <v>1800</v>
      </c>
      <c r="AY32">
        <v>1700</v>
      </c>
      <c r="AZ32">
        <v>290</v>
      </c>
      <c r="BA32">
        <v>210</v>
      </c>
      <c r="BB32">
        <v>1500</v>
      </c>
      <c r="BC32">
        <v>760</v>
      </c>
      <c r="BD32">
        <v>260</v>
      </c>
      <c r="BE32">
        <v>1200</v>
      </c>
      <c r="BF32">
        <v>1100</v>
      </c>
      <c r="BG32">
        <v>1700</v>
      </c>
      <c r="BH32">
        <v>2700</v>
      </c>
      <c r="BI32">
        <v>4200</v>
      </c>
      <c r="BJ32">
        <v>960</v>
      </c>
      <c r="BK32">
        <v>1100</v>
      </c>
      <c r="BL32">
        <v>1200</v>
      </c>
      <c r="BM32">
        <v>730</v>
      </c>
      <c r="BO32">
        <v>375</v>
      </c>
    </row>
    <row r="33" spans="1:68">
      <c r="A33" s="30"/>
      <c r="B33" s="30" t="s">
        <v>185</v>
      </c>
      <c r="C33" s="31" t="s">
        <v>186</v>
      </c>
      <c r="D33" s="35" t="s">
        <v>187</v>
      </c>
      <c r="E33" s="35" t="s">
        <v>76</v>
      </c>
      <c r="F33" s="35">
        <v>20003</v>
      </c>
      <c r="G33" s="35" t="s">
        <v>188</v>
      </c>
      <c r="H33">
        <v>3</v>
      </c>
      <c r="I33" s="46" t="s">
        <v>72</v>
      </c>
      <c r="J33">
        <v>317</v>
      </c>
      <c r="K33">
        <v>11.3</v>
      </c>
      <c r="L33">
        <v>22.31</v>
      </c>
      <c r="M33">
        <v>1.68</v>
      </c>
      <c r="N33">
        <v>45.09</v>
      </c>
      <c r="O33">
        <v>16.3</v>
      </c>
      <c r="P33">
        <v>0.42</v>
      </c>
      <c r="Q33">
        <v>0.26</v>
      </c>
      <c r="R33">
        <v>2.1</v>
      </c>
      <c r="S33">
        <v>3.98</v>
      </c>
      <c r="T33">
        <v>0.28000000000000003</v>
      </c>
      <c r="U33">
        <v>140</v>
      </c>
      <c r="V33">
        <v>0</v>
      </c>
      <c r="X33">
        <v>16.84</v>
      </c>
      <c r="Y33">
        <v>1.9</v>
      </c>
      <c r="AA33">
        <v>0</v>
      </c>
      <c r="AB33">
        <v>2</v>
      </c>
      <c r="AC33">
        <v>0</v>
      </c>
      <c r="AD33">
        <v>24</v>
      </c>
      <c r="AI33">
        <v>184.35</v>
      </c>
      <c r="AJ33">
        <v>1.07</v>
      </c>
      <c r="AK33">
        <v>5.91</v>
      </c>
      <c r="AL33">
        <v>189</v>
      </c>
      <c r="AN33">
        <v>337</v>
      </c>
      <c r="AO33">
        <v>1121.1500000000001</v>
      </c>
      <c r="AQ33">
        <v>2.31</v>
      </c>
      <c r="AR33">
        <v>0.26</v>
      </c>
      <c r="AS33">
        <v>0.16</v>
      </c>
      <c r="AT33">
        <v>0.72</v>
      </c>
      <c r="AV33">
        <v>626.15</v>
      </c>
      <c r="AW33">
        <v>751.37</v>
      </c>
      <c r="AX33">
        <v>1665.33</v>
      </c>
      <c r="AY33">
        <v>1395.1</v>
      </c>
      <c r="AZ33">
        <v>257.05</v>
      </c>
      <c r="BA33">
        <v>127.43</v>
      </c>
      <c r="BB33">
        <v>1296.23</v>
      </c>
      <c r="BC33">
        <v>630.54</v>
      </c>
      <c r="BD33">
        <v>215.31</v>
      </c>
      <c r="BE33">
        <v>902.97</v>
      </c>
      <c r="BF33">
        <v>1019.41</v>
      </c>
      <c r="BG33">
        <v>1331.38</v>
      </c>
      <c r="BH33">
        <v>2882.46</v>
      </c>
      <c r="BI33">
        <v>4174.3</v>
      </c>
      <c r="BJ33">
        <v>834.86</v>
      </c>
      <c r="BK33">
        <v>885.39</v>
      </c>
      <c r="BL33">
        <v>1162.21</v>
      </c>
      <c r="BM33">
        <v>672.28</v>
      </c>
      <c r="BO33">
        <v>675</v>
      </c>
    </row>
    <row r="34" spans="1:68">
      <c r="A34" s="30"/>
      <c r="B34" s="30" t="s">
        <v>185</v>
      </c>
      <c r="C34" s="31" t="s">
        <v>186</v>
      </c>
      <c r="D34" s="35" t="s">
        <v>187</v>
      </c>
      <c r="E34" s="35" t="s">
        <v>76</v>
      </c>
      <c r="F34" s="35">
        <v>20004</v>
      </c>
      <c r="G34" s="35" t="s">
        <v>145</v>
      </c>
      <c r="H34">
        <v>3</v>
      </c>
      <c r="I34" s="46" t="s">
        <v>72</v>
      </c>
      <c r="J34">
        <v>350</v>
      </c>
      <c r="K34">
        <v>10.48</v>
      </c>
      <c r="L34">
        <v>22.6</v>
      </c>
      <c r="M34">
        <v>1.22</v>
      </c>
      <c r="N34">
        <v>61.81</v>
      </c>
      <c r="O34">
        <v>0.9</v>
      </c>
      <c r="P34">
        <v>0.42</v>
      </c>
      <c r="Q34">
        <v>0.18</v>
      </c>
      <c r="R34">
        <v>2</v>
      </c>
      <c r="S34">
        <v>2.95</v>
      </c>
      <c r="T34">
        <v>0.28000000000000003</v>
      </c>
      <c r="U34">
        <v>132</v>
      </c>
      <c r="V34">
        <v>0</v>
      </c>
      <c r="X34">
        <v>8.4600000000000009</v>
      </c>
      <c r="Y34">
        <v>1.9</v>
      </c>
      <c r="AA34">
        <v>0</v>
      </c>
      <c r="AB34">
        <v>4.6900000000000004</v>
      </c>
      <c r="AC34">
        <v>0</v>
      </c>
      <c r="AD34">
        <v>56.3</v>
      </c>
      <c r="AI34">
        <v>52.9</v>
      </c>
      <c r="AJ34">
        <v>1.08</v>
      </c>
      <c r="AK34">
        <v>3.26</v>
      </c>
      <c r="AL34">
        <v>141.93</v>
      </c>
      <c r="AN34">
        <v>385</v>
      </c>
      <c r="AO34">
        <v>790</v>
      </c>
      <c r="AQ34">
        <v>2.4500000000000002</v>
      </c>
      <c r="AR34">
        <v>0.28000000000000003</v>
      </c>
      <c r="AS34">
        <v>0.19</v>
      </c>
      <c r="AT34">
        <v>0.74</v>
      </c>
      <c r="AV34">
        <v>608.78</v>
      </c>
      <c r="AW34">
        <v>864.75</v>
      </c>
      <c r="AX34">
        <v>1828.66</v>
      </c>
      <c r="AY34">
        <v>1434.33</v>
      </c>
      <c r="AZ34">
        <v>302.08999999999997</v>
      </c>
      <c r="BA34">
        <v>112.99</v>
      </c>
      <c r="BB34">
        <v>1309.81</v>
      </c>
      <c r="BC34">
        <v>689.49</v>
      </c>
      <c r="BD34">
        <v>246.74</v>
      </c>
      <c r="BE34">
        <v>1063.07</v>
      </c>
      <c r="BF34">
        <v>1090.74</v>
      </c>
      <c r="BG34">
        <v>1441.25</v>
      </c>
      <c r="BH34">
        <v>2757.98</v>
      </c>
      <c r="BI34">
        <v>4238.43</v>
      </c>
      <c r="BJ34">
        <v>779.43</v>
      </c>
      <c r="BK34">
        <v>860.14</v>
      </c>
      <c r="BL34">
        <v>1219.8699999999999</v>
      </c>
      <c r="BM34">
        <v>701.02</v>
      </c>
      <c r="BO34">
        <v>708</v>
      </c>
    </row>
    <row r="35" spans="1:68">
      <c r="A35" s="30"/>
      <c r="B35" s="30" t="s">
        <v>189</v>
      </c>
      <c r="C35" s="31" t="s">
        <v>190</v>
      </c>
      <c r="D35" s="35" t="s">
        <v>191</v>
      </c>
      <c r="E35" s="35" t="s">
        <v>76</v>
      </c>
      <c r="F35" s="35">
        <v>20006</v>
      </c>
      <c r="G35" s="35" t="s">
        <v>192</v>
      </c>
      <c r="H35">
        <v>3</v>
      </c>
      <c r="I35" s="46" t="s">
        <v>72</v>
      </c>
      <c r="J35">
        <v>352</v>
      </c>
      <c r="K35">
        <v>9.43</v>
      </c>
      <c r="L35">
        <v>28.38</v>
      </c>
      <c r="M35">
        <v>0.89</v>
      </c>
      <c r="N35">
        <v>56.51</v>
      </c>
      <c r="O35">
        <v>2.2000000000000002</v>
      </c>
      <c r="P35">
        <v>0.37</v>
      </c>
      <c r="Q35">
        <v>0.21</v>
      </c>
      <c r="R35">
        <v>2.9</v>
      </c>
      <c r="T35">
        <v>0.35</v>
      </c>
      <c r="U35">
        <v>206.7</v>
      </c>
      <c r="X35">
        <v>0</v>
      </c>
      <c r="Y35">
        <v>0.5</v>
      </c>
      <c r="AA35">
        <v>0</v>
      </c>
      <c r="AB35">
        <v>5.03</v>
      </c>
      <c r="AD35">
        <v>60.4</v>
      </c>
      <c r="AI35">
        <v>60.84</v>
      </c>
      <c r="AJ35">
        <v>1.08</v>
      </c>
      <c r="AK35">
        <v>5.31</v>
      </c>
      <c r="AL35">
        <v>100.55</v>
      </c>
      <c r="AN35">
        <v>374.15</v>
      </c>
      <c r="AO35">
        <v>812.8</v>
      </c>
      <c r="AQ35">
        <v>3.38</v>
      </c>
      <c r="BO35">
        <v>560</v>
      </c>
    </row>
    <row r="36" spans="1:68">
      <c r="A36" s="30"/>
      <c r="B36" s="30" t="s">
        <v>193</v>
      </c>
      <c r="C36" s="31" t="s">
        <v>194</v>
      </c>
      <c r="D36" s="35" t="s">
        <v>195</v>
      </c>
      <c r="E36" s="35" t="s">
        <v>76</v>
      </c>
      <c r="F36" s="35">
        <v>50005</v>
      </c>
      <c r="G36" s="35" t="s">
        <v>196</v>
      </c>
      <c r="H36">
        <v>2</v>
      </c>
      <c r="I36" t="s">
        <v>197</v>
      </c>
      <c r="J36">
        <v>66</v>
      </c>
      <c r="K36">
        <v>81.709999999999994</v>
      </c>
      <c r="L36">
        <v>1.19</v>
      </c>
      <c r="M36">
        <v>0.16</v>
      </c>
      <c r="N36">
        <v>14.01</v>
      </c>
      <c r="O36">
        <v>2.0699999999999998</v>
      </c>
      <c r="P36">
        <v>0.08</v>
      </c>
      <c r="Q36">
        <v>0.09</v>
      </c>
      <c r="R36">
        <v>0.4</v>
      </c>
      <c r="S36">
        <v>0.42</v>
      </c>
      <c r="T36">
        <v>0.28000000000000003</v>
      </c>
      <c r="U36">
        <v>18</v>
      </c>
      <c r="V36">
        <v>0</v>
      </c>
      <c r="W36">
        <v>19.07</v>
      </c>
      <c r="X36">
        <v>0.2</v>
      </c>
      <c r="Y36">
        <v>0.02</v>
      </c>
      <c r="AA36">
        <v>0</v>
      </c>
      <c r="AB36">
        <v>2.2599999999999998</v>
      </c>
      <c r="AC36">
        <v>0</v>
      </c>
      <c r="AD36">
        <v>27.15</v>
      </c>
      <c r="AE36">
        <v>8.02</v>
      </c>
      <c r="AH36">
        <v>123.33</v>
      </c>
      <c r="AI36">
        <v>11.46</v>
      </c>
      <c r="AJ36">
        <v>0.43</v>
      </c>
      <c r="AK36">
        <v>0.51</v>
      </c>
      <c r="AL36">
        <v>20.56</v>
      </c>
      <c r="AN36">
        <v>40</v>
      </c>
      <c r="AO36">
        <v>286.27999999999997</v>
      </c>
      <c r="AQ36">
        <v>0.79</v>
      </c>
      <c r="AR36">
        <v>0.04</v>
      </c>
      <c r="AS36">
        <v>0.01</v>
      </c>
      <c r="AT36">
        <v>0.13</v>
      </c>
      <c r="AV36">
        <v>14.27</v>
      </c>
      <c r="AW36">
        <v>35.159999999999997</v>
      </c>
      <c r="AX36">
        <v>66.36</v>
      </c>
      <c r="AY36">
        <v>57.17</v>
      </c>
      <c r="AZ36">
        <v>10.68</v>
      </c>
      <c r="BA36">
        <v>8.06</v>
      </c>
      <c r="BB36">
        <v>48.84</v>
      </c>
      <c r="BC36">
        <v>39.729999999999997</v>
      </c>
      <c r="BD36">
        <v>11.67</v>
      </c>
      <c r="BE36">
        <v>40.21</v>
      </c>
      <c r="BF36">
        <v>64.72</v>
      </c>
      <c r="BG36">
        <v>36.76</v>
      </c>
      <c r="BH36">
        <v>128.47999999999999</v>
      </c>
      <c r="BI36">
        <v>197.91</v>
      </c>
      <c r="BJ36">
        <v>31.1</v>
      </c>
      <c r="BK36">
        <v>34.65</v>
      </c>
      <c r="BL36">
        <v>44.71</v>
      </c>
      <c r="BM36">
        <v>34.44</v>
      </c>
      <c r="BO36">
        <v>59.36</v>
      </c>
      <c r="BP36">
        <v>12</v>
      </c>
    </row>
    <row r="37" spans="1:68">
      <c r="A37" s="30"/>
      <c r="B37" s="30" t="s">
        <v>198</v>
      </c>
      <c r="C37" s="31" t="s">
        <v>199</v>
      </c>
      <c r="D37" s="35" t="s">
        <v>200</v>
      </c>
      <c r="E37" s="35" t="s">
        <v>76</v>
      </c>
      <c r="F37" s="35">
        <v>60008</v>
      </c>
      <c r="G37" s="35" t="s">
        <v>201</v>
      </c>
      <c r="H37">
        <v>4</v>
      </c>
      <c r="I37" t="s">
        <v>202</v>
      </c>
      <c r="J37">
        <v>151</v>
      </c>
      <c r="K37">
        <v>60.13</v>
      </c>
      <c r="L37">
        <v>5.6</v>
      </c>
      <c r="M37">
        <v>0.41</v>
      </c>
      <c r="N37">
        <v>30.39</v>
      </c>
      <c r="O37">
        <v>1.5</v>
      </c>
      <c r="P37">
        <v>0.21</v>
      </c>
      <c r="Q37">
        <v>0.11</v>
      </c>
      <c r="R37">
        <v>3.1</v>
      </c>
      <c r="S37">
        <v>0.36</v>
      </c>
      <c r="T37">
        <v>0.08</v>
      </c>
      <c r="U37">
        <v>54.58</v>
      </c>
      <c r="W37">
        <v>8.6</v>
      </c>
      <c r="X37">
        <v>1.4</v>
      </c>
      <c r="Y37">
        <v>0.06</v>
      </c>
      <c r="AA37">
        <v>0</v>
      </c>
      <c r="AB37">
        <v>0</v>
      </c>
      <c r="AC37">
        <v>0</v>
      </c>
      <c r="AD37">
        <v>0</v>
      </c>
      <c r="AE37">
        <v>2.13</v>
      </c>
      <c r="AH37">
        <v>1.56</v>
      </c>
      <c r="AI37">
        <v>39.85</v>
      </c>
      <c r="AJ37">
        <v>0.19</v>
      </c>
      <c r="AK37">
        <v>1.5</v>
      </c>
      <c r="AL37">
        <v>54</v>
      </c>
      <c r="AN37">
        <v>97</v>
      </c>
      <c r="AO37">
        <v>246</v>
      </c>
      <c r="AQ37">
        <v>0.28999999999999998</v>
      </c>
      <c r="AR37">
        <v>0.15</v>
      </c>
      <c r="AS37">
        <v>0.02</v>
      </c>
      <c r="AT37">
        <v>0.18</v>
      </c>
      <c r="AV37">
        <v>33.46</v>
      </c>
      <c r="AW37">
        <v>108.9</v>
      </c>
      <c r="AX37">
        <v>142.36000000000001</v>
      </c>
      <c r="AY37">
        <v>73.849999999999994</v>
      </c>
      <c r="AZ37">
        <v>18.61</v>
      </c>
      <c r="BA37">
        <v>10.89</v>
      </c>
      <c r="BB37">
        <v>123.16</v>
      </c>
      <c r="BC37">
        <v>108.11</v>
      </c>
      <c r="BD37">
        <v>18.61</v>
      </c>
      <c r="BE37">
        <v>135.83000000000001</v>
      </c>
      <c r="BF37">
        <v>96.82</v>
      </c>
      <c r="BG37">
        <v>59.8</v>
      </c>
      <c r="BH37">
        <v>303.52999999999997</v>
      </c>
      <c r="BI37">
        <v>226.71</v>
      </c>
      <c r="BJ37">
        <v>118.6</v>
      </c>
      <c r="BK37">
        <v>95.24</v>
      </c>
      <c r="BL37">
        <v>105.14</v>
      </c>
      <c r="BM37">
        <v>111.08</v>
      </c>
      <c r="BO37">
        <v>141</v>
      </c>
    </row>
    <row r="38" spans="1:68" ht="27.2">
      <c r="A38" s="32"/>
      <c r="B38" s="32" t="s">
        <v>203</v>
      </c>
      <c r="C38" s="32" t="s">
        <v>204</v>
      </c>
      <c r="D38" s="36" t="s">
        <v>205</v>
      </c>
      <c r="E38" s="35" t="s">
        <v>76</v>
      </c>
      <c r="F38" s="35">
        <v>40003</v>
      </c>
      <c r="G38" s="35" t="s">
        <v>206</v>
      </c>
      <c r="H38">
        <v>10</v>
      </c>
      <c r="I38" t="s">
        <v>207</v>
      </c>
      <c r="J38">
        <v>27</v>
      </c>
      <c r="K38">
        <v>90.5</v>
      </c>
      <c r="L38">
        <v>3.1</v>
      </c>
      <c r="M38">
        <v>0.2</v>
      </c>
      <c r="N38">
        <v>1.7</v>
      </c>
      <c r="O38">
        <v>2.9</v>
      </c>
      <c r="P38">
        <v>0.01</v>
      </c>
      <c r="Q38">
        <v>0.27</v>
      </c>
      <c r="R38">
        <v>0.7</v>
      </c>
      <c r="S38">
        <v>0.37</v>
      </c>
      <c r="T38">
        <v>0.19</v>
      </c>
      <c r="U38">
        <v>85</v>
      </c>
      <c r="V38">
        <v>0</v>
      </c>
      <c r="W38">
        <v>42</v>
      </c>
      <c r="X38">
        <v>15.17</v>
      </c>
      <c r="Y38">
        <v>0.46</v>
      </c>
      <c r="AA38">
        <v>0</v>
      </c>
      <c r="AB38">
        <v>716</v>
      </c>
      <c r="AC38">
        <v>185</v>
      </c>
      <c r="AD38">
        <v>8457</v>
      </c>
      <c r="AE38">
        <v>7439</v>
      </c>
      <c r="AH38">
        <v>118</v>
      </c>
      <c r="AI38">
        <v>245</v>
      </c>
      <c r="AJ38">
        <v>0.09</v>
      </c>
      <c r="AK38">
        <v>1.6</v>
      </c>
      <c r="AL38">
        <v>138</v>
      </c>
      <c r="AN38">
        <v>76</v>
      </c>
      <c r="AO38">
        <v>186</v>
      </c>
      <c r="AQ38">
        <v>1.21</v>
      </c>
      <c r="AR38">
        <v>0.21</v>
      </c>
      <c r="AS38">
        <v>0.05</v>
      </c>
      <c r="AT38">
        <v>0.33</v>
      </c>
      <c r="AV38">
        <v>78.989999999999995</v>
      </c>
      <c r="AW38">
        <v>169.38</v>
      </c>
      <c r="AX38">
        <v>322.26</v>
      </c>
      <c r="AY38">
        <v>219.29</v>
      </c>
      <c r="AZ38">
        <v>64.06</v>
      </c>
      <c r="BA38">
        <v>37.729999999999997</v>
      </c>
      <c r="BB38">
        <v>187.46</v>
      </c>
      <c r="BC38">
        <v>158.77000000000001</v>
      </c>
      <c r="BD38">
        <v>47.16</v>
      </c>
      <c r="BE38">
        <v>205.93</v>
      </c>
      <c r="BF38">
        <v>257.81</v>
      </c>
      <c r="BG38">
        <v>229.12</v>
      </c>
      <c r="BH38">
        <v>359.2</v>
      </c>
      <c r="BI38">
        <v>498.32</v>
      </c>
      <c r="BJ38">
        <v>201.22</v>
      </c>
      <c r="BK38">
        <v>159.94999999999999</v>
      </c>
      <c r="BL38">
        <v>176.85</v>
      </c>
      <c r="BM38">
        <v>118.29</v>
      </c>
      <c r="BO38">
        <v>10</v>
      </c>
    </row>
    <row r="39" spans="1:68">
      <c r="A39" s="32"/>
      <c r="B39" s="32" t="s">
        <v>208</v>
      </c>
      <c r="C39" s="32" t="s">
        <v>209</v>
      </c>
      <c r="D39" s="36" t="s">
        <v>210</v>
      </c>
      <c r="E39" s="35" t="s">
        <v>76</v>
      </c>
      <c r="F39" s="35">
        <v>40013</v>
      </c>
      <c r="G39" s="35" t="s">
        <v>211</v>
      </c>
      <c r="H39">
        <v>10</v>
      </c>
      <c r="I39" t="s">
        <v>207</v>
      </c>
      <c r="J39">
        <v>51</v>
      </c>
      <c r="K39">
        <v>84.71</v>
      </c>
      <c r="L39">
        <v>4.04</v>
      </c>
      <c r="M39">
        <v>1.06</v>
      </c>
      <c r="N39">
        <v>4.37</v>
      </c>
      <c r="O39">
        <v>3.7</v>
      </c>
      <c r="P39">
        <v>0.22</v>
      </c>
      <c r="Q39">
        <v>0.26</v>
      </c>
      <c r="R39">
        <v>1.9</v>
      </c>
      <c r="S39">
        <v>0.27</v>
      </c>
      <c r="T39">
        <v>0.15</v>
      </c>
      <c r="U39">
        <v>126</v>
      </c>
      <c r="V39">
        <v>0</v>
      </c>
      <c r="W39">
        <v>48.11</v>
      </c>
      <c r="X39">
        <v>1.59</v>
      </c>
      <c r="Y39">
        <v>2.02</v>
      </c>
      <c r="AA39">
        <v>0</v>
      </c>
      <c r="AB39">
        <v>595.54999999999995</v>
      </c>
      <c r="AC39">
        <v>0</v>
      </c>
      <c r="AD39">
        <v>7150</v>
      </c>
      <c r="AE39">
        <v>5222</v>
      </c>
      <c r="AH39">
        <v>136</v>
      </c>
      <c r="AI39">
        <v>234.67</v>
      </c>
      <c r="AJ39">
        <v>0.19</v>
      </c>
      <c r="AK39">
        <v>4.9400000000000004</v>
      </c>
      <c r="AL39">
        <v>61.35</v>
      </c>
      <c r="AN39">
        <v>39.89</v>
      </c>
      <c r="AO39">
        <v>764</v>
      </c>
      <c r="AQ39">
        <v>0.68</v>
      </c>
      <c r="AR39">
        <v>0.43</v>
      </c>
      <c r="AS39">
        <v>0.05</v>
      </c>
      <c r="AT39">
        <v>0.69</v>
      </c>
      <c r="AV39">
        <v>116.28</v>
      </c>
      <c r="AW39">
        <v>120.04</v>
      </c>
      <c r="AX39">
        <v>254.79</v>
      </c>
      <c r="AY39">
        <v>145.69</v>
      </c>
      <c r="AZ39">
        <v>61.22</v>
      </c>
      <c r="BA39">
        <v>36.590000000000003</v>
      </c>
      <c r="BB39">
        <v>151.51</v>
      </c>
      <c r="BC39">
        <v>154.93</v>
      </c>
      <c r="BD39">
        <v>34.54</v>
      </c>
      <c r="BE39">
        <v>158.69</v>
      </c>
      <c r="BF39">
        <v>321.48</v>
      </c>
      <c r="BG39">
        <v>199.73</v>
      </c>
      <c r="BH39">
        <v>292.41000000000003</v>
      </c>
      <c r="BI39">
        <v>521.54999999999995</v>
      </c>
      <c r="BJ39">
        <v>159.37</v>
      </c>
      <c r="BK39">
        <v>171.34</v>
      </c>
      <c r="BL39">
        <v>154.58000000000001</v>
      </c>
      <c r="BM39">
        <v>129.28</v>
      </c>
      <c r="BO39">
        <v>10</v>
      </c>
    </row>
    <row r="40" spans="1:68">
      <c r="A40" s="32"/>
      <c r="B40" s="32" t="s">
        <v>208</v>
      </c>
      <c r="C40" s="32" t="s">
        <v>209</v>
      </c>
      <c r="D40" s="36" t="s">
        <v>210</v>
      </c>
      <c r="E40" s="35" t="s">
        <v>76</v>
      </c>
      <c r="F40" s="35">
        <v>40012</v>
      </c>
      <c r="G40" s="35" t="s">
        <v>212</v>
      </c>
      <c r="H40">
        <v>10</v>
      </c>
      <c r="I40" t="s">
        <v>207</v>
      </c>
      <c r="J40">
        <v>62</v>
      </c>
      <c r="K40">
        <v>81.8</v>
      </c>
      <c r="L40">
        <v>5.59</v>
      </c>
      <c r="M40">
        <v>1.23</v>
      </c>
      <c r="N40">
        <v>5.33</v>
      </c>
      <c r="O40">
        <v>3.7</v>
      </c>
      <c r="P40">
        <v>0.06</v>
      </c>
      <c r="Q40">
        <v>0.45</v>
      </c>
      <c r="R40">
        <v>1.9</v>
      </c>
      <c r="T40">
        <v>0.15</v>
      </c>
      <c r="U40">
        <v>126</v>
      </c>
      <c r="V40">
        <v>0</v>
      </c>
      <c r="W40">
        <v>63</v>
      </c>
      <c r="X40">
        <v>0</v>
      </c>
      <c r="Y40">
        <v>3.36</v>
      </c>
      <c r="AA40">
        <v>0</v>
      </c>
      <c r="AB40">
        <v>699.17</v>
      </c>
      <c r="AC40">
        <v>0</v>
      </c>
      <c r="AD40">
        <v>8390</v>
      </c>
      <c r="AI40">
        <v>391.67</v>
      </c>
      <c r="AJ40">
        <v>0.25</v>
      </c>
      <c r="AK40">
        <v>2.13</v>
      </c>
      <c r="AL40">
        <v>130</v>
      </c>
      <c r="AN40">
        <v>39</v>
      </c>
      <c r="AO40">
        <v>763</v>
      </c>
      <c r="AQ40">
        <v>0.98</v>
      </c>
    </row>
    <row r="41" spans="1:68" ht="40.700000000000003">
      <c r="A41" s="32"/>
      <c r="B41" s="32" t="s">
        <v>213</v>
      </c>
      <c r="C41" s="32" t="s">
        <v>214</v>
      </c>
      <c r="D41" s="36" t="s">
        <v>215</v>
      </c>
      <c r="E41" s="35" t="s">
        <v>76</v>
      </c>
      <c r="F41" s="35">
        <v>40026</v>
      </c>
      <c r="G41" s="35" t="s">
        <v>216</v>
      </c>
      <c r="H41">
        <v>10</v>
      </c>
      <c r="I41" t="s">
        <v>207</v>
      </c>
      <c r="J41">
        <v>24</v>
      </c>
      <c r="K41">
        <v>91.4</v>
      </c>
      <c r="L41">
        <v>3.1</v>
      </c>
      <c r="M41">
        <v>0.5</v>
      </c>
      <c r="N41">
        <v>0.6</v>
      </c>
      <c r="O41">
        <v>2.6</v>
      </c>
      <c r="P41">
        <v>0.03</v>
      </c>
      <c r="Q41">
        <v>0.09</v>
      </c>
      <c r="R41">
        <v>1.2</v>
      </c>
      <c r="S41">
        <v>0.22</v>
      </c>
      <c r="T41">
        <v>0.2</v>
      </c>
      <c r="U41">
        <v>194</v>
      </c>
      <c r="V41">
        <v>0</v>
      </c>
      <c r="W41">
        <v>30.46</v>
      </c>
      <c r="X41">
        <v>0.23</v>
      </c>
      <c r="Y41">
        <v>1.29</v>
      </c>
      <c r="AA41">
        <v>0</v>
      </c>
      <c r="AB41">
        <v>535</v>
      </c>
      <c r="AC41">
        <v>0</v>
      </c>
      <c r="AD41">
        <v>6423.33</v>
      </c>
      <c r="AE41">
        <v>3850</v>
      </c>
      <c r="AH41">
        <v>17.23</v>
      </c>
      <c r="AI41">
        <v>84</v>
      </c>
      <c r="AJ41">
        <v>0.1</v>
      </c>
      <c r="AK41">
        <v>2.1</v>
      </c>
      <c r="AL41">
        <v>37</v>
      </c>
      <c r="AN41">
        <v>49</v>
      </c>
      <c r="AO41">
        <v>615</v>
      </c>
      <c r="AQ41">
        <v>0.85</v>
      </c>
      <c r="AR41">
        <v>0.18</v>
      </c>
      <c r="AS41">
        <v>0.04</v>
      </c>
      <c r="AT41">
        <v>0.3</v>
      </c>
      <c r="AV41">
        <v>46.65</v>
      </c>
      <c r="AW41">
        <v>92.23</v>
      </c>
      <c r="AX41">
        <v>186.18</v>
      </c>
      <c r="AY41">
        <v>100.15</v>
      </c>
      <c r="AZ41">
        <v>28.46</v>
      </c>
      <c r="BA41">
        <v>17.98</v>
      </c>
      <c r="BB41">
        <v>115.13</v>
      </c>
      <c r="BC41">
        <v>100.58</v>
      </c>
      <c r="BD41">
        <v>32.74</v>
      </c>
      <c r="BE41">
        <v>124.76</v>
      </c>
      <c r="BF41">
        <v>145.09</v>
      </c>
      <c r="BG41">
        <v>115.77</v>
      </c>
      <c r="BH41">
        <v>197.74</v>
      </c>
      <c r="BI41">
        <v>316.08</v>
      </c>
      <c r="BJ41">
        <v>121.98</v>
      </c>
      <c r="BK41">
        <v>100.58</v>
      </c>
      <c r="BL41">
        <v>94.16</v>
      </c>
      <c r="BM41">
        <v>84.53</v>
      </c>
      <c r="BO41">
        <v>12.01</v>
      </c>
    </row>
    <row r="42" spans="1:68" ht="27.2">
      <c r="A42" s="32"/>
      <c r="B42" s="32" t="s">
        <v>217</v>
      </c>
      <c r="C42" s="32" t="s">
        <v>218</v>
      </c>
      <c r="D42" s="36" t="s">
        <v>219</v>
      </c>
      <c r="E42" s="35" t="s">
        <v>76</v>
      </c>
      <c r="F42" s="35">
        <v>40021</v>
      </c>
      <c r="G42" s="35" t="s">
        <v>220</v>
      </c>
      <c r="H42">
        <v>10</v>
      </c>
      <c r="I42" t="s">
        <v>207</v>
      </c>
      <c r="J42">
        <v>25</v>
      </c>
      <c r="K42">
        <v>91.82</v>
      </c>
      <c r="L42">
        <v>2.37</v>
      </c>
      <c r="M42">
        <v>0.31</v>
      </c>
      <c r="N42">
        <v>2.11</v>
      </c>
      <c r="O42">
        <v>2.1800000000000002</v>
      </c>
      <c r="P42">
        <v>0.02</v>
      </c>
      <c r="Q42">
        <v>0.36</v>
      </c>
      <c r="R42">
        <v>0.5</v>
      </c>
      <c r="S42">
        <v>0.48</v>
      </c>
      <c r="T42">
        <v>0.24</v>
      </c>
      <c r="U42">
        <v>140</v>
      </c>
      <c r="W42">
        <v>51.82</v>
      </c>
      <c r="X42">
        <v>1.1299999999999999</v>
      </c>
      <c r="AA42">
        <v>0</v>
      </c>
      <c r="AB42">
        <v>169.5</v>
      </c>
      <c r="AD42">
        <v>2030</v>
      </c>
      <c r="AE42">
        <v>2962</v>
      </c>
      <c r="AH42">
        <v>241</v>
      </c>
      <c r="AI42">
        <v>111.17</v>
      </c>
      <c r="AJ42">
        <v>0.06</v>
      </c>
      <c r="AK42">
        <v>2.2000000000000002</v>
      </c>
      <c r="AL42">
        <v>179</v>
      </c>
      <c r="AN42">
        <v>31</v>
      </c>
      <c r="AO42">
        <v>186.96</v>
      </c>
      <c r="AQ42">
        <v>0.35</v>
      </c>
      <c r="AR42">
        <v>0.1</v>
      </c>
      <c r="AS42">
        <v>0.05</v>
      </c>
      <c r="AT42">
        <v>0.2</v>
      </c>
      <c r="AV42">
        <v>34.54</v>
      </c>
      <c r="AW42">
        <v>51.81</v>
      </c>
      <c r="AX42">
        <v>120.58</v>
      </c>
      <c r="AY42">
        <v>81.010000000000005</v>
      </c>
      <c r="AZ42">
        <v>14.13</v>
      </c>
      <c r="BA42">
        <v>12.4</v>
      </c>
      <c r="BB42">
        <v>65.47</v>
      </c>
      <c r="BC42">
        <v>62.96</v>
      </c>
      <c r="BD42">
        <v>29.52</v>
      </c>
      <c r="BE42">
        <v>60.92</v>
      </c>
      <c r="BF42">
        <v>116.49</v>
      </c>
      <c r="BG42">
        <v>81.33</v>
      </c>
      <c r="BH42">
        <v>144.75</v>
      </c>
      <c r="BI42">
        <v>203.63</v>
      </c>
      <c r="BJ42">
        <v>89.65</v>
      </c>
      <c r="BK42">
        <v>75.83</v>
      </c>
      <c r="BL42">
        <v>72.38</v>
      </c>
      <c r="BM42">
        <v>54.01</v>
      </c>
      <c r="BO42">
        <v>49.57</v>
      </c>
    </row>
    <row r="43" spans="1:68" ht="27.2">
      <c r="A43" s="32"/>
      <c r="B43" s="32" t="s">
        <v>221</v>
      </c>
      <c r="C43" s="32" t="s">
        <v>222</v>
      </c>
      <c r="D43" s="36" t="s">
        <v>223</v>
      </c>
      <c r="E43" s="35" t="s">
        <v>76</v>
      </c>
      <c r="F43" s="35">
        <v>40031</v>
      </c>
      <c r="G43" s="35" t="s">
        <v>224</v>
      </c>
      <c r="H43">
        <v>10</v>
      </c>
      <c r="I43" t="s">
        <v>207</v>
      </c>
      <c r="J43">
        <v>43</v>
      </c>
      <c r="K43">
        <v>87.1</v>
      </c>
      <c r="L43">
        <v>1.92</v>
      </c>
      <c r="M43">
        <v>0.38</v>
      </c>
      <c r="N43">
        <v>6.02</v>
      </c>
      <c r="O43">
        <v>3.71</v>
      </c>
      <c r="P43">
        <v>0.14000000000000001</v>
      </c>
      <c r="Q43">
        <v>0.4</v>
      </c>
      <c r="R43">
        <v>0.9</v>
      </c>
      <c r="T43">
        <v>0.1</v>
      </c>
      <c r="U43">
        <v>57</v>
      </c>
      <c r="V43">
        <v>0</v>
      </c>
      <c r="W43">
        <v>30.39</v>
      </c>
      <c r="X43">
        <v>0</v>
      </c>
      <c r="AA43">
        <v>0</v>
      </c>
      <c r="AB43">
        <v>198.64</v>
      </c>
      <c r="AD43">
        <v>2380</v>
      </c>
      <c r="AI43">
        <v>107</v>
      </c>
      <c r="AJ43">
        <v>0.06</v>
      </c>
      <c r="AK43">
        <v>2.2000000000000002</v>
      </c>
      <c r="AL43">
        <v>19.420000000000002</v>
      </c>
      <c r="AN43">
        <v>36.450000000000003</v>
      </c>
      <c r="AO43">
        <v>207.21</v>
      </c>
      <c r="AQ43">
        <v>0.51</v>
      </c>
      <c r="BO43">
        <v>2</v>
      </c>
    </row>
    <row r="44" spans="1:68">
      <c r="A44" s="32"/>
      <c r="B44" s="32" t="s">
        <v>225</v>
      </c>
      <c r="C44" s="32" t="s">
        <v>226</v>
      </c>
      <c r="D44" s="35" t="s">
        <v>227</v>
      </c>
      <c r="E44" s="35" t="s">
        <v>76</v>
      </c>
      <c r="F44" s="35">
        <v>40009</v>
      </c>
      <c r="G44" s="35" t="s">
        <v>228</v>
      </c>
      <c r="H44">
        <v>10</v>
      </c>
      <c r="I44" t="s">
        <v>207</v>
      </c>
      <c r="J44">
        <v>26</v>
      </c>
      <c r="K44">
        <v>90.23</v>
      </c>
      <c r="L44">
        <v>2.5</v>
      </c>
      <c r="M44">
        <v>0.57999999999999996</v>
      </c>
      <c r="N44">
        <v>0.56999999999999995</v>
      </c>
      <c r="O44">
        <v>4.38</v>
      </c>
      <c r="P44">
        <v>7.0000000000000007E-2</v>
      </c>
      <c r="Q44">
        <v>0.17</v>
      </c>
      <c r="R44">
        <v>0.81</v>
      </c>
      <c r="T44">
        <v>0.19</v>
      </c>
      <c r="U44">
        <v>73.290000000000006</v>
      </c>
      <c r="W44">
        <v>47.68</v>
      </c>
      <c r="X44">
        <v>0</v>
      </c>
      <c r="AA44">
        <v>0</v>
      </c>
      <c r="AB44">
        <v>197.55</v>
      </c>
      <c r="AD44">
        <v>2370.64</v>
      </c>
      <c r="AI44">
        <v>93.92</v>
      </c>
      <c r="AJ44">
        <v>0.15</v>
      </c>
      <c r="AK44">
        <v>3.12</v>
      </c>
      <c r="AL44">
        <v>68.7</v>
      </c>
      <c r="AN44">
        <v>28.45</v>
      </c>
      <c r="AO44">
        <v>276.11</v>
      </c>
      <c r="AQ44">
        <v>0.49</v>
      </c>
      <c r="BO44">
        <v>3</v>
      </c>
    </row>
    <row r="45" spans="1:68" ht="27.2">
      <c r="A45" s="32"/>
      <c r="B45" s="32" t="s">
        <v>229</v>
      </c>
      <c r="C45" s="32" t="s">
        <v>230</v>
      </c>
      <c r="D45" s="36" t="s">
        <v>231</v>
      </c>
      <c r="E45" s="35" t="s">
        <v>76</v>
      </c>
      <c r="F45" s="35">
        <v>40023</v>
      </c>
      <c r="G45" s="35" t="s">
        <v>232</v>
      </c>
      <c r="H45">
        <v>10</v>
      </c>
      <c r="I45" t="s">
        <v>207</v>
      </c>
      <c r="J45">
        <v>29</v>
      </c>
      <c r="K45">
        <v>90.83</v>
      </c>
      <c r="L45">
        <v>2.44</v>
      </c>
      <c r="M45">
        <v>0.44</v>
      </c>
      <c r="N45">
        <v>2.79</v>
      </c>
      <c r="O45">
        <v>2.1</v>
      </c>
      <c r="P45">
        <v>0.12</v>
      </c>
      <c r="Q45">
        <v>0.24</v>
      </c>
      <c r="R45">
        <v>0.92</v>
      </c>
      <c r="S45">
        <v>0.36</v>
      </c>
      <c r="T45">
        <v>0.21</v>
      </c>
      <c r="U45">
        <v>36</v>
      </c>
      <c r="V45">
        <v>0</v>
      </c>
      <c r="W45">
        <v>37.200000000000003</v>
      </c>
      <c r="X45">
        <v>2.06</v>
      </c>
      <c r="AA45">
        <v>0</v>
      </c>
      <c r="AB45">
        <v>161.66999999999999</v>
      </c>
      <c r="AD45">
        <v>1940</v>
      </c>
      <c r="AE45">
        <v>6139</v>
      </c>
      <c r="AH45">
        <v>45.28</v>
      </c>
      <c r="AI45">
        <v>40</v>
      </c>
      <c r="AJ45">
        <v>0.13</v>
      </c>
      <c r="AK45">
        <v>2.2200000000000002</v>
      </c>
      <c r="AL45">
        <v>38</v>
      </c>
      <c r="AN45">
        <v>104</v>
      </c>
      <c r="AO45">
        <v>436</v>
      </c>
      <c r="AQ45">
        <v>0.2</v>
      </c>
      <c r="AR45">
        <v>0.27</v>
      </c>
      <c r="AS45">
        <v>0.02</v>
      </c>
      <c r="AT45">
        <v>0.31</v>
      </c>
      <c r="AV45">
        <v>68.62</v>
      </c>
      <c r="AW45">
        <v>221.87</v>
      </c>
      <c r="AX45">
        <v>372.59</v>
      </c>
      <c r="AY45">
        <v>206.29</v>
      </c>
      <c r="AZ45">
        <v>41.68</v>
      </c>
      <c r="BA45">
        <v>35.79</v>
      </c>
      <c r="BB45">
        <v>269.44</v>
      </c>
      <c r="BC45">
        <v>190.29</v>
      </c>
      <c r="BD45">
        <v>74.099999999999994</v>
      </c>
      <c r="BE45">
        <v>245.02</v>
      </c>
      <c r="BF45">
        <v>236.6</v>
      </c>
      <c r="BG45">
        <v>253.44</v>
      </c>
      <c r="BH45">
        <v>496.36</v>
      </c>
      <c r="BI45">
        <v>604.55999999999995</v>
      </c>
      <c r="BJ45">
        <v>231.55</v>
      </c>
      <c r="BK45">
        <v>221.03</v>
      </c>
      <c r="BL45">
        <v>195.77</v>
      </c>
      <c r="BM45">
        <v>145.66999999999999</v>
      </c>
      <c r="BO45">
        <v>38.270000000000003</v>
      </c>
    </row>
    <row r="46" spans="1:68" ht="40.700000000000003">
      <c r="A46" s="32"/>
      <c r="B46" s="32" t="s">
        <v>233</v>
      </c>
      <c r="C46" s="32" t="s">
        <v>234</v>
      </c>
      <c r="D46" s="36" t="s">
        <v>235</v>
      </c>
      <c r="E46" s="35" t="s">
        <v>76</v>
      </c>
      <c r="F46" s="35">
        <v>40004</v>
      </c>
      <c r="G46" s="35" t="s">
        <v>236</v>
      </c>
      <c r="H46">
        <v>10</v>
      </c>
      <c r="I46" t="s">
        <v>207</v>
      </c>
      <c r="J46">
        <v>51</v>
      </c>
      <c r="K46">
        <v>81.819999999999993</v>
      </c>
      <c r="L46">
        <v>4.8</v>
      </c>
      <c r="M46">
        <v>0.25</v>
      </c>
      <c r="N46">
        <v>5.21</v>
      </c>
      <c r="O46">
        <v>4.3499999999999996</v>
      </c>
      <c r="P46">
        <v>0.03</v>
      </c>
      <c r="Q46">
        <v>0.06</v>
      </c>
      <c r="R46">
        <v>0.7</v>
      </c>
      <c r="S46">
        <v>0.33</v>
      </c>
      <c r="T46">
        <v>0.19</v>
      </c>
      <c r="U46">
        <v>85</v>
      </c>
      <c r="W46">
        <v>43.37</v>
      </c>
      <c r="X46">
        <v>0</v>
      </c>
      <c r="AA46">
        <v>0</v>
      </c>
      <c r="AB46">
        <v>908</v>
      </c>
      <c r="AD46">
        <v>10900</v>
      </c>
      <c r="AE46">
        <v>1861</v>
      </c>
      <c r="AH46">
        <v>126</v>
      </c>
      <c r="AI46">
        <v>639.5</v>
      </c>
      <c r="AJ46">
        <v>0.36</v>
      </c>
      <c r="AK46">
        <v>14.4</v>
      </c>
      <c r="AL46">
        <v>265</v>
      </c>
      <c r="AN46">
        <v>71.8</v>
      </c>
      <c r="AO46">
        <v>679</v>
      </c>
      <c r="AQ46">
        <v>0.32</v>
      </c>
      <c r="AR46">
        <v>0.09</v>
      </c>
      <c r="AS46">
        <v>0.02</v>
      </c>
      <c r="AT46">
        <v>0.19</v>
      </c>
      <c r="AV46">
        <v>69.03</v>
      </c>
      <c r="AW46">
        <v>143.37</v>
      </c>
      <c r="AX46">
        <v>271.16000000000003</v>
      </c>
      <c r="AY46">
        <v>176.65</v>
      </c>
      <c r="AZ46">
        <v>44.25</v>
      </c>
      <c r="BA46">
        <v>25.13</v>
      </c>
      <c r="BB46">
        <v>177</v>
      </c>
      <c r="BC46">
        <v>155.76</v>
      </c>
      <c r="BD46">
        <v>31.51</v>
      </c>
      <c r="BE46">
        <v>147.97</v>
      </c>
      <c r="BF46">
        <v>298.07</v>
      </c>
      <c r="BG46">
        <v>204.61</v>
      </c>
      <c r="BH46">
        <v>384.8</v>
      </c>
      <c r="BI46">
        <v>416.66</v>
      </c>
      <c r="BJ46">
        <v>215.94</v>
      </c>
      <c r="BK46">
        <v>190.81</v>
      </c>
      <c r="BL46">
        <v>187.27</v>
      </c>
      <c r="BM46">
        <v>121.42</v>
      </c>
      <c r="BO46">
        <v>7.4</v>
      </c>
    </row>
    <row r="47" spans="1:68" ht="27.2">
      <c r="A47" s="32"/>
      <c r="B47" s="32" t="s">
        <v>237</v>
      </c>
      <c r="C47" s="32" t="s">
        <v>238</v>
      </c>
      <c r="D47" s="35" t="s">
        <v>239</v>
      </c>
      <c r="E47" s="35" t="s">
        <v>76</v>
      </c>
      <c r="F47" s="35">
        <v>40022</v>
      </c>
      <c r="G47" s="35" t="s">
        <v>240</v>
      </c>
      <c r="H47">
        <v>10</v>
      </c>
      <c r="I47" t="s">
        <v>207</v>
      </c>
      <c r="J47">
        <v>32</v>
      </c>
      <c r="K47">
        <v>87.56</v>
      </c>
      <c r="L47">
        <v>2.88</v>
      </c>
      <c r="M47">
        <v>0.27</v>
      </c>
      <c r="N47">
        <v>1.74</v>
      </c>
      <c r="O47">
        <v>5.75</v>
      </c>
      <c r="P47">
        <v>0.1</v>
      </c>
      <c r="Q47">
        <v>0.55000000000000004</v>
      </c>
      <c r="R47">
        <v>1.26</v>
      </c>
      <c r="T47">
        <v>0.6</v>
      </c>
      <c r="U47">
        <v>123</v>
      </c>
      <c r="W47">
        <v>54.43</v>
      </c>
      <c r="X47">
        <v>0</v>
      </c>
      <c r="AA47">
        <v>0</v>
      </c>
      <c r="AB47">
        <v>305.25</v>
      </c>
      <c r="AD47">
        <v>3660</v>
      </c>
      <c r="AI47">
        <v>119.66</v>
      </c>
      <c r="AJ47">
        <v>0.02</v>
      </c>
      <c r="AK47">
        <v>9.6999999999999993</v>
      </c>
      <c r="AL47">
        <v>41.83</v>
      </c>
      <c r="AN47">
        <v>59.97</v>
      </c>
      <c r="AO47">
        <v>224.89</v>
      </c>
      <c r="AQ47">
        <v>1.47</v>
      </c>
      <c r="BO47">
        <v>14</v>
      </c>
    </row>
    <row r="48" spans="1:68">
      <c r="A48" s="32"/>
      <c r="B48" s="32" t="s">
        <v>241</v>
      </c>
      <c r="C48" s="32" t="s">
        <v>242</v>
      </c>
      <c r="D48" s="35" t="s">
        <v>243</v>
      </c>
      <c r="E48" s="35" t="s">
        <v>76</v>
      </c>
      <c r="F48" s="35">
        <v>40018</v>
      </c>
      <c r="G48" s="35" t="s">
        <v>244</v>
      </c>
      <c r="H48">
        <v>10</v>
      </c>
      <c r="I48" t="s">
        <v>207</v>
      </c>
      <c r="J48">
        <v>68</v>
      </c>
      <c r="K48">
        <v>82.27</v>
      </c>
      <c r="L48">
        <v>1.31</v>
      </c>
      <c r="M48">
        <v>0.65</v>
      </c>
      <c r="N48">
        <v>13.73</v>
      </c>
      <c r="O48">
        <v>1</v>
      </c>
      <c r="P48">
        <v>0.34</v>
      </c>
      <c r="Q48">
        <v>0.17</v>
      </c>
      <c r="R48">
        <v>0.6</v>
      </c>
      <c r="W48">
        <v>26</v>
      </c>
      <c r="X48">
        <v>0</v>
      </c>
      <c r="AA48">
        <v>0</v>
      </c>
      <c r="AB48">
        <v>155</v>
      </c>
      <c r="AD48">
        <v>1859</v>
      </c>
      <c r="AI48">
        <v>39</v>
      </c>
      <c r="AJ48">
        <v>0.23</v>
      </c>
      <c r="AK48">
        <v>1.1000000000000001</v>
      </c>
      <c r="AN48">
        <v>74</v>
      </c>
      <c r="AO48">
        <v>231</v>
      </c>
      <c r="AQ48">
        <v>0.3</v>
      </c>
    </row>
    <row r="49" spans="1:68" s="58" customFormat="1" ht="40.700000000000003">
      <c r="A49" s="59"/>
      <c r="B49" s="59" t="s">
        <v>245</v>
      </c>
      <c r="C49" s="59" t="s">
        <v>246</v>
      </c>
      <c r="D49" s="60" t="s">
        <v>247</v>
      </c>
      <c r="E49" s="57"/>
      <c r="F49" s="57"/>
      <c r="G49" s="57"/>
      <c r="H49" s="58">
        <v>10</v>
      </c>
      <c r="I49" s="58" t="s">
        <v>207</v>
      </c>
    </row>
    <row r="50" spans="1:68" ht="27.2">
      <c r="A50" s="32"/>
      <c r="B50" s="32" t="s">
        <v>248</v>
      </c>
      <c r="C50" s="32" t="s">
        <v>249</v>
      </c>
      <c r="D50" s="36" t="s">
        <v>250</v>
      </c>
      <c r="E50" s="35" t="s">
        <v>76</v>
      </c>
      <c r="F50" s="35">
        <v>170007</v>
      </c>
      <c r="G50" s="35" t="s">
        <v>251</v>
      </c>
      <c r="H50">
        <v>10</v>
      </c>
      <c r="I50" t="s">
        <v>207</v>
      </c>
      <c r="J50">
        <v>27.72</v>
      </c>
      <c r="K50">
        <v>88.77</v>
      </c>
      <c r="L50">
        <v>2.5</v>
      </c>
      <c r="M50">
        <v>0.44</v>
      </c>
      <c r="N50">
        <v>2.56</v>
      </c>
      <c r="O50">
        <v>4.01</v>
      </c>
      <c r="P50">
        <v>0.06</v>
      </c>
      <c r="Q50">
        <v>0.51</v>
      </c>
      <c r="R50">
        <v>0.54</v>
      </c>
      <c r="S50">
        <v>0.41</v>
      </c>
      <c r="T50">
        <v>0.17</v>
      </c>
      <c r="U50">
        <v>42.55</v>
      </c>
      <c r="W50">
        <v>41.03</v>
      </c>
      <c r="X50">
        <v>1.01</v>
      </c>
      <c r="Y50">
        <v>0.25</v>
      </c>
      <c r="AD50">
        <v>1075</v>
      </c>
      <c r="AI50">
        <v>211</v>
      </c>
      <c r="AJ50">
        <v>0.1</v>
      </c>
      <c r="AK50">
        <v>2.66</v>
      </c>
      <c r="AL50">
        <v>48.41</v>
      </c>
      <c r="AN50">
        <v>37.549999999999997</v>
      </c>
      <c r="AO50">
        <v>438</v>
      </c>
      <c r="AQ50">
        <v>0.98</v>
      </c>
      <c r="AR50">
        <v>0.12</v>
      </c>
      <c r="AS50">
        <v>0.09</v>
      </c>
      <c r="AT50">
        <v>0.22</v>
      </c>
      <c r="AV50">
        <v>44</v>
      </c>
      <c r="AW50">
        <v>120.75</v>
      </c>
      <c r="AX50">
        <v>224.75</v>
      </c>
      <c r="AY50">
        <v>94.25</v>
      </c>
      <c r="AZ50">
        <v>44.25</v>
      </c>
      <c r="BA50">
        <v>22.25</v>
      </c>
      <c r="BB50">
        <v>143.25</v>
      </c>
      <c r="BC50">
        <v>123.75</v>
      </c>
      <c r="BD50">
        <v>27</v>
      </c>
      <c r="BE50">
        <v>151.75</v>
      </c>
      <c r="BF50">
        <v>163</v>
      </c>
      <c r="BG50">
        <v>126</v>
      </c>
      <c r="BH50">
        <v>251</v>
      </c>
      <c r="BI50">
        <v>342</v>
      </c>
      <c r="BJ50">
        <v>179.5</v>
      </c>
      <c r="BK50">
        <v>118</v>
      </c>
      <c r="BL50">
        <v>104</v>
      </c>
      <c r="BM50">
        <v>99.5</v>
      </c>
      <c r="BO50">
        <v>18.48</v>
      </c>
    </row>
    <row r="51" spans="1:68">
      <c r="A51" s="32"/>
      <c r="B51" s="32" t="s">
        <v>252</v>
      </c>
      <c r="C51" s="32" t="s">
        <v>253</v>
      </c>
      <c r="D51" s="36" t="s">
        <v>254</v>
      </c>
      <c r="E51" s="35" t="s">
        <v>76</v>
      </c>
      <c r="F51" s="35">
        <v>170012</v>
      </c>
      <c r="G51" s="35" t="s">
        <v>252</v>
      </c>
      <c r="H51">
        <v>10</v>
      </c>
      <c r="I51" t="s">
        <v>207</v>
      </c>
      <c r="J51">
        <v>30.35</v>
      </c>
      <c r="K51">
        <v>88.17</v>
      </c>
      <c r="L51">
        <v>3.52</v>
      </c>
      <c r="M51">
        <v>0.51</v>
      </c>
      <c r="N51">
        <v>2.41</v>
      </c>
      <c r="O51">
        <v>3.92</v>
      </c>
      <c r="P51">
        <v>0.08</v>
      </c>
      <c r="Q51">
        <v>0.18</v>
      </c>
      <c r="R51">
        <v>0.57999999999999996</v>
      </c>
      <c r="S51">
        <v>0.26</v>
      </c>
      <c r="T51">
        <v>0.18</v>
      </c>
      <c r="U51">
        <v>110</v>
      </c>
      <c r="V51">
        <v>0</v>
      </c>
      <c r="W51">
        <v>60.32</v>
      </c>
      <c r="X51">
        <v>5.4</v>
      </c>
      <c r="Y51">
        <v>0.56999999999999995</v>
      </c>
      <c r="AA51">
        <v>0</v>
      </c>
      <c r="AB51">
        <v>124</v>
      </c>
      <c r="AD51">
        <v>2619</v>
      </c>
      <c r="AI51">
        <v>191</v>
      </c>
      <c r="AJ51">
        <v>0.24</v>
      </c>
      <c r="AK51">
        <v>2.84</v>
      </c>
      <c r="AL51">
        <v>51.63</v>
      </c>
      <c r="AN51">
        <v>71.599999999999994</v>
      </c>
      <c r="AO51">
        <v>403</v>
      </c>
      <c r="AQ51">
        <v>0.68</v>
      </c>
      <c r="AR51">
        <v>0.14000000000000001</v>
      </c>
      <c r="AS51">
        <v>0.03</v>
      </c>
      <c r="AT51">
        <v>0.32</v>
      </c>
      <c r="AV51">
        <v>67.23</v>
      </c>
      <c r="AW51">
        <v>113.34</v>
      </c>
      <c r="AX51">
        <v>231.26</v>
      </c>
      <c r="AY51">
        <v>190.78</v>
      </c>
      <c r="AZ51">
        <v>26.05</v>
      </c>
      <c r="BA51">
        <v>35.9</v>
      </c>
      <c r="BB51">
        <v>124.26</v>
      </c>
      <c r="BC51">
        <v>143.62</v>
      </c>
      <c r="BD51">
        <v>46.11</v>
      </c>
      <c r="BE51">
        <v>123.9</v>
      </c>
      <c r="BF51">
        <v>232.32</v>
      </c>
      <c r="BG51">
        <v>202.05</v>
      </c>
      <c r="BH51">
        <v>382.27</v>
      </c>
      <c r="BI51">
        <v>657.18</v>
      </c>
      <c r="BJ51">
        <v>186.91</v>
      </c>
      <c r="BK51">
        <v>163.68</v>
      </c>
      <c r="BL51">
        <v>179.87</v>
      </c>
      <c r="BM51">
        <v>112.99</v>
      </c>
      <c r="BO51">
        <v>34.69</v>
      </c>
    </row>
    <row r="52" spans="1:68">
      <c r="A52" s="32"/>
      <c r="B52" s="32" t="s">
        <v>255</v>
      </c>
      <c r="C52" s="32" t="s">
        <v>256</v>
      </c>
      <c r="D52" s="36" t="s">
        <v>195</v>
      </c>
      <c r="E52" s="35" t="s">
        <v>76</v>
      </c>
      <c r="F52" s="35">
        <v>40027</v>
      </c>
      <c r="G52" s="35" t="s">
        <v>257</v>
      </c>
      <c r="H52">
        <v>10</v>
      </c>
      <c r="I52" t="s">
        <v>207</v>
      </c>
      <c r="J52">
        <v>45</v>
      </c>
      <c r="K52">
        <v>84.01</v>
      </c>
      <c r="L52">
        <v>4.0199999999999996</v>
      </c>
      <c r="M52">
        <v>0.77</v>
      </c>
      <c r="N52">
        <v>1.77</v>
      </c>
      <c r="O52">
        <v>7.33</v>
      </c>
      <c r="P52">
        <v>0.1</v>
      </c>
      <c r="Q52">
        <v>0.14000000000000001</v>
      </c>
      <c r="R52">
        <v>1.1299999999999999</v>
      </c>
      <c r="T52">
        <v>0.14000000000000001</v>
      </c>
      <c r="U52">
        <v>80</v>
      </c>
      <c r="W52">
        <v>27</v>
      </c>
      <c r="X52">
        <v>0</v>
      </c>
      <c r="AA52">
        <v>0</v>
      </c>
      <c r="AB52">
        <v>307.92</v>
      </c>
      <c r="AC52">
        <v>41.28</v>
      </c>
      <c r="AD52">
        <v>3640</v>
      </c>
      <c r="AI52">
        <v>194.09</v>
      </c>
      <c r="AJ52">
        <v>0.19</v>
      </c>
      <c r="AK52">
        <v>2.67</v>
      </c>
      <c r="AL52">
        <v>50.05</v>
      </c>
      <c r="AN52">
        <v>81</v>
      </c>
      <c r="AO52">
        <v>496.55</v>
      </c>
      <c r="AQ52">
        <v>0.32</v>
      </c>
    </row>
    <row r="53" spans="1:68">
      <c r="A53" s="32"/>
      <c r="B53" s="32" t="s">
        <v>258</v>
      </c>
      <c r="C53" s="32" t="s">
        <v>259</v>
      </c>
      <c r="D53" s="36" t="s">
        <v>260</v>
      </c>
      <c r="E53" s="35" t="s">
        <v>76</v>
      </c>
      <c r="F53" s="35">
        <v>40024</v>
      </c>
      <c r="G53" s="35" t="s">
        <v>261</v>
      </c>
      <c r="H53">
        <v>10</v>
      </c>
      <c r="I53" t="s">
        <v>207</v>
      </c>
      <c r="J53">
        <v>32</v>
      </c>
      <c r="K53">
        <v>90.71</v>
      </c>
      <c r="L53">
        <v>1.85</v>
      </c>
      <c r="M53">
        <v>0.69</v>
      </c>
      <c r="N53">
        <v>3.37</v>
      </c>
      <c r="O53">
        <v>2.58</v>
      </c>
      <c r="P53">
        <v>0.08</v>
      </c>
      <c r="Q53">
        <v>0.09</v>
      </c>
      <c r="R53">
        <v>0.8</v>
      </c>
      <c r="S53">
        <v>0.14000000000000001</v>
      </c>
      <c r="T53">
        <v>0.18</v>
      </c>
      <c r="U53">
        <v>69.66</v>
      </c>
      <c r="W53">
        <v>68.849999999999994</v>
      </c>
      <c r="X53">
        <v>1.39</v>
      </c>
      <c r="AA53">
        <v>0</v>
      </c>
      <c r="AB53">
        <v>155.91999999999999</v>
      </c>
      <c r="AC53">
        <v>0</v>
      </c>
      <c r="AD53">
        <v>1870</v>
      </c>
      <c r="AE53">
        <v>1741</v>
      </c>
      <c r="AH53">
        <v>22.71</v>
      </c>
      <c r="AI53">
        <v>146.96</v>
      </c>
      <c r="AJ53">
        <v>7.0000000000000007E-2</v>
      </c>
      <c r="AK53">
        <v>2.84</v>
      </c>
      <c r="AL53">
        <v>20.2</v>
      </c>
      <c r="AN53">
        <v>41.17</v>
      </c>
      <c r="AO53">
        <v>259.67</v>
      </c>
      <c r="AQ53">
        <v>0.48</v>
      </c>
      <c r="AR53">
        <v>0.15</v>
      </c>
      <c r="AS53">
        <v>0.03</v>
      </c>
      <c r="AT53">
        <v>0.25</v>
      </c>
      <c r="AV53">
        <v>43.51</v>
      </c>
      <c r="AW53">
        <v>79.7</v>
      </c>
      <c r="AX53">
        <v>152.96</v>
      </c>
      <c r="AY53">
        <v>118.55</v>
      </c>
      <c r="AZ53">
        <v>22.42</v>
      </c>
      <c r="BA53">
        <v>19.09</v>
      </c>
      <c r="BB53">
        <v>133.19999999999999</v>
      </c>
      <c r="BC53">
        <v>88.58</v>
      </c>
      <c r="BD53">
        <v>30.86</v>
      </c>
      <c r="BE53">
        <v>94.57</v>
      </c>
      <c r="BF53">
        <v>175.38</v>
      </c>
      <c r="BG53">
        <v>106.56</v>
      </c>
      <c r="BH53">
        <v>215.56</v>
      </c>
      <c r="BI53">
        <v>379.62</v>
      </c>
      <c r="BJ53">
        <v>122.1</v>
      </c>
      <c r="BK53">
        <v>89.69</v>
      </c>
      <c r="BL53">
        <v>105.01</v>
      </c>
      <c r="BM53">
        <v>67.709999999999994</v>
      </c>
      <c r="BO53">
        <v>2</v>
      </c>
    </row>
    <row r="54" spans="1:68">
      <c r="A54" s="32"/>
      <c r="B54" s="32" t="s">
        <v>262</v>
      </c>
      <c r="C54" s="32" t="s">
        <v>263</v>
      </c>
      <c r="D54" s="36" t="s">
        <v>264</v>
      </c>
      <c r="E54" s="35" t="s">
        <v>76</v>
      </c>
      <c r="F54" s="35">
        <v>70006</v>
      </c>
      <c r="G54" s="35" t="s">
        <v>265</v>
      </c>
      <c r="H54">
        <v>10</v>
      </c>
      <c r="I54" t="s">
        <v>207</v>
      </c>
      <c r="J54">
        <v>30</v>
      </c>
      <c r="K54">
        <v>87.88</v>
      </c>
      <c r="L54">
        <v>3.34</v>
      </c>
      <c r="M54">
        <v>0.52</v>
      </c>
      <c r="N54">
        <v>0.1</v>
      </c>
      <c r="O54">
        <v>5.92</v>
      </c>
      <c r="P54">
        <v>0.05</v>
      </c>
      <c r="Q54">
        <v>0.06</v>
      </c>
      <c r="R54">
        <v>1.1100000000000001</v>
      </c>
      <c r="S54">
        <v>0.63</v>
      </c>
      <c r="T54">
        <v>0.15</v>
      </c>
      <c r="U54">
        <v>62</v>
      </c>
      <c r="V54">
        <v>0</v>
      </c>
      <c r="W54">
        <v>105.69</v>
      </c>
      <c r="X54">
        <v>3.55</v>
      </c>
      <c r="Y54">
        <v>2.5</v>
      </c>
      <c r="AA54">
        <v>0</v>
      </c>
      <c r="AB54">
        <v>132.46</v>
      </c>
      <c r="AC54">
        <v>36</v>
      </c>
      <c r="AD54">
        <v>1470.54</v>
      </c>
      <c r="AE54">
        <v>6351</v>
      </c>
      <c r="AH54">
        <v>28.3</v>
      </c>
      <c r="AI54">
        <v>160.44</v>
      </c>
      <c r="AJ54">
        <v>0.14000000000000001</v>
      </c>
      <c r="AK54">
        <v>1.42</v>
      </c>
      <c r="AL54">
        <v>33.700000000000003</v>
      </c>
      <c r="AN54">
        <v>30.29</v>
      </c>
      <c r="AO54">
        <v>396.48</v>
      </c>
      <c r="AQ54">
        <v>0.32</v>
      </c>
      <c r="AR54">
        <v>0.23</v>
      </c>
      <c r="AS54">
        <v>0.01</v>
      </c>
      <c r="AT54">
        <v>0.32</v>
      </c>
      <c r="AV54">
        <v>60.9</v>
      </c>
      <c r="AW54">
        <v>132</v>
      </c>
      <c r="AX54">
        <v>229.15</v>
      </c>
      <c r="AY54">
        <v>128.83000000000001</v>
      </c>
      <c r="AZ54">
        <v>17.600000000000001</v>
      </c>
      <c r="BA54">
        <v>21.12</v>
      </c>
      <c r="BB54">
        <v>123.2</v>
      </c>
      <c r="BC54">
        <v>136.58000000000001</v>
      </c>
      <c r="BD54">
        <v>57.73</v>
      </c>
      <c r="BE54">
        <v>137.97999999999999</v>
      </c>
      <c r="BF54">
        <v>195.71</v>
      </c>
      <c r="BG54">
        <v>177.41</v>
      </c>
      <c r="BH54">
        <v>519.20000000000005</v>
      </c>
      <c r="BI54">
        <v>433.31</v>
      </c>
      <c r="BJ54">
        <v>178.46</v>
      </c>
      <c r="BK54">
        <v>143.97</v>
      </c>
      <c r="BL54">
        <v>138.69</v>
      </c>
      <c r="BM54">
        <v>120.38</v>
      </c>
      <c r="BO54">
        <v>40.99</v>
      </c>
      <c r="BP54">
        <v>47</v>
      </c>
    </row>
    <row r="55" spans="1:68" ht="27.2">
      <c r="A55" s="32"/>
      <c r="B55" s="32" t="s">
        <v>266</v>
      </c>
      <c r="C55" s="32" t="s">
        <v>267</v>
      </c>
      <c r="D55" s="36" t="s">
        <v>268</v>
      </c>
      <c r="E55" s="35" t="s">
        <v>82</v>
      </c>
      <c r="F55" s="35" t="s">
        <v>269</v>
      </c>
      <c r="G55" s="35" t="s">
        <v>270</v>
      </c>
      <c r="H55">
        <v>10</v>
      </c>
      <c r="I55" t="s">
        <v>207</v>
      </c>
      <c r="J55">
        <v>19.12</v>
      </c>
      <c r="K55">
        <v>92.4</v>
      </c>
      <c r="L55">
        <v>1.22</v>
      </c>
      <c r="M55">
        <v>0.24</v>
      </c>
      <c r="N55">
        <v>2.41</v>
      </c>
      <c r="O55">
        <v>3.25</v>
      </c>
      <c r="P55">
        <v>0.04</v>
      </c>
      <c r="Q55">
        <v>0.02</v>
      </c>
      <c r="R55">
        <v>0.51</v>
      </c>
      <c r="S55">
        <v>0.28000000000000003</v>
      </c>
      <c r="T55">
        <v>0.05</v>
      </c>
      <c r="U55">
        <v>50.13</v>
      </c>
      <c r="W55">
        <v>21.08</v>
      </c>
      <c r="Y55">
        <v>0.68</v>
      </c>
      <c r="Z55">
        <v>19.100000000000001</v>
      </c>
      <c r="AA55" t="s">
        <v>85</v>
      </c>
      <c r="AC55" t="s">
        <v>85</v>
      </c>
      <c r="AD55">
        <v>147</v>
      </c>
      <c r="AE55">
        <v>157</v>
      </c>
      <c r="AF55" t="s">
        <v>85</v>
      </c>
      <c r="AG55" t="s">
        <v>85</v>
      </c>
      <c r="AH55">
        <v>4.5</v>
      </c>
      <c r="AI55">
        <v>37.119999999999997</v>
      </c>
      <c r="AJ55">
        <v>0.06</v>
      </c>
      <c r="AK55">
        <v>0.28999999999999998</v>
      </c>
      <c r="AL55">
        <v>18.87</v>
      </c>
      <c r="AM55">
        <v>0.12</v>
      </c>
      <c r="AN55">
        <v>26.29</v>
      </c>
      <c r="AO55">
        <v>167</v>
      </c>
      <c r="AP55" t="s">
        <v>85</v>
      </c>
      <c r="AQ55">
        <v>0.13</v>
      </c>
      <c r="AR55">
        <v>7.5300000000000006E-2</v>
      </c>
      <c r="AS55">
        <v>4.5100000000000001E-3</v>
      </c>
      <c r="AT55">
        <v>0.112</v>
      </c>
      <c r="AU55" t="s">
        <v>85</v>
      </c>
      <c r="AV55">
        <v>1.83</v>
      </c>
      <c r="AW55">
        <v>3.88</v>
      </c>
      <c r="AX55">
        <v>7.14</v>
      </c>
      <c r="AY55">
        <v>6.38</v>
      </c>
      <c r="AZ55">
        <v>0.9</v>
      </c>
      <c r="BA55">
        <v>0.69</v>
      </c>
      <c r="BB55">
        <v>4.16</v>
      </c>
      <c r="BC55">
        <v>4.2</v>
      </c>
      <c r="BD55">
        <v>0.85</v>
      </c>
      <c r="BE55">
        <v>5.05</v>
      </c>
      <c r="BF55">
        <v>6.57</v>
      </c>
      <c r="BG55">
        <v>6.45</v>
      </c>
      <c r="BH55">
        <v>11.71</v>
      </c>
      <c r="BI55">
        <v>21.11</v>
      </c>
      <c r="BJ55">
        <v>4.67</v>
      </c>
      <c r="BK55">
        <v>3.61</v>
      </c>
      <c r="BL55">
        <v>5.19</v>
      </c>
      <c r="BM55">
        <v>3.31</v>
      </c>
      <c r="BN55">
        <v>1.6</v>
      </c>
      <c r="BO55">
        <v>8.7899999999999991</v>
      </c>
      <c r="BP55">
        <v>8.15</v>
      </c>
    </row>
    <row r="56" spans="1:68">
      <c r="A56" s="32"/>
      <c r="B56" s="32" t="s">
        <v>271</v>
      </c>
      <c r="C56" s="32" t="s">
        <v>272</v>
      </c>
      <c r="D56" s="35" t="s">
        <v>273</v>
      </c>
      <c r="E56" s="35" t="s">
        <v>76</v>
      </c>
      <c r="F56" s="35">
        <v>40005</v>
      </c>
      <c r="G56" s="35" t="s">
        <v>274</v>
      </c>
      <c r="H56">
        <v>10</v>
      </c>
      <c r="I56" t="s">
        <v>207</v>
      </c>
      <c r="J56">
        <v>25</v>
      </c>
      <c r="K56">
        <v>90.96</v>
      </c>
      <c r="L56">
        <v>1.99</v>
      </c>
      <c r="M56">
        <v>0.27</v>
      </c>
      <c r="N56">
        <v>1.48</v>
      </c>
      <c r="O56">
        <v>4.3499999999999996</v>
      </c>
      <c r="P56">
        <v>0.03</v>
      </c>
      <c r="Q56">
        <v>0.18</v>
      </c>
      <c r="R56">
        <v>0.7</v>
      </c>
      <c r="S56">
        <v>0.41</v>
      </c>
      <c r="T56">
        <v>0.19</v>
      </c>
      <c r="U56">
        <v>85</v>
      </c>
      <c r="V56">
        <v>0</v>
      </c>
      <c r="W56">
        <v>37.08</v>
      </c>
      <c r="X56">
        <v>11</v>
      </c>
      <c r="Y56">
        <v>0.44</v>
      </c>
      <c r="AA56">
        <v>0</v>
      </c>
      <c r="AB56">
        <v>743.21</v>
      </c>
      <c r="AC56">
        <v>184</v>
      </c>
      <c r="AD56">
        <v>8780</v>
      </c>
      <c r="AE56">
        <v>8397</v>
      </c>
      <c r="AH56">
        <v>164</v>
      </c>
      <c r="AI56">
        <v>170.96</v>
      </c>
      <c r="AJ56">
        <v>0.12</v>
      </c>
      <c r="AK56">
        <v>8.39</v>
      </c>
      <c r="AL56">
        <v>181.3</v>
      </c>
      <c r="AN56">
        <v>46.63</v>
      </c>
      <c r="AO56">
        <v>321.39</v>
      </c>
      <c r="AQ56">
        <v>0.98</v>
      </c>
      <c r="AR56">
        <v>0.19</v>
      </c>
      <c r="AS56">
        <v>0.05</v>
      </c>
      <c r="AT56">
        <v>0.36</v>
      </c>
      <c r="AV56">
        <v>69.75</v>
      </c>
      <c r="AW56">
        <v>144.43</v>
      </c>
      <c r="AX56">
        <v>264.52</v>
      </c>
      <c r="AY56">
        <v>180.29</v>
      </c>
      <c r="AZ56">
        <v>45.4</v>
      </c>
      <c r="BA56">
        <v>26.98</v>
      </c>
      <c r="BB56">
        <v>186.87</v>
      </c>
      <c r="BC56">
        <v>136.86000000000001</v>
      </c>
      <c r="BD56">
        <v>33.229999999999997</v>
      </c>
      <c r="BE56">
        <v>165.49</v>
      </c>
      <c r="BF56">
        <v>215.5</v>
      </c>
      <c r="BG56">
        <v>200.69</v>
      </c>
      <c r="BH56">
        <v>303.33999999999997</v>
      </c>
      <c r="BI56">
        <v>419.48</v>
      </c>
      <c r="BJ56">
        <v>183.91</v>
      </c>
      <c r="BK56">
        <v>146.41</v>
      </c>
      <c r="BL56">
        <v>152</v>
      </c>
      <c r="BM56">
        <v>121.4</v>
      </c>
      <c r="BO56">
        <v>16</v>
      </c>
    </row>
    <row r="57" spans="1:68" ht="27.2">
      <c r="A57" s="32"/>
      <c r="B57" s="32" t="s">
        <v>275</v>
      </c>
      <c r="C57" s="32" t="s">
        <v>276</v>
      </c>
      <c r="D57" s="35" t="s">
        <v>205</v>
      </c>
      <c r="E57" s="35" t="s">
        <v>76</v>
      </c>
      <c r="F57" s="35">
        <v>30001</v>
      </c>
      <c r="G57" s="35" t="s">
        <v>277</v>
      </c>
      <c r="H57">
        <v>10</v>
      </c>
      <c r="I57" t="s">
        <v>207</v>
      </c>
      <c r="J57">
        <v>21</v>
      </c>
      <c r="K57">
        <v>92.35</v>
      </c>
      <c r="L57">
        <v>0.9</v>
      </c>
      <c r="M57">
        <v>0.1</v>
      </c>
      <c r="N57">
        <v>3.66</v>
      </c>
      <c r="O57">
        <v>1.2</v>
      </c>
      <c r="P57">
        <v>0.01</v>
      </c>
      <c r="Q57">
        <v>0.18</v>
      </c>
      <c r="V57">
        <v>0</v>
      </c>
      <c r="W57">
        <v>35.799999999999997</v>
      </c>
      <c r="X57">
        <v>0</v>
      </c>
      <c r="AA57">
        <v>0</v>
      </c>
      <c r="AB57">
        <v>25.5</v>
      </c>
      <c r="AD57">
        <v>306</v>
      </c>
      <c r="AI57">
        <v>114</v>
      </c>
      <c r="AK57">
        <v>1.8</v>
      </c>
      <c r="AN57">
        <v>30</v>
      </c>
      <c r="AQ57">
        <v>0.52</v>
      </c>
    </row>
    <row r="58" spans="1:68" ht="27.2">
      <c r="A58" s="32"/>
      <c r="B58" s="32" t="s">
        <v>278</v>
      </c>
      <c r="C58" s="32" t="s">
        <v>279</v>
      </c>
      <c r="D58" s="35" t="s">
        <v>280</v>
      </c>
      <c r="E58" s="35" t="s">
        <v>76</v>
      </c>
      <c r="F58" s="35">
        <v>40032</v>
      </c>
      <c r="G58" s="35" t="s">
        <v>281</v>
      </c>
      <c r="H58">
        <v>10</v>
      </c>
      <c r="I58" t="s">
        <v>207</v>
      </c>
      <c r="J58">
        <v>49</v>
      </c>
      <c r="K58">
        <v>87.39</v>
      </c>
      <c r="L58">
        <v>2.0499999999999998</v>
      </c>
      <c r="M58">
        <v>0.47</v>
      </c>
      <c r="N58">
        <v>8.7899999999999991</v>
      </c>
      <c r="O58">
        <v>0.5</v>
      </c>
      <c r="P58">
        <v>0.04</v>
      </c>
      <c r="Q58">
        <v>0.16</v>
      </c>
      <c r="R58">
        <v>0.6</v>
      </c>
      <c r="T58">
        <v>0.13</v>
      </c>
      <c r="U58">
        <v>45</v>
      </c>
      <c r="V58">
        <v>0</v>
      </c>
      <c r="W58">
        <v>43</v>
      </c>
      <c r="X58">
        <v>0</v>
      </c>
      <c r="Y58">
        <v>1.46</v>
      </c>
      <c r="AA58">
        <v>0</v>
      </c>
      <c r="AB58">
        <v>530</v>
      </c>
      <c r="AC58">
        <v>0</v>
      </c>
      <c r="AD58">
        <v>6360</v>
      </c>
      <c r="AI58">
        <v>31</v>
      </c>
      <c r="AJ58">
        <v>0.02</v>
      </c>
      <c r="AK58">
        <v>1.9</v>
      </c>
      <c r="AL58">
        <v>26.68</v>
      </c>
      <c r="AN58">
        <v>52</v>
      </c>
      <c r="AO58">
        <v>230</v>
      </c>
      <c r="AQ58">
        <v>0.52</v>
      </c>
    </row>
    <row r="59" spans="1:68" ht="40.700000000000003">
      <c r="A59" s="32"/>
      <c r="B59" s="32" t="s">
        <v>282</v>
      </c>
      <c r="C59" s="32" t="s">
        <v>283</v>
      </c>
      <c r="D59" s="36" t="s">
        <v>284</v>
      </c>
      <c r="E59" s="35" t="s">
        <v>82</v>
      </c>
      <c r="F59" s="35" t="s">
        <v>285</v>
      </c>
      <c r="G59" s="35" t="s">
        <v>286</v>
      </c>
      <c r="H59">
        <v>14</v>
      </c>
      <c r="I59" t="s">
        <v>207</v>
      </c>
      <c r="J59">
        <v>35.369999999999997</v>
      </c>
      <c r="K59">
        <v>87.64</v>
      </c>
      <c r="L59">
        <v>3.9</v>
      </c>
      <c r="M59">
        <v>0.42</v>
      </c>
      <c r="N59">
        <v>3.39</v>
      </c>
      <c r="O59">
        <v>3.43</v>
      </c>
      <c r="P59">
        <v>0.05</v>
      </c>
      <c r="Q59">
        <v>0.05</v>
      </c>
      <c r="R59">
        <v>0.21</v>
      </c>
      <c r="S59">
        <v>0.34</v>
      </c>
      <c r="T59">
        <v>0.23</v>
      </c>
      <c r="U59">
        <v>42.99</v>
      </c>
      <c r="W59">
        <v>52.84</v>
      </c>
      <c r="Y59">
        <v>0.08</v>
      </c>
      <c r="Z59">
        <v>144</v>
      </c>
      <c r="AA59" t="s">
        <v>85</v>
      </c>
      <c r="AC59" t="s">
        <v>85</v>
      </c>
      <c r="AD59">
        <v>146</v>
      </c>
      <c r="AE59">
        <v>152</v>
      </c>
      <c r="AF59" t="s">
        <v>85</v>
      </c>
      <c r="AG59" t="s">
        <v>85</v>
      </c>
      <c r="AH59">
        <v>1.97</v>
      </c>
      <c r="AI59">
        <v>96.7</v>
      </c>
      <c r="AJ59">
        <v>0.14000000000000001</v>
      </c>
      <c r="AK59">
        <v>2.42</v>
      </c>
      <c r="AL59">
        <v>41.5</v>
      </c>
      <c r="AM59">
        <v>0.5</v>
      </c>
      <c r="AN59">
        <v>62.82</v>
      </c>
      <c r="AO59">
        <v>374</v>
      </c>
      <c r="AP59">
        <v>1.05</v>
      </c>
      <c r="AQ59">
        <v>0.31</v>
      </c>
      <c r="AR59">
        <v>0.115</v>
      </c>
      <c r="AS59">
        <v>2.0799999999999999E-2</v>
      </c>
      <c r="AT59">
        <v>0.224</v>
      </c>
      <c r="AU59" t="s">
        <v>85</v>
      </c>
      <c r="AV59">
        <v>1.88</v>
      </c>
      <c r="AW59">
        <v>3.37</v>
      </c>
      <c r="AX59">
        <v>5.36</v>
      </c>
      <c r="AY59">
        <v>4.01</v>
      </c>
      <c r="AZ59">
        <v>0.99</v>
      </c>
      <c r="BA59">
        <v>0.68</v>
      </c>
      <c r="BB59">
        <v>4.16</v>
      </c>
      <c r="BC59">
        <v>4.01</v>
      </c>
      <c r="BD59">
        <v>1.1200000000000001</v>
      </c>
      <c r="BE59">
        <v>4.93</v>
      </c>
      <c r="BF59">
        <v>6.82</v>
      </c>
      <c r="BG59">
        <v>5.89</v>
      </c>
      <c r="BH59">
        <v>11.76</v>
      </c>
      <c r="BI59">
        <v>22.09</v>
      </c>
      <c r="BJ59">
        <v>3.96</v>
      </c>
      <c r="BK59">
        <v>4.63</v>
      </c>
      <c r="BL59">
        <v>5.14</v>
      </c>
      <c r="BM59">
        <v>0.77</v>
      </c>
      <c r="BN59">
        <v>28.94</v>
      </c>
      <c r="BO59">
        <v>13.6</v>
      </c>
      <c r="BP59">
        <v>172</v>
      </c>
    </row>
    <row r="60" spans="1:68">
      <c r="A60" s="30"/>
      <c r="B60" s="31" t="s">
        <v>287</v>
      </c>
      <c r="C60" s="30" t="s">
        <v>288</v>
      </c>
      <c r="D60" s="35" t="s">
        <v>289</v>
      </c>
      <c r="E60" s="35" t="s">
        <v>76</v>
      </c>
      <c r="F60" s="35">
        <v>30027</v>
      </c>
      <c r="G60" s="35" t="s">
        <v>290</v>
      </c>
      <c r="H60">
        <v>13</v>
      </c>
      <c r="I60" t="s">
        <v>291</v>
      </c>
      <c r="J60">
        <v>30</v>
      </c>
      <c r="K60">
        <v>90.62</v>
      </c>
      <c r="L60">
        <v>0.78</v>
      </c>
      <c r="M60">
        <v>0.08</v>
      </c>
      <c r="N60">
        <v>5.71</v>
      </c>
      <c r="O60">
        <v>1.5</v>
      </c>
      <c r="P60">
        <v>0.03</v>
      </c>
      <c r="Q60">
        <v>0.02</v>
      </c>
      <c r="R60">
        <v>0.2</v>
      </c>
      <c r="S60">
        <v>0.24</v>
      </c>
      <c r="T60">
        <v>0.03</v>
      </c>
      <c r="U60">
        <v>29.79</v>
      </c>
      <c r="V60">
        <v>0</v>
      </c>
      <c r="W60">
        <v>18.57</v>
      </c>
      <c r="X60">
        <v>7.81</v>
      </c>
      <c r="Y60">
        <v>7.0000000000000007E-2</v>
      </c>
      <c r="AA60">
        <v>0</v>
      </c>
      <c r="AB60">
        <v>0.57999999999999996</v>
      </c>
      <c r="AD60">
        <v>7</v>
      </c>
      <c r="AE60">
        <v>266</v>
      </c>
      <c r="AH60">
        <v>7.88</v>
      </c>
      <c r="AI60">
        <v>14.59</v>
      </c>
      <c r="AJ60">
        <v>0.02</v>
      </c>
      <c r="AK60">
        <v>0.6</v>
      </c>
      <c r="AL60">
        <v>56</v>
      </c>
      <c r="AN60">
        <v>15.37</v>
      </c>
      <c r="AO60">
        <v>129.07</v>
      </c>
      <c r="AQ60">
        <v>0.22</v>
      </c>
      <c r="AR60">
        <v>7.0000000000000007E-2</v>
      </c>
      <c r="AS60">
        <v>0.04</v>
      </c>
      <c r="AT60">
        <v>0.08</v>
      </c>
      <c r="AV60">
        <v>4.8499999999999996</v>
      </c>
      <c r="AW60">
        <v>7.85</v>
      </c>
      <c r="AX60">
        <v>16.100000000000001</v>
      </c>
      <c r="AY60">
        <v>19.100000000000001</v>
      </c>
      <c r="AZ60">
        <v>3.15</v>
      </c>
      <c r="BA60">
        <v>18.850000000000001</v>
      </c>
      <c r="BB60">
        <v>19.55</v>
      </c>
      <c r="BC60">
        <v>14.25</v>
      </c>
      <c r="BD60">
        <v>5</v>
      </c>
      <c r="BE60">
        <v>15.8</v>
      </c>
      <c r="BF60">
        <v>25.35</v>
      </c>
      <c r="BG60">
        <v>15.4</v>
      </c>
      <c r="BH60">
        <v>59.5</v>
      </c>
      <c r="BI60">
        <v>71.349999999999994</v>
      </c>
      <c r="BJ60">
        <v>24.65</v>
      </c>
      <c r="BK60">
        <v>14.95</v>
      </c>
      <c r="BL60">
        <v>17.8</v>
      </c>
      <c r="BM60">
        <v>21.9</v>
      </c>
      <c r="BO60">
        <v>22.08</v>
      </c>
    </row>
    <row r="61" spans="1:68">
      <c r="A61" s="30"/>
      <c r="B61" s="31" t="s">
        <v>292</v>
      </c>
      <c r="C61" s="30" t="s">
        <v>293</v>
      </c>
      <c r="D61" s="34" t="s">
        <v>260</v>
      </c>
      <c r="E61" s="35" t="s">
        <v>76</v>
      </c>
      <c r="F61" s="35">
        <v>30031</v>
      </c>
      <c r="G61" s="35" t="s">
        <v>294</v>
      </c>
      <c r="H61">
        <v>13</v>
      </c>
      <c r="I61" t="s">
        <v>295</v>
      </c>
      <c r="J61">
        <v>16</v>
      </c>
      <c r="K61">
        <v>94.28</v>
      </c>
      <c r="L61">
        <v>0.9</v>
      </c>
      <c r="M61">
        <v>0.1</v>
      </c>
      <c r="N61">
        <v>1.7</v>
      </c>
      <c r="O61">
        <v>2.4</v>
      </c>
      <c r="P61">
        <v>0.43</v>
      </c>
      <c r="Q61">
        <v>0.01</v>
      </c>
      <c r="R61">
        <v>0.3</v>
      </c>
      <c r="S61">
        <v>0.15</v>
      </c>
      <c r="T61">
        <v>7.0000000000000007E-2</v>
      </c>
      <c r="U61">
        <v>25</v>
      </c>
      <c r="W61">
        <v>17.190000000000001</v>
      </c>
      <c r="X61">
        <v>0.05</v>
      </c>
      <c r="Y61">
        <v>0.01</v>
      </c>
      <c r="AA61">
        <v>0</v>
      </c>
      <c r="AC61">
        <v>0</v>
      </c>
      <c r="AD61">
        <v>1.4</v>
      </c>
      <c r="AE61">
        <v>5.34</v>
      </c>
      <c r="AH61">
        <v>2.08</v>
      </c>
      <c r="AI61">
        <v>25</v>
      </c>
      <c r="AJ61">
        <v>0.03</v>
      </c>
      <c r="AK61">
        <v>0.4</v>
      </c>
      <c r="AL61">
        <v>17</v>
      </c>
      <c r="AN61">
        <v>23</v>
      </c>
      <c r="AO61">
        <v>142</v>
      </c>
      <c r="AQ61">
        <v>0.38</v>
      </c>
      <c r="AR61">
        <v>0.04</v>
      </c>
      <c r="AS61">
        <v>0.01</v>
      </c>
      <c r="AT61">
        <v>0.05</v>
      </c>
      <c r="AV61">
        <v>13.71</v>
      </c>
      <c r="AW61">
        <v>25.64</v>
      </c>
      <c r="AX61">
        <v>47.28</v>
      </c>
      <c r="AY61">
        <v>23.25</v>
      </c>
      <c r="AZ61">
        <v>5.93</v>
      </c>
      <c r="BA61">
        <v>6.55</v>
      </c>
      <c r="BB61">
        <v>25.1</v>
      </c>
      <c r="BC61">
        <v>31.03</v>
      </c>
      <c r="BD61">
        <v>4</v>
      </c>
      <c r="BE61">
        <v>43.66</v>
      </c>
      <c r="BF61">
        <v>57.67</v>
      </c>
      <c r="BG61">
        <v>31.96</v>
      </c>
      <c r="BH61">
        <v>75.31</v>
      </c>
      <c r="BI61">
        <v>202.2</v>
      </c>
      <c r="BJ61">
        <v>31.96</v>
      </c>
      <c r="BK61">
        <v>32.96</v>
      </c>
      <c r="BL61">
        <v>35.04</v>
      </c>
      <c r="BM61">
        <v>13.32</v>
      </c>
      <c r="BO61">
        <v>1.75</v>
      </c>
    </row>
    <row r="62" spans="1:68">
      <c r="A62" s="30"/>
      <c r="B62" s="31" t="s">
        <v>296</v>
      </c>
      <c r="C62" s="30" t="s">
        <v>297</v>
      </c>
      <c r="D62" s="35" t="s">
        <v>298</v>
      </c>
      <c r="E62" s="35" t="s">
        <v>76</v>
      </c>
      <c r="F62" s="35">
        <v>30005</v>
      </c>
      <c r="G62" s="35" t="s">
        <v>299</v>
      </c>
      <c r="H62">
        <v>13</v>
      </c>
      <c r="I62" t="s">
        <v>295</v>
      </c>
      <c r="J62">
        <v>24</v>
      </c>
      <c r="K62">
        <v>91.35</v>
      </c>
      <c r="L62">
        <v>1.9</v>
      </c>
      <c r="M62">
        <v>0.06</v>
      </c>
      <c r="N62">
        <v>1.97</v>
      </c>
      <c r="O62">
        <v>4.0599999999999996</v>
      </c>
      <c r="P62">
        <v>0.03</v>
      </c>
      <c r="Q62">
        <v>7.0000000000000007E-2</v>
      </c>
      <c r="R62">
        <v>0.8</v>
      </c>
      <c r="S62">
        <v>0.31</v>
      </c>
      <c r="T62">
        <v>0.08</v>
      </c>
      <c r="U62">
        <v>34</v>
      </c>
      <c r="W62">
        <v>1.29</v>
      </c>
      <c r="X62">
        <v>0.9</v>
      </c>
      <c r="Y62">
        <v>0.1</v>
      </c>
      <c r="AA62">
        <v>0</v>
      </c>
      <c r="AB62">
        <v>3.79</v>
      </c>
      <c r="AC62">
        <v>0</v>
      </c>
      <c r="AD62">
        <v>45.44</v>
      </c>
      <c r="AE62">
        <v>144</v>
      </c>
      <c r="AH62">
        <v>3.21</v>
      </c>
      <c r="AI62">
        <v>21.11</v>
      </c>
      <c r="AJ62">
        <v>0.68</v>
      </c>
      <c r="AK62">
        <v>0.36</v>
      </c>
      <c r="AL62">
        <v>23.77</v>
      </c>
      <c r="AN62">
        <v>47</v>
      </c>
      <c r="AO62">
        <v>177.69</v>
      </c>
      <c r="AQ62">
        <v>0.56999999999999995</v>
      </c>
      <c r="AR62">
        <v>7.0000000000000007E-2</v>
      </c>
      <c r="AS62">
        <v>0.02</v>
      </c>
      <c r="AT62">
        <v>0.15</v>
      </c>
      <c r="AV62">
        <v>29.3</v>
      </c>
      <c r="AW62">
        <v>53.72</v>
      </c>
      <c r="AX62">
        <v>83.03</v>
      </c>
      <c r="AY62">
        <v>56.39</v>
      </c>
      <c r="AZ62">
        <v>12.14</v>
      </c>
      <c r="BA62">
        <v>10.51</v>
      </c>
      <c r="BB62">
        <v>69.56</v>
      </c>
      <c r="BC62">
        <v>43.81</v>
      </c>
      <c r="BD62">
        <v>11.84</v>
      </c>
      <c r="BE62">
        <v>68.08</v>
      </c>
      <c r="BF62">
        <v>79.48</v>
      </c>
      <c r="BG62">
        <v>74.3</v>
      </c>
      <c r="BH62">
        <v>236.95</v>
      </c>
      <c r="BI62">
        <v>305.18</v>
      </c>
      <c r="BJ62">
        <v>60.83</v>
      </c>
      <c r="BK62">
        <v>52.69</v>
      </c>
      <c r="BL62">
        <v>56.54</v>
      </c>
      <c r="BM62">
        <v>42.18</v>
      </c>
      <c r="BO62">
        <v>12.28</v>
      </c>
    </row>
    <row r="63" spans="1:68">
      <c r="A63" s="30">
        <v>25001</v>
      </c>
      <c r="B63" s="31" t="s">
        <v>300</v>
      </c>
      <c r="C63" s="30" t="s">
        <v>301</v>
      </c>
      <c r="D63" s="35" t="s">
        <v>302</v>
      </c>
      <c r="E63" s="35" t="s">
        <v>76</v>
      </c>
      <c r="F63" s="35">
        <v>30012</v>
      </c>
      <c r="G63" s="35" t="s">
        <v>303</v>
      </c>
      <c r="H63">
        <v>11</v>
      </c>
      <c r="I63" t="s">
        <v>295</v>
      </c>
      <c r="J63">
        <v>21</v>
      </c>
      <c r="K63">
        <v>95.27</v>
      </c>
      <c r="L63">
        <v>0.7</v>
      </c>
      <c r="M63">
        <v>0.1</v>
      </c>
      <c r="N63">
        <v>3.6</v>
      </c>
      <c r="O63">
        <v>1.4</v>
      </c>
      <c r="P63">
        <v>0.16</v>
      </c>
      <c r="Q63">
        <v>0.02</v>
      </c>
      <c r="R63">
        <v>0.2</v>
      </c>
      <c r="S63">
        <v>0.45</v>
      </c>
      <c r="T63">
        <v>0.06</v>
      </c>
      <c r="U63">
        <v>14</v>
      </c>
      <c r="V63">
        <v>0</v>
      </c>
      <c r="W63">
        <v>7.23</v>
      </c>
      <c r="X63">
        <v>1.26</v>
      </c>
      <c r="Y63">
        <v>0.02</v>
      </c>
      <c r="AA63">
        <v>0</v>
      </c>
      <c r="AB63">
        <v>5</v>
      </c>
      <c r="AC63">
        <v>8</v>
      </c>
      <c r="AD63">
        <v>44</v>
      </c>
      <c r="AE63">
        <v>2.2200000000000002</v>
      </c>
      <c r="AI63">
        <v>13</v>
      </c>
      <c r="AJ63">
        <v>0.05</v>
      </c>
      <c r="AK63">
        <v>0.2</v>
      </c>
      <c r="AL63">
        <v>12</v>
      </c>
      <c r="AN63">
        <v>17</v>
      </c>
      <c r="AO63">
        <v>105</v>
      </c>
      <c r="AQ63">
        <v>0.18</v>
      </c>
      <c r="AR63">
        <v>0.06</v>
      </c>
      <c r="AS63">
        <v>0.01</v>
      </c>
      <c r="AT63">
        <v>7.0000000000000007E-2</v>
      </c>
      <c r="AV63">
        <v>13.63</v>
      </c>
      <c r="AW63">
        <v>29.39</v>
      </c>
      <c r="AX63">
        <v>49.27</v>
      </c>
      <c r="AY63">
        <v>22.37</v>
      </c>
      <c r="AZ63">
        <v>7.53</v>
      </c>
      <c r="BA63">
        <v>4.54</v>
      </c>
      <c r="BB63">
        <v>22.51</v>
      </c>
      <c r="BC63">
        <v>22.22</v>
      </c>
      <c r="BD63">
        <v>1.92</v>
      </c>
      <c r="BE63">
        <v>43.24</v>
      </c>
      <c r="BF63">
        <v>50.98</v>
      </c>
      <c r="BG63">
        <v>31.74</v>
      </c>
      <c r="BH63">
        <v>49.42</v>
      </c>
      <c r="BI63">
        <v>162.16</v>
      </c>
      <c r="BJ63">
        <v>31.74</v>
      </c>
      <c r="BK63">
        <v>23.43</v>
      </c>
      <c r="BL63">
        <v>26.91</v>
      </c>
      <c r="BM63">
        <v>21.16</v>
      </c>
      <c r="BO63">
        <v>17.52</v>
      </c>
    </row>
    <row r="64" spans="1:68">
      <c r="A64" s="30"/>
      <c r="B64" s="31" t="s">
        <v>304</v>
      </c>
      <c r="C64" s="30" t="s">
        <v>305</v>
      </c>
      <c r="D64" s="35" t="s">
        <v>306</v>
      </c>
      <c r="E64" s="35" t="s">
        <v>76</v>
      </c>
      <c r="F64" s="35">
        <v>30030</v>
      </c>
      <c r="G64" s="35" t="s">
        <v>307</v>
      </c>
      <c r="H64">
        <v>11</v>
      </c>
      <c r="I64" t="s">
        <v>308</v>
      </c>
      <c r="J64">
        <v>18</v>
      </c>
      <c r="K64">
        <v>93.88</v>
      </c>
      <c r="L64">
        <v>1.4</v>
      </c>
      <c r="M64">
        <v>0.3</v>
      </c>
      <c r="N64">
        <v>1.32</v>
      </c>
      <c r="O64">
        <v>2.4</v>
      </c>
      <c r="P64">
        <v>7.0000000000000007E-2</v>
      </c>
      <c r="Q64">
        <v>0.06</v>
      </c>
      <c r="R64">
        <v>0.6</v>
      </c>
      <c r="S64">
        <v>0.18</v>
      </c>
      <c r="T64">
        <v>0.06</v>
      </c>
      <c r="U64">
        <v>16</v>
      </c>
      <c r="V64">
        <v>0</v>
      </c>
      <c r="W64">
        <v>21.06</v>
      </c>
      <c r="X64">
        <v>0.79</v>
      </c>
      <c r="Y64">
        <v>1.06</v>
      </c>
      <c r="AA64">
        <v>0</v>
      </c>
      <c r="AB64">
        <v>369.17</v>
      </c>
      <c r="AC64">
        <v>515</v>
      </c>
      <c r="AD64">
        <v>3100</v>
      </c>
      <c r="AE64">
        <v>161</v>
      </c>
      <c r="AH64">
        <v>34.909999999999997</v>
      </c>
      <c r="AI64">
        <v>51.82</v>
      </c>
      <c r="AJ64">
        <v>0.21</v>
      </c>
      <c r="AK64">
        <v>0.7</v>
      </c>
      <c r="AL64">
        <v>10</v>
      </c>
      <c r="AN64">
        <v>16</v>
      </c>
      <c r="AO64">
        <v>349</v>
      </c>
      <c r="AQ64">
        <v>0.11</v>
      </c>
      <c r="AR64">
        <v>0.04</v>
      </c>
      <c r="AS64">
        <v>0.02</v>
      </c>
      <c r="AT64">
        <v>0.06</v>
      </c>
      <c r="AV64">
        <v>14.11</v>
      </c>
      <c r="AW64">
        <v>42</v>
      </c>
      <c r="AX64">
        <v>44.69</v>
      </c>
      <c r="AY64">
        <v>26.88</v>
      </c>
      <c r="AZ64">
        <v>8.65</v>
      </c>
      <c r="BA64">
        <v>5.71</v>
      </c>
      <c r="BB64">
        <v>41.24</v>
      </c>
      <c r="BC64">
        <v>32.340000000000003</v>
      </c>
      <c r="BD64">
        <v>6.47</v>
      </c>
      <c r="BE64">
        <v>50.82</v>
      </c>
      <c r="BF64">
        <v>41.66</v>
      </c>
      <c r="BG64">
        <v>30.66</v>
      </c>
      <c r="BH64">
        <v>109.12</v>
      </c>
      <c r="BI64">
        <v>164.47</v>
      </c>
      <c r="BJ64">
        <v>42.42</v>
      </c>
      <c r="BK64">
        <v>32.51</v>
      </c>
      <c r="BL64">
        <v>37.130000000000003</v>
      </c>
      <c r="BM64">
        <v>23.94</v>
      </c>
      <c r="BO64">
        <v>19.72</v>
      </c>
    </row>
    <row r="65" spans="1:68">
      <c r="A65" s="30"/>
      <c r="B65" s="31" t="s">
        <v>309</v>
      </c>
      <c r="C65" s="30" t="s">
        <v>310</v>
      </c>
      <c r="D65" s="35" t="s">
        <v>306</v>
      </c>
      <c r="E65" s="35" t="s">
        <v>76</v>
      </c>
      <c r="F65" s="35">
        <v>30030</v>
      </c>
      <c r="G65" s="35" t="s">
        <v>307</v>
      </c>
      <c r="H65">
        <v>13</v>
      </c>
      <c r="I65" t="s">
        <v>308</v>
      </c>
      <c r="J65">
        <v>18</v>
      </c>
      <c r="K65">
        <v>93.88</v>
      </c>
      <c r="L65">
        <v>1.4</v>
      </c>
      <c r="M65">
        <v>0.3</v>
      </c>
      <c r="N65">
        <v>1.32</v>
      </c>
      <c r="O65">
        <v>2.4</v>
      </c>
      <c r="P65">
        <v>7.0000000000000007E-2</v>
      </c>
      <c r="Q65">
        <v>0.06</v>
      </c>
      <c r="R65">
        <v>0.6</v>
      </c>
      <c r="S65">
        <v>0.18</v>
      </c>
      <c r="T65">
        <v>0.06</v>
      </c>
      <c r="U65">
        <v>16</v>
      </c>
      <c r="V65">
        <v>0</v>
      </c>
      <c r="W65">
        <v>21.06</v>
      </c>
      <c r="X65">
        <v>0.79</v>
      </c>
      <c r="Y65">
        <v>1.06</v>
      </c>
      <c r="AA65">
        <v>0</v>
      </c>
      <c r="AB65">
        <v>369.17</v>
      </c>
      <c r="AC65">
        <v>515</v>
      </c>
      <c r="AD65">
        <v>3100</v>
      </c>
      <c r="AE65">
        <v>161</v>
      </c>
      <c r="AH65">
        <v>34.909999999999997</v>
      </c>
      <c r="AI65">
        <v>51.82</v>
      </c>
      <c r="AJ65">
        <v>0.21</v>
      </c>
      <c r="AK65">
        <v>0.7</v>
      </c>
      <c r="AL65">
        <v>10</v>
      </c>
      <c r="AN65">
        <v>16</v>
      </c>
      <c r="AO65">
        <v>349</v>
      </c>
      <c r="AQ65">
        <v>0.11</v>
      </c>
      <c r="AR65">
        <v>0.04</v>
      </c>
      <c r="AS65">
        <v>0.02</v>
      </c>
      <c r="AT65">
        <v>0.06</v>
      </c>
      <c r="AV65">
        <v>14.11</v>
      </c>
      <c r="AW65">
        <v>42</v>
      </c>
      <c r="AX65">
        <v>44.69</v>
      </c>
      <c r="AY65">
        <v>26.88</v>
      </c>
      <c r="AZ65">
        <v>8.65</v>
      </c>
      <c r="BA65">
        <v>5.71</v>
      </c>
      <c r="BB65">
        <v>41.24</v>
      </c>
      <c r="BC65">
        <v>32.340000000000003</v>
      </c>
      <c r="BD65">
        <v>6.47</v>
      </c>
      <c r="BE65">
        <v>50.82</v>
      </c>
      <c r="BF65">
        <v>41.66</v>
      </c>
      <c r="BG65">
        <v>30.66</v>
      </c>
      <c r="BH65">
        <v>109.12</v>
      </c>
      <c r="BI65">
        <v>164.47</v>
      </c>
      <c r="BJ65">
        <v>42.42</v>
      </c>
      <c r="BK65">
        <v>32.51</v>
      </c>
      <c r="BL65">
        <v>37.130000000000003</v>
      </c>
      <c r="BM65">
        <v>23.94</v>
      </c>
      <c r="BO65">
        <v>19.72</v>
      </c>
    </row>
    <row r="66" spans="1:68">
      <c r="A66" s="30"/>
      <c r="B66" s="31" t="s">
        <v>311</v>
      </c>
      <c r="C66" s="30" t="s">
        <v>312</v>
      </c>
      <c r="D66" s="37" t="s">
        <v>227</v>
      </c>
      <c r="E66" s="35" t="s">
        <v>76</v>
      </c>
      <c r="F66" s="35">
        <v>30016</v>
      </c>
      <c r="G66" s="35" t="s">
        <v>313</v>
      </c>
      <c r="H66">
        <v>3</v>
      </c>
      <c r="I66" t="s">
        <v>295</v>
      </c>
      <c r="J66">
        <v>10</v>
      </c>
      <c r="K66">
        <v>96.5</v>
      </c>
      <c r="L66">
        <v>0.4</v>
      </c>
      <c r="M66">
        <v>0.1</v>
      </c>
      <c r="N66">
        <v>1</v>
      </c>
      <c r="O66">
        <v>1.7</v>
      </c>
      <c r="P66">
        <v>0.06</v>
      </c>
      <c r="Q66">
        <v>0.01</v>
      </c>
      <c r="R66">
        <v>0.3</v>
      </c>
      <c r="S66">
        <v>0.37</v>
      </c>
      <c r="T66">
        <v>0.04</v>
      </c>
      <c r="U66">
        <v>16.25</v>
      </c>
      <c r="V66">
        <v>0</v>
      </c>
      <c r="W66">
        <v>31</v>
      </c>
      <c r="X66">
        <v>0.6</v>
      </c>
      <c r="Y66">
        <v>0.02</v>
      </c>
      <c r="AA66">
        <v>0</v>
      </c>
      <c r="AB66">
        <v>0.25</v>
      </c>
      <c r="AC66">
        <v>0</v>
      </c>
      <c r="AD66">
        <v>3</v>
      </c>
      <c r="AE66">
        <v>18.29</v>
      </c>
      <c r="AH66">
        <v>5.76</v>
      </c>
      <c r="AI66">
        <v>30</v>
      </c>
      <c r="AJ66">
        <v>0.02</v>
      </c>
      <c r="AK66">
        <v>0.8</v>
      </c>
      <c r="AL66">
        <v>17.420000000000002</v>
      </c>
      <c r="AN66">
        <v>14</v>
      </c>
      <c r="AO66">
        <v>139</v>
      </c>
      <c r="AQ66">
        <v>0.1</v>
      </c>
      <c r="AR66">
        <v>0.03</v>
      </c>
      <c r="AS66">
        <v>0.01</v>
      </c>
      <c r="AT66">
        <v>0.08</v>
      </c>
      <c r="AV66">
        <v>20.38</v>
      </c>
      <c r="AW66">
        <v>34.049999999999997</v>
      </c>
      <c r="AX66">
        <v>44.79</v>
      </c>
      <c r="AY66">
        <v>26.78</v>
      </c>
      <c r="AZ66">
        <v>12.32</v>
      </c>
      <c r="BA66">
        <v>6.56</v>
      </c>
      <c r="BB66">
        <v>25.44</v>
      </c>
      <c r="BC66">
        <v>28.84</v>
      </c>
      <c r="BD66">
        <v>5.69</v>
      </c>
      <c r="BE66">
        <v>40.369999999999997</v>
      </c>
      <c r="BF66">
        <v>44.71</v>
      </c>
      <c r="BG66">
        <v>61.86</v>
      </c>
      <c r="BH66">
        <v>84.29</v>
      </c>
      <c r="BI66">
        <v>141.81</v>
      </c>
      <c r="BJ66">
        <v>44.16</v>
      </c>
      <c r="BK66">
        <v>31.52</v>
      </c>
      <c r="BL66">
        <v>32.07</v>
      </c>
      <c r="BM66">
        <v>22.75</v>
      </c>
      <c r="BO66">
        <v>14.6</v>
      </c>
    </row>
    <row r="67" spans="1:68">
      <c r="A67" s="30"/>
      <c r="B67" s="31" t="s">
        <v>314</v>
      </c>
      <c r="C67" s="30" t="s">
        <v>315</v>
      </c>
      <c r="D67" s="35" t="s">
        <v>316</v>
      </c>
      <c r="E67" s="35" t="s">
        <v>76</v>
      </c>
      <c r="F67" s="35">
        <v>20012</v>
      </c>
      <c r="G67" s="35" t="s">
        <v>317</v>
      </c>
      <c r="H67">
        <v>13</v>
      </c>
      <c r="I67" s="47" t="s">
        <v>72</v>
      </c>
      <c r="J67">
        <v>424</v>
      </c>
      <c r="K67">
        <v>9.25</v>
      </c>
      <c r="L67">
        <v>32.94</v>
      </c>
      <c r="M67">
        <v>19.940000000000001</v>
      </c>
      <c r="N67">
        <v>23.62</v>
      </c>
      <c r="O67">
        <v>9.3000000000000007</v>
      </c>
      <c r="P67">
        <v>0.73</v>
      </c>
      <c r="Q67">
        <v>0.5</v>
      </c>
      <c r="R67">
        <v>2.2000000000000002</v>
      </c>
      <c r="S67">
        <v>1.97</v>
      </c>
      <c r="T67">
        <v>0.42</v>
      </c>
      <c r="U67">
        <v>100</v>
      </c>
      <c r="V67">
        <v>0</v>
      </c>
      <c r="X67">
        <v>68.02</v>
      </c>
      <c r="Y67">
        <v>2.9</v>
      </c>
      <c r="AA67">
        <v>0</v>
      </c>
      <c r="AB67">
        <v>1.08</v>
      </c>
      <c r="AC67">
        <v>0</v>
      </c>
      <c r="AD67">
        <v>13</v>
      </c>
      <c r="AI67">
        <v>240.57</v>
      </c>
      <c r="AJ67">
        <v>1.25</v>
      </c>
      <c r="AK67">
        <v>11.34</v>
      </c>
      <c r="AL67">
        <v>207</v>
      </c>
      <c r="AN67">
        <v>691.13</v>
      </c>
      <c r="AO67">
        <v>1530</v>
      </c>
      <c r="AQ67">
        <v>5.7</v>
      </c>
      <c r="AR67">
        <v>3.05</v>
      </c>
      <c r="AS67">
        <v>4.6900000000000004</v>
      </c>
      <c r="AT67">
        <v>11.18</v>
      </c>
      <c r="AV67">
        <v>937</v>
      </c>
      <c r="AW67">
        <v>1648</v>
      </c>
      <c r="AX67">
        <v>2884</v>
      </c>
      <c r="AY67">
        <v>2369</v>
      </c>
      <c r="AZ67">
        <v>463</v>
      </c>
      <c r="BA67">
        <v>494</v>
      </c>
      <c r="BB67">
        <v>1854</v>
      </c>
      <c r="BC67">
        <v>1442</v>
      </c>
      <c r="BD67">
        <v>474</v>
      </c>
      <c r="BE67">
        <v>1751</v>
      </c>
      <c r="BF67">
        <v>1545</v>
      </c>
      <c r="BG67">
        <v>2678</v>
      </c>
      <c r="BH67">
        <v>4325</v>
      </c>
      <c r="BI67">
        <v>6900</v>
      </c>
      <c r="BJ67">
        <v>1545</v>
      </c>
      <c r="BK67">
        <v>2060</v>
      </c>
      <c r="BL67">
        <v>1854</v>
      </c>
      <c r="BM67">
        <v>533</v>
      </c>
      <c r="BO67" t="s">
        <v>318</v>
      </c>
    </row>
    <row r="68" spans="1:68">
      <c r="A68" s="30"/>
      <c r="B68" s="31" t="s">
        <v>319</v>
      </c>
      <c r="C68" s="30" t="s">
        <v>320</v>
      </c>
      <c r="D68" s="35" t="s">
        <v>321</v>
      </c>
      <c r="E68" s="35" t="s">
        <v>76</v>
      </c>
      <c r="F68" s="35">
        <v>30025</v>
      </c>
      <c r="G68" s="35" t="s">
        <v>322</v>
      </c>
      <c r="H68">
        <v>13</v>
      </c>
      <c r="I68" s="47" t="s">
        <v>295</v>
      </c>
      <c r="J68">
        <v>39</v>
      </c>
      <c r="K68">
        <v>87.74</v>
      </c>
      <c r="L68">
        <v>2.11</v>
      </c>
      <c r="M68">
        <v>0.16</v>
      </c>
      <c r="N68">
        <v>5.73</v>
      </c>
      <c r="O68">
        <v>3.1</v>
      </c>
      <c r="P68">
        <v>0.04</v>
      </c>
      <c r="Q68">
        <v>0.16</v>
      </c>
      <c r="R68">
        <v>1</v>
      </c>
      <c r="S68">
        <v>0.28000000000000003</v>
      </c>
      <c r="T68">
        <v>0.22</v>
      </c>
      <c r="U68">
        <v>60</v>
      </c>
      <c r="V68">
        <v>0</v>
      </c>
      <c r="W68">
        <v>17.489999999999998</v>
      </c>
      <c r="X68">
        <v>7.46</v>
      </c>
      <c r="Y68">
        <v>0.27</v>
      </c>
      <c r="AA68">
        <v>0</v>
      </c>
      <c r="AB68">
        <v>18.899999999999999</v>
      </c>
      <c r="AC68">
        <v>30</v>
      </c>
      <c r="AD68">
        <v>211.82</v>
      </c>
      <c r="AE68">
        <v>798</v>
      </c>
      <c r="AH68">
        <v>3.53</v>
      </c>
      <c r="AI68">
        <v>92.65</v>
      </c>
      <c r="AJ68">
        <v>0.08</v>
      </c>
      <c r="AK68">
        <v>0.9</v>
      </c>
      <c r="AL68">
        <v>19.670000000000002</v>
      </c>
      <c r="AN68">
        <v>27.84</v>
      </c>
      <c r="AO68">
        <v>178.17</v>
      </c>
      <c r="AQ68">
        <v>0.34</v>
      </c>
      <c r="AR68">
        <v>7.0000000000000007E-2</v>
      </c>
      <c r="AS68">
        <v>0.01</v>
      </c>
      <c r="AT68">
        <v>0.11</v>
      </c>
      <c r="AV68">
        <v>50.34</v>
      </c>
      <c r="AW68">
        <v>67.81</v>
      </c>
      <c r="AX68">
        <v>104.83</v>
      </c>
      <c r="AY68">
        <v>78.83</v>
      </c>
      <c r="AZ68">
        <v>16.850000000000001</v>
      </c>
      <c r="BA68">
        <v>11.86</v>
      </c>
      <c r="BB68">
        <v>71.55</v>
      </c>
      <c r="BC68">
        <v>78</v>
      </c>
      <c r="BD68">
        <v>10.19</v>
      </c>
      <c r="BE68">
        <v>92.77</v>
      </c>
      <c r="BF68">
        <v>111.7</v>
      </c>
      <c r="BG68">
        <v>123.76</v>
      </c>
      <c r="BH68">
        <v>321.77999999999997</v>
      </c>
      <c r="BI68">
        <v>347.36</v>
      </c>
      <c r="BJ68">
        <v>82.16</v>
      </c>
      <c r="BK68">
        <v>70.510000000000005</v>
      </c>
      <c r="BL68">
        <v>74.67</v>
      </c>
      <c r="BM68">
        <v>44.72</v>
      </c>
      <c r="BO68">
        <v>3.63</v>
      </c>
    </row>
    <row r="69" spans="1:68">
      <c r="A69" s="30"/>
      <c r="B69" s="31" t="s">
        <v>323</v>
      </c>
      <c r="C69" s="30" t="s">
        <v>324</v>
      </c>
      <c r="D69" s="35" t="s">
        <v>325</v>
      </c>
      <c r="E69" s="35" t="s">
        <v>76</v>
      </c>
      <c r="F69" s="35">
        <v>30019</v>
      </c>
      <c r="G69" s="35" t="s">
        <v>326</v>
      </c>
      <c r="H69">
        <v>13</v>
      </c>
      <c r="I69" s="47" t="s">
        <v>295</v>
      </c>
      <c r="J69">
        <v>24</v>
      </c>
      <c r="K69">
        <v>92.65</v>
      </c>
      <c r="L69">
        <v>2.04</v>
      </c>
      <c r="M69">
        <v>0.32</v>
      </c>
      <c r="N69">
        <v>2.23</v>
      </c>
      <c r="O69">
        <v>2.2000000000000002</v>
      </c>
      <c r="P69">
        <v>0.17</v>
      </c>
      <c r="Q69">
        <v>0.03</v>
      </c>
      <c r="R69">
        <v>0.8</v>
      </c>
      <c r="S69">
        <v>0.25</v>
      </c>
      <c r="T69">
        <v>0.04</v>
      </c>
      <c r="U69">
        <v>16.25</v>
      </c>
      <c r="V69">
        <v>0</v>
      </c>
      <c r="W69">
        <v>19.45</v>
      </c>
      <c r="X69">
        <v>0.69</v>
      </c>
      <c r="Y69">
        <v>0.04</v>
      </c>
      <c r="AA69">
        <v>0</v>
      </c>
      <c r="AB69">
        <v>5.38</v>
      </c>
      <c r="AD69">
        <v>64.55</v>
      </c>
      <c r="AE69">
        <v>322</v>
      </c>
      <c r="AH69">
        <v>10.77</v>
      </c>
      <c r="AI69">
        <v>15.89</v>
      </c>
      <c r="AJ69">
        <v>0.17</v>
      </c>
      <c r="AK69">
        <v>1.7</v>
      </c>
      <c r="AL69">
        <v>15</v>
      </c>
      <c r="AN69">
        <v>17.61</v>
      </c>
      <c r="AO69">
        <v>147.88999999999999</v>
      </c>
      <c r="AQ69">
        <v>0.4</v>
      </c>
      <c r="AR69">
        <v>0.1</v>
      </c>
      <c r="AS69">
        <v>0.01</v>
      </c>
      <c r="AT69">
        <v>0.11</v>
      </c>
      <c r="AV69">
        <v>24.5</v>
      </c>
      <c r="AW69">
        <v>61.74</v>
      </c>
      <c r="AX69">
        <v>101.08</v>
      </c>
      <c r="AY69">
        <v>82.46</v>
      </c>
      <c r="AZ69">
        <v>18.62</v>
      </c>
      <c r="BA69">
        <v>12.04</v>
      </c>
      <c r="BB69">
        <v>54.04</v>
      </c>
      <c r="BC69">
        <v>53.48</v>
      </c>
      <c r="BD69">
        <v>8.26</v>
      </c>
      <c r="BE69">
        <v>83.3</v>
      </c>
      <c r="BF69">
        <v>92.54</v>
      </c>
      <c r="BG69">
        <v>83.58</v>
      </c>
      <c r="BH69">
        <v>134.4</v>
      </c>
      <c r="BI69">
        <v>272.02</v>
      </c>
      <c r="BJ69">
        <v>86.94</v>
      </c>
      <c r="BK69">
        <v>73.92</v>
      </c>
      <c r="BL69">
        <v>67.06</v>
      </c>
      <c r="BM69">
        <v>41.44</v>
      </c>
      <c r="BO69">
        <v>29.1</v>
      </c>
    </row>
    <row r="70" spans="1:68">
      <c r="A70" s="30"/>
      <c r="B70" s="31" t="s">
        <v>327</v>
      </c>
      <c r="C70" s="30" t="s">
        <v>328</v>
      </c>
      <c r="D70" s="35" t="s">
        <v>227</v>
      </c>
      <c r="E70" s="35" t="s">
        <v>76</v>
      </c>
      <c r="F70" s="35">
        <v>30018</v>
      </c>
      <c r="G70" s="35" t="s">
        <v>329</v>
      </c>
      <c r="H70">
        <v>13</v>
      </c>
      <c r="I70" s="47" t="s">
        <v>295</v>
      </c>
      <c r="J70">
        <v>18</v>
      </c>
      <c r="K70">
        <v>93.5</v>
      </c>
      <c r="L70">
        <v>1.2</v>
      </c>
      <c r="M70">
        <v>7.0000000000000007E-2</v>
      </c>
      <c r="N70">
        <v>2.1</v>
      </c>
      <c r="O70">
        <v>2.1</v>
      </c>
      <c r="P70">
        <v>0.01</v>
      </c>
      <c r="Q70">
        <v>0.02</v>
      </c>
      <c r="R70">
        <v>0.14000000000000001</v>
      </c>
      <c r="S70">
        <v>0.55000000000000004</v>
      </c>
      <c r="T70">
        <v>0.02</v>
      </c>
      <c r="U70">
        <v>46</v>
      </c>
      <c r="V70">
        <v>0</v>
      </c>
      <c r="W70">
        <v>7.67</v>
      </c>
      <c r="X70">
        <v>0.84</v>
      </c>
      <c r="Y70">
        <v>0.02</v>
      </c>
      <c r="AA70">
        <v>0</v>
      </c>
      <c r="AB70">
        <v>4</v>
      </c>
      <c r="AC70">
        <v>0</v>
      </c>
      <c r="AD70">
        <v>45.3</v>
      </c>
      <c r="AI70">
        <v>26</v>
      </c>
      <c r="AJ70">
        <v>0.06</v>
      </c>
      <c r="AK70">
        <v>0.7</v>
      </c>
      <c r="AL70">
        <v>12</v>
      </c>
      <c r="AN70">
        <v>20</v>
      </c>
      <c r="AO70">
        <v>137</v>
      </c>
      <c r="AQ70">
        <v>0.56000000000000005</v>
      </c>
      <c r="AR70">
        <v>0.41</v>
      </c>
      <c r="AS70">
        <v>0</v>
      </c>
      <c r="AT70">
        <v>0.06</v>
      </c>
      <c r="AV70">
        <v>8.64</v>
      </c>
      <c r="AW70">
        <v>23.9</v>
      </c>
      <c r="AX70">
        <v>37.15</v>
      </c>
      <c r="AY70">
        <v>23.09</v>
      </c>
      <c r="AZ70">
        <v>4.51</v>
      </c>
      <c r="BA70">
        <v>2.74</v>
      </c>
      <c r="BB70">
        <v>17.899999999999999</v>
      </c>
      <c r="BC70">
        <v>20.059999999999999</v>
      </c>
      <c r="BD70">
        <v>7.68</v>
      </c>
      <c r="BE70">
        <v>31.58</v>
      </c>
      <c r="BF70">
        <v>34.46</v>
      </c>
      <c r="BG70">
        <v>28.56</v>
      </c>
      <c r="BH70">
        <v>43.92</v>
      </c>
      <c r="BI70">
        <v>82.9</v>
      </c>
      <c r="BJ70">
        <v>24.38</v>
      </c>
      <c r="BK70">
        <v>22.27</v>
      </c>
      <c r="BL70">
        <v>23.33</v>
      </c>
      <c r="BM70">
        <v>14.78</v>
      </c>
      <c r="BO70">
        <v>33.15</v>
      </c>
    </row>
    <row r="71" spans="1:68">
      <c r="A71" s="30"/>
      <c r="B71" s="31" t="s">
        <v>330</v>
      </c>
      <c r="C71" s="30" t="s">
        <v>331</v>
      </c>
      <c r="D71" s="35" t="s">
        <v>332</v>
      </c>
      <c r="E71" s="35" t="s">
        <v>76</v>
      </c>
      <c r="F71" s="35">
        <v>30022</v>
      </c>
      <c r="G71" s="35" t="s">
        <v>333</v>
      </c>
      <c r="H71">
        <v>14</v>
      </c>
      <c r="I71" s="47" t="s">
        <v>295</v>
      </c>
      <c r="J71">
        <v>24</v>
      </c>
      <c r="K71">
        <v>92.88</v>
      </c>
      <c r="L71">
        <v>0.89</v>
      </c>
      <c r="M71">
        <v>0.15</v>
      </c>
      <c r="N71">
        <v>4.28</v>
      </c>
      <c r="O71">
        <v>1.1000000000000001</v>
      </c>
      <c r="P71">
        <v>0.03</v>
      </c>
      <c r="Q71">
        <v>0.01</v>
      </c>
      <c r="R71">
        <v>0.2</v>
      </c>
      <c r="T71">
        <v>0.04</v>
      </c>
      <c r="U71">
        <v>7</v>
      </c>
      <c r="W71">
        <v>6.2</v>
      </c>
      <c r="X71">
        <v>0</v>
      </c>
      <c r="Y71">
        <v>0.1</v>
      </c>
      <c r="AA71">
        <v>0</v>
      </c>
      <c r="AI71">
        <v>19.149999999999999</v>
      </c>
      <c r="AJ71">
        <v>0.23</v>
      </c>
      <c r="AK71">
        <v>0.6</v>
      </c>
      <c r="AL71">
        <v>14</v>
      </c>
      <c r="AN71">
        <v>32</v>
      </c>
      <c r="AO71">
        <v>139</v>
      </c>
      <c r="AQ71">
        <v>0.5</v>
      </c>
    </row>
    <row r="72" spans="1:68">
      <c r="A72" s="30"/>
      <c r="B72" s="31" t="s">
        <v>334</v>
      </c>
      <c r="C72" s="30" t="s">
        <v>335</v>
      </c>
      <c r="D72" s="35" t="s">
        <v>200</v>
      </c>
      <c r="E72" s="35" t="s">
        <v>76</v>
      </c>
      <c r="F72" s="35">
        <v>170004</v>
      </c>
      <c r="G72" s="35" t="s">
        <v>336</v>
      </c>
      <c r="H72">
        <v>3</v>
      </c>
      <c r="I72" s="47" t="s">
        <v>291</v>
      </c>
      <c r="J72">
        <v>26.29</v>
      </c>
      <c r="K72">
        <v>85.52</v>
      </c>
      <c r="L72">
        <v>1.98</v>
      </c>
      <c r="M72">
        <v>0.35</v>
      </c>
      <c r="N72">
        <v>3.48</v>
      </c>
      <c r="O72">
        <v>7.69</v>
      </c>
      <c r="P72">
        <v>0.05</v>
      </c>
      <c r="Q72">
        <v>0.05</v>
      </c>
      <c r="R72">
        <v>0.19</v>
      </c>
      <c r="S72">
        <v>0.37</v>
      </c>
      <c r="T72">
        <v>0.04</v>
      </c>
      <c r="U72">
        <v>35.79</v>
      </c>
      <c r="W72">
        <v>17.510000000000002</v>
      </c>
      <c r="X72">
        <v>6.84</v>
      </c>
      <c r="Y72">
        <v>0.05</v>
      </c>
      <c r="AA72">
        <v>0</v>
      </c>
      <c r="AB72">
        <v>2</v>
      </c>
      <c r="AD72">
        <v>18</v>
      </c>
      <c r="AE72">
        <v>4.8600000000000003</v>
      </c>
      <c r="AH72">
        <v>2.92</v>
      </c>
      <c r="AI72">
        <v>45.74</v>
      </c>
      <c r="AJ72">
        <v>0.24</v>
      </c>
      <c r="AK72">
        <v>0.31</v>
      </c>
      <c r="AL72">
        <v>26.6</v>
      </c>
      <c r="AN72">
        <v>27.78</v>
      </c>
      <c r="AO72">
        <v>327</v>
      </c>
      <c r="AQ72">
        <v>0.17</v>
      </c>
      <c r="AR72">
        <v>0.05</v>
      </c>
      <c r="AS72">
        <v>0.12</v>
      </c>
      <c r="AT72">
        <v>0.14000000000000001</v>
      </c>
      <c r="AV72">
        <v>36.83</v>
      </c>
      <c r="AW72">
        <v>97.02</v>
      </c>
      <c r="AX72">
        <v>130.68</v>
      </c>
      <c r="AY72">
        <v>59.2</v>
      </c>
      <c r="AZ72">
        <v>15.64</v>
      </c>
      <c r="BA72">
        <v>12.87</v>
      </c>
      <c r="BB72">
        <v>78.41</v>
      </c>
      <c r="BC72">
        <v>82.37</v>
      </c>
      <c r="BD72">
        <v>10.49</v>
      </c>
      <c r="BE72">
        <v>111.87</v>
      </c>
      <c r="BF72">
        <v>121.37</v>
      </c>
      <c r="BG72">
        <v>72.86</v>
      </c>
      <c r="BH72">
        <v>435.4</v>
      </c>
      <c r="BI72">
        <v>210.28</v>
      </c>
      <c r="BJ72">
        <v>110.68</v>
      </c>
      <c r="BK72">
        <v>80.39</v>
      </c>
      <c r="BL72">
        <v>87.12</v>
      </c>
      <c r="BM72">
        <v>58.41</v>
      </c>
      <c r="BO72">
        <v>68.790000000000006</v>
      </c>
    </row>
    <row r="73" spans="1:68">
      <c r="A73" s="30"/>
      <c r="B73" s="31" t="s">
        <v>337</v>
      </c>
      <c r="C73" s="30" t="s">
        <v>338</v>
      </c>
      <c r="D73" s="35" t="s">
        <v>70</v>
      </c>
      <c r="E73" s="35" t="s">
        <v>76</v>
      </c>
      <c r="F73" s="35">
        <v>20002</v>
      </c>
      <c r="G73" s="35" t="s">
        <v>175</v>
      </c>
      <c r="H73">
        <v>13</v>
      </c>
      <c r="I73" s="47" t="s">
        <v>72</v>
      </c>
      <c r="J73">
        <v>350</v>
      </c>
      <c r="K73">
        <v>8.86</v>
      </c>
      <c r="L73">
        <v>20.36</v>
      </c>
      <c r="M73">
        <v>6.04</v>
      </c>
      <c r="N73">
        <v>44.78</v>
      </c>
      <c r="O73">
        <v>17.399999999999999</v>
      </c>
      <c r="P73">
        <v>0.3</v>
      </c>
      <c r="Q73">
        <v>0.27</v>
      </c>
      <c r="R73">
        <v>1.9</v>
      </c>
      <c r="S73">
        <v>2.38</v>
      </c>
      <c r="T73">
        <v>0.54</v>
      </c>
      <c r="U73">
        <v>186</v>
      </c>
      <c r="V73">
        <v>0</v>
      </c>
      <c r="X73">
        <v>0</v>
      </c>
      <c r="Y73">
        <v>2.88</v>
      </c>
      <c r="AA73">
        <v>0</v>
      </c>
      <c r="AB73">
        <v>3.33</v>
      </c>
      <c r="AC73">
        <v>0</v>
      </c>
      <c r="AD73">
        <v>40</v>
      </c>
      <c r="AI73">
        <v>203.08</v>
      </c>
      <c r="AJ73">
        <v>1.23</v>
      </c>
      <c r="AK73">
        <v>8.84</v>
      </c>
      <c r="AL73">
        <v>130</v>
      </c>
      <c r="AN73">
        <v>367.63</v>
      </c>
      <c r="AO73">
        <v>715.95</v>
      </c>
      <c r="AQ73">
        <v>2.68</v>
      </c>
      <c r="AR73">
        <v>0.45</v>
      </c>
      <c r="AS73">
        <v>0.89</v>
      </c>
      <c r="AT73">
        <v>2.34</v>
      </c>
      <c r="AV73">
        <v>560</v>
      </c>
      <c r="AW73">
        <v>874</v>
      </c>
      <c r="AX73">
        <v>1450</v>
      </c>
      <c r="AY73">
        <v>1362</v>
      </c>
      <c r="AZ73">
        <v>267</v>
      </c>
      <c r="BA73">
        <v>273</v>
      </c>
      <c r="BB73">
        <v>1091</v>
      </c>
      <c r="BC73">
        <v>755</v>
      </c>
      <c r="BD73">
        <v>195</v>
      </c>
      <c r="BE73">
        <v>854</v>
      </c>
      <c r="BF73">
        <v>874</v>
      </c>
      <c r="BG73">
        <v>1919</v>
      </c>
      <c r="BH73">
        <v>2395</v>
      </c>
      <c r="BI73">
        <v>3561</v>
      </c>
      <c r="BJ73">
        <v>847</v>
      </c>
      <c r="BK73">
        <v>841</v>
      </c>
      <c r="BL73">
        <v>1027</v>
      </c>
      <c r="BM73">
        <v>505</v>
      </c>
      <c r="BO73">
        <v>687</v>
      </c>
    </row>
    <row r="74" spans="1:68">
      <c r="A74" s="30"/>
      <c r="B74" s="31" t="s">
        <v>339</v>
      </c>
      <c r="C74" s="30" t="s">
        <v>340</v>
      </c>
      <c r="D74" s="35" t="s">
        <v>341</v>
      </c>
      <c r="E74" s="52" t="s">
        <v>122</v>
      </c>
      <c r="F74" s="35">
        <v>2346644</v>
      </c>
      <c r="G74" t="s">
        <v>342</v>
      </c>
      <c r="H74">
        <v>13</v>
      </c>
      <c r="I74" s="47" t="s">
        <v>295</v>
      </c>
    </row>
    <row r="75" spans="1:68">
      <c r="A75" s="30"/>
      <c r="B75" s="31" t="s">
        <v>343</v>
      </c>
      <c r="C75" s="30" t="s">
        <v>344</v>
      </c>
      <c r="D75" s="35" t="s">
        <v>345</v>
      </c>
      <c r="E75" s="35" t="s">
        <v>76</v>
      </c>
      <c r="F75" s="35">
        <v>30002</v>
      </c>
      <c r="G75" s="35" t="s">
        <v>343</v>
      </c>
      <c r="H75">
        <v>3</v>
      </c>
      <c r="I75" s="47" t="s">
        <v>295</v>
      </c>
      <c r="J75">
        <v>54</v>
      </c>
      <c r="K75">
        <v>84.98</v>
      </c>
      <c r="L75">
        <v>3.9</v>
      </c>
      <c r="M75">
        <v>0.1</v>
      </c>
      <c r="N75">
        <v>8.33</v>
      </c>
      <c r="O75">
        <v>2</v>
      </c>
      <c r="P75">
        <v>0.05</v>
      </c>
      <c r="Q75">
        <v>0.01</v>
      </c>
      <c r="S75">
        <v>0.42</v>
      </c>
      <c r="T75">
        <v>0.08</v>
      </c>
      <c r="U75">
        <v>60</v>
      </c>
      <c r="V75">
        <v>0</v>
      </c>
      <c r="W75">
        <v>8.74</v>
      </c>
      <c r="X75">
        <v>1.41</v>
      </c>
      <c r="Y75">
        <v>0.06</v>
      </c>
      <c r="AA75">
        <v>0</v>
      </c>
      <c r="AB75">
        <v>31.99</v>
      </c>
      <c r="AC75">
        <v>1.25</v>
      </c>
      <c r="AD75">
        <v>383.25</v>
      </c>
      <c r="AE75">
        <v>98.51</v>
      </c>
      <c r="AH75">
        <v>2.67</v>
      </c>
      <c r="AI75">
        <v>44.1</v>
      </c>
      <c r="AJ75">
        <v>0.02</v>
      </c>
      <c r="AK75">
        <v>1.1000000000000001</v>
      </c>
      <c r="AL75">
        <v>24.75</v>
      </c>
      <c r="AN75">
        <v>34</v>
      </c>
      <c r="AO75">
        <v>220</v>
      </c>
      <c r="AQ75">
        <v>0.48</v>
      </c>
      <c r="AR75">
        <v>0.27</v>
      </c>
      <c r="AS75">
        <v>0.05</v>
      </c>
      <c r="AT75">
        <v>0.43</v>
      </c>
      <c r="AV75">
        <v>92.38</v>
      </c>
      <c r="AW75">
        <v>113.26</v>
      </c>
      <c r="AX75">
        <v>237.67</v>
      </c>
      <c r="AY75">
        <v>191.62</v>
      </c>
      <c r="AZ75">
        <v>41.76</v>
      </c>
      <c r="BA75">
        <v>17.73</v>
      </c>
      <c r="BB75">
        <v>146.72</v>
      </c>
      <c r="BC75">
        <v>126.7</v>
      </c>
      <c r="BD75">
        <v>25.17</v>
      </c>
      <c r="BE75">
        <v>129.84</v>
      </c>
      <c r="BF75">
        <v>160.72999999999999</v>
      </c>
      <c r="BG75">
        <v>173.6</v>
      </c>
      <c r="BH75">
        <v>339.77</v>
      </c>
      <c r="BI75">
        <v>459.6</v>
      </c>
      <c r="BJ75">
        <v>136.13999999999999</v>
      </c>
      <c r="BK75">
        <v>133.85</v>
      </c>
      <c r="BL75">
        <v>157.30000000000001</v>
      </c>
      <c r="BM75">
        <v>80.94</v>
      </c>
      <c r="BO75">
        <v>17.329999999999998</v>
      </c>
    </row>
    <row r="76" spans="1:68">
      <c r="A76" s="30"/>
      <c r="B76" s="31" t="s">
        <v>346</v>
      </c>
      <c r="C76" s="30" t="s">
        <v>347</v>
      </c>
      <c r="D76" s="35" t="s">
        <v>341</v>
      </c>
      <c r="E76" s="35" t="s">
        <v>82</v>
      </c>
      <c r="F76" s="35" t="s">
        <v>348</v>
      </c>
      <c r="G76" s="35" t="s">
        <v>349</v>
      </c>
      <c r="H76">
        <v>2</v>
      </c>
      <c r="I76" s="47" t="s">
        <v>72</v>
      </c>
      <c r="J76">
        <v>299.24</v>
      </c>
      <c r="K76">
        <v>9.8699999999999992</v>
      </c>
      <c r="L76">
        <v>19.91</v>
      </c>
      <c r="M76">
        <v>1.77</v>
      </c>
      <c r="N76">
        <v>48.61</v>
      </c>
      <c r="O76">
        <v>16.57</v>
      </c>
      <c r="P76">
        <v>0.3</v>
      </c>
      <c r="Q76">
        <v>0.19</v>
      </c>
      <c r="R76">
        <v>2.42</v>
      </c>
      <c r="S76">
        <v>1.82</v>
      </c>
      <c r="T76">
        <v>0.21</v>
      </c>
      <c r="U76">
        <v>316</v>
      </c>
      <c r="W76" t="s">
        <v>85</v>
      </c>
      <c r="Y76">
        <v>7.0000000000000007E-2</v>
      </c>
      <c r="Z76">
        <v>4.9000000000000004</v>
      </c>
      <c r="AA76" t="s">
        <v>85</v>
      </c>
      <c r="AC76" t="s">
        <v>85</v>
      </c>
      <c r="AD76">
        <v>1.6</v>
      </c>
      <c r="AE76">
        <v>6.76</v>
      </c>
      <c r="AF76" t="s">
        <v>85</v>
      </c>
      <c r="AG76" t="s">
        <v>85</v>
      </c>
      <c r="AH76" t="s">
        <v>85</v>
      </c>
      <c r="AI76">
        <v>126</v>
      </c>
      <c r="AJ76">
        <v>0.78</v>
      </c>
      <c r="AK76">
        <v>6.13</v>
      </c>
      <c r="AL76">
        <v>173</v>
      </c>
      <c r="AM76">
        <v>1.24</v>
      </c>
      <c r="AN76">
        <v>409</v>
      </c>
      <c r="AO76">
        <v>1324</v>
      </c>
      <c r="AP76">
        <v>22.45</v>
      </c>
      <c r="AQ76">
        <v>2.69</v>
      </c>
      <c r="AR76">
        <v>0.25600000000000001</v>
      </c>
      <c r="AS76">
        <v>8.7800000000000003E-2</v>
      </c>
      <c r="AT76">
        <v>0.93100000000000005</v>
      </c>
      <c r="AU76" t="s">
        <v>85</v>
      </c>
      <c r="AV76">
        <v>2.7</v>
      </c>
      <c r="AW76">
        <v>4.2300000000000004</v>
      </c>
      <c r="AX76">
        <v>7.78</v>
      </c>
      <c r="AY76">
        <v>6.71</v>
      </c>
      <c r="AZ76">
        <v>0.88</v>
      </c>
      <c r="BA76">
        <v>0.7</v>
      </c>
      <c r="BB76">
        <v>5.9</v>
      </c>
      <c r="BC76">
        <v>4.18</v>
      </c>
      <c r="BD76">
        <v>1.05</v>
      </c>
      <c r="BE76">
        <v>5.07</v>
      </c>
      <c r="BF76">
        <v>4.57</v>
      </c>
      <c r="BG76">
        <v>6.1</v>
      </c>
      <c r="BH76">
        <v>10.5</v>
      </c>
      <c r="BI76">
        <v>16.010000000000002</v>
      </c>
      <c r="BJ76">
        <v>3.78</v>
      </c>
      <c r="BK76">
        <v>3.4</v>
      </c>
      <c r="BL76">
        <v>5.74</v>
      </c>
      <c r="BM76">
        <v>3.12</v>
      </c>
      <c r="BN76">
        <v>360</v>
      </c>
      <c r="BO76">
        <v>465</v>
      </c>
      <c r="BP76">
        <v>41.44</v>
      </c>
    </row>
    <row r="77" spans="1:68">
      <c r="A77" s="30"/>
      <c r="B77" s="31" t="s">
        <v>350</v>
      </c>
      <c r="C77" s="30" t="s">
        <v>351</v>
      </c>
      <c r="D77" s="35" t="s">
        <v>352</v>
      </c>
      <c r="E77" s="35" t="s">
        <v>76</v>
      </c>
      <c r="F77" s="35">
        <v>30029</v>
      </c>
      <c r="G77" s="35" t="s">
        <v>353</v>
      </c>
      <c r="H77">
        <v>13</v>
      </c>
      <c r="I77" s="47" t="s">
        <v>197</v>
      </c>
      <c r="J77">
        <v>77</v>
      </c>
      <c r="K77">
        <v>78.91</v>
      </c>
      <c r="L77">
        <v>1.95</v>
      </c>
      <c r="M77">
        <v>0.3</v>
      </c>
      <c r="N77">
        <v>15.54</v>
      </c>
      <c r="O77">
        <v>2.2999999999999998</v>
      </c>
      <c r="P77">
        <v>0.09</v>
      </c>
      <c r="Q77">
        <v>0.06</v>
      </c>
      <c r="R77">
        <v>0.7</v>
      </c>
      <c r="S77">
        <v>0.26</v>
      </c>
      <c r="T77">
        <v>0.3</v>
      </c>
      <c r="U77">
        <v>22</v>
      </c>
      <c r="V77">
        <v>0</v>
      </c>
      <c r="W77">
        <v>7.26</v>
      </c>
      <c r="X77">
        <v>1.29</v>
      </c>
      <c r="Y77">
        <v>0.14000000000000001</v>
      </c>
      <c r="AA77">
        <v>0</v>
      </c>
      <c r="AB77">
        <v>56.33</v>
      </c>
      <c r="AC77">
        <v>438</v>
      </c>
      <c r="AD77">
        <v>457</v>
      </c>
      <c r="AE77">
        <v>28.9</v>
      </c>
      <c r="AH77">
        <v>3.45</v>
      </c>
      <c r="AI77">
        <v>22</v>
      </c>
      <c r="AJ77">
        <v>0.08</v>
      </c>
      <c r="AK77">
        <v>0.6</v>
      </c>
      <c r="AL77">
        <v>28.45</v>
      </c>
      <c r="AN77">
        <v>20.51</v>
      </c>
      <c r="AO77">
        <v>241.59</v>
      </c>
      <c r="AQ77">
        <v>0.14000000000000001</v>
      </c>
      <c r="AR77">
        <v>0.06</v>
      </c>
      <c r="AS77">
        <v>0.02</v>
      </c>
      <c r="AT77">
        <v>0.11</v>
      </c>
      <c r="AV77">
        <v>28.91</v>
      </c>
      <c r="AW77">
        <v>30.56</v>
      </c>
      <c r="AX77">
        <v>58.76</v>
      </c>
      <c r="AY77">
        <v>43.66</v>
      </c>
      <c r="AZ77">
        <v>9.44</v>
      </c>
      <c r="BA77">
        <v>7.91</v>
      </c>
      <c r="BB77">
        <v>62.78</v>
      </c>
      <c r="BC77">
        <v>34.57</v>
      </c>
      <c r="BD77">
        <v>8.02</v>
      </c>
      <c r="BE77">
        <v>65.02</v>
      </c>
      <c r="BF77">
        <v>70.09</v>
      </c>
      <c r="BG77">
        <v>52.63</v>
      </c>
      <c r="BH77">
        <v>170.27</v>
      </c>
      <c r="BI77">
        <v>241.07</v>
      </c>
      <c r="BJ77">
        <v>45.19</v>
      </c>
      <c r="BK77">
        <v>37.049999999999997</v>
      </c>
      <c r="BL77">
        <v>52.51</v>
      </c>
      <c r="BM77">
        <v>24.66</v>
      </c>
      <c r="BO77">
        <v>40.44</v>
      </c>
    </row>
    <row r="78" spans="1:68">
      <c r="A78" s="30"/>
      <c r="B78" s="31" t="s">
        <v>354</v>
      </c>
      <c r="C78" s="30" t="s">
        <v>355</v>
      </c>
      <c r="D78" s="35" t="s">
        <v>356</v>
      </c>
      <c r="E78" s="35" t="s">
        <v>76</v>
      </c>
      <c r="F78" s="35">
        <v>30021</v>
      </c>
      <c r="G78" s="35" t="s">
        <v>357</v>
      </c>
      <c r="H78">
        <v>13</v>
      </c>
      <c r="I78" s="47" t="s">
        <v>295</v>
      </c>
      <c r="J78">
        <v>24</v>
      </c>
      <c r="K78">
        <v>93.39</v>
      </c>
      <c r="L78">
        <v>0.5</v>
      </c>
      <c r="M78">
        <v>0.3</v>
      </c>
      <c r="N78">
        <v>4.51</v>
      </c>
      <c r="O78">
        <v>0.8</v>
      </c>
      <c r="P78">
        <v>0.04</v>
      </c>
      <c r="Q78">
        <v>0.06</v>
      </c>
      <c r="R78">
        <v>0.8</v>
      </c>
      <c r="S78">
        <v>0.22</v>
      </c>
      <c r="T78">
        <v>0.04</v>
      </c>
      <c r="U78">
        <v>16.25</v>
      </c>
      <c r="V78">
        <v>0</v>
      </c>
      <c r="W78">
        <v>18.77</v>
      </c>
      <c r="X78">
        <v>2.96</v>
      </c>
      <c r="Y78">
        <v>0.01</v>
      </c>
      <c r="AA78">
        <v>0</v>
      </c>
      <c r="AD78">
        <v>61.29</v>
      </c>
      <c r="AE78">
        <v>39.25</v>
      </c>
      <c r="AH78">
        <v>4.54</v>
      </c>
      <c r="AI78">
        <v>31.28</v>
      </c>
      <c r="AJ78">
        <v>0.18</v>
      </c>
      <c r="AK78">
        <v>0.38</v>
      </c>
      <c r="AL78">
        <v>17.14</v>
      </c>
      <c r="AN78">
        <v>27.86</v>
      </c>
      <c r="AO78">
        <v>154.71</v>
      </c>
      <c r="AQ78">
        <v>0.32</v>
      </c>
      <c r="AR78">
        <v>0.1</v>
      </c>
      <c r="AS78">
        <v>0</v>
      </c>
      <c r="AT78">
        <v>0.1</v>
      </c>
      <c r="AV78">
        <v>13.07</v>
      </c>
      <c r="AW78">
        <v>35.15</v>
      </c>
      <c r="AX78">
        <v>44.79</v>
      </c>
      <c r="AY78">
        <v>39.64</v>
      </c>
      <c r="AZ78">
        <v>7.99</v>
      </c>
      <c r="BA78">
        <v>5.13</v>
      </c>
      <c r="BB78">
        <v>33.24</v>
      </c>
      <c r="BC78">
        <v>28.27</v>
      </c>
      <c r="BD78">
        <v>5.0199999999999996</v>
      </c>
      <c r="BE78">
        <v>44.09</v>
      </c>
      <c r="BF78">
        <v>52.06</v>
      </c>
      <c r="BG78">
        <v>43.01</v>
      </c>
      <c r="BH78">
        <v>80.73</v>
      </c>
      <c r="BI78">
        <v>164.94</v>
      </c>
      <c r="BJ78">
        <v>36.99</v>
      </c>
      <c r="BK78">
        <v>31.64</v>
      </c>
      <c r="BL78">
        <v>37.58</v>
      </c>
      <c r="BM78">
        <v>22.68</v>
      </c>
      <c r="BO78">
        <v>13.1</v>
      </c>
    </row>
    <row r="79" spans="1:68">
      <c r="A79" s="30"/>
      <c r="B79" s="31" t="s">
        <v>358</v>
      </c>
      <c r="C79" s="30" t="s">
        <v>359</v>
      </c>
      <c r="D79" s="35" t="s">
        <v>360</v>
      </c>
      <c r="E79" s="35" t="s">
        <v>76</v>
      </c>
      <c r="F79" s="35">
        <v>30032</v>
      </c>
      <c r="G79" s="35" t="s">
        <v>361</v>
      </c>
      <c r="H79">
        <v>13</v>
      </c>
      <c r="I79" s="47" t="s">
        <v>295</v>
      </c>
      <c r="J79">
        <v>16</v>
      </c>
      <c r="K79">
        <v>94.3</v>
      </c>
      <c r="L79">
        <v>0.9</v>
      </c>
      <c r="M79">
        <v>0.2</v>
      </c>
      <c r="N79">
        <v>1.6</v>
      </c>
      <c r="O79">
        <v>2.2000000000000002</v>
      </c>
      <c r="P79">
        <v>0.02</v>
      </c>
      <c r="Q79">
        <v>0.03</v>
      </c>
      <c r="R79">
        <v>0.22</v>
      </c>
      <c r="S79">
        <v>0.5</v>
      </c>
      <c r="T79">
        <v>7.0000000000000007E-2</v>
      </c>
      <c r="U79">
        <v>25.32</v>
      </c>
      <c r="V79">
        <v>0</v>
      </c>
      <c r="W79">
        <v>5.8</v>
      </c>
      <c r="X79">
        <v>0.14000000000000001</v>
      </c>
      <c r="Y79">
        <v>0.09</v>
      </c>
      <c r="AB79">
        <v>4</v>
      </c>
      <c r="AD79">
        <v>2.2999999999999998</v>
      </c>
      <c r="AE79">
        <v>99.6</v>
      </c>
      <c r="AH79">
        <v>1.96</v>
      </c>
      <c r="AI79">
        <v>40</v>
      </c>
      <c r="AJ79">
        <v>0.08</v>
      </c>
      <c r="AK79">
        <v>0.6</v>
      </c>
      <c r="AL79">
        <v>20</v>
      </c>
      <c r="AN79">
        <v>31</v>
      </c>
      <c r="AO79">
        <v>414</v>
      </c>
      <c r="AQ79">
        <v>0.2</v>
      </c>
      <c r="AR79">
        <v>7.0000000000000007E-2</v>
      </c>
      <c r="AS79">
        <v>0.01</v>
      </c>
      <c r="AT79">
        <v>0.11</v>
      </c>
      <c r="AV79">
        <v>21.57</v>
      </c>
      <c r="AW79">
        <v>38.770000000000003</v>
      </c>
      <c r="AX79">
        <v>65.52</v>
      </c>
      <c r="AY79">
        <v>30.3</v>
      </c>
      <c r="AZ79">
        <v>10.92</v>
      </c>
      <c r="BA79">
        <v>7.28</v>
      </c>
      <c r="BB79">
        <v>37.67</v>
      </c>
      <c r="BC79">
        <v>38.4</v>
      </c>
      <c r="BD79">
        <v>6.64</v>
      </c>
      <c r="BE79">
        <v>54.24</v>
      </c>
      <c r="BF79">
        <v>67.069999999999993</v>
      </c>
      <c r="BG79">
        <v>42.77</v>
      </c>
      <c r="BH79">
        <v>107.74</v>
      </c>
      <c r="BI79">
        <v>107.74</v>
      </c>
      <c r="BJ79">
        <v>60.88</v>
      </c>
      <c r="BK79">
        <v>37.67</v>
      </c>
      <c r="BL79">
        <v>44.95</v>
      </c>
      <c r="BM79">
        <v>28.03</v>
      </c>
      <c r="BO79">
        <v>26.49</v>
      </c>
    </row>
    <row r="80" spans="1:68">
      <c r="A80" s="30"/>
      <c r="B80" s="31" t="s">
        <v>358</v>
      </c>
      <c r="C80" s="30" t="s">
        <v>359</v>
      </c>
      <c r="D80" s="35" t="s">
        <v>360</v>
      </c>
      <c r="E80" s="35" t="s">
        <v>76</v>
      </c>
      <c r="F80" s="35">
        <v>50002</v>
      </c>
      <c r="G80" s="35" t="s">
        <v>362</v>
      </c>
      <c r="H80">
        <v>13</v>
      </c>
      <c r="I80" s="47" t="s">
        <v>295</v>
      </c>
      <c r="J80">
        <v>101</v>
      </c>
      <c r="K80">
        <v>71.89</v>
      </c>
      <c r="L80">
        <v>2.16</v>
      </c>
      <c r="M80">
        <v>0.17</v>
      </c>
      <c r="N80">
        <v>20.65</v>
      </c>
      <c r="O80">
        <v>4.0999999999999996</v>
      </c>
      <c r="P80">
        <v>0.15</v>
      </c>
      <c r="Q80">
        <v>0.03</v>
      </c>
      <c r="R80">
        <v>0.7</v>
      </c>
      <c r="T80">
        <v>0.28000000000000003</v>
      </c>
      <c r="U80">
        <v>22</v>
      </c>
      <c r="V80">
        <v>0</v>
      </c>
      <c r="W80">
        <v>6.2</v>
      </c>
      <c r="X80">
        <v>0</v>
      </c>
      <c r="Y80">
        <v>2.38</v>
      </c>
      <c r="AA80">
        <v>0</v>
      </c>
      <c r="AI80">
        <v>40</v>
      </c>
      <c r="AJ80">
        <v>0.17</v>
      </c>
      <c r="AK80">
        <v>0.93</v>
      </c>
      <c r="AL80">
        <v>33</v>
      </c>
      <c r="AN80">
        <v>33</v>
      </c>
      <c r="AO80">
        <v>591</v>
      </c>
      <c r="AQ80">
        <v>0.23</v>
      </c>
      <c r="AV80">
        <v>67.19</v>
      </c>
      <c r="AW80">
        <v>101.29</v>
      </c>
      <c r="AX80">
        <v>210.52</v>
      </c>
      <c r="AY80">
        <v>130.08000000000001</v>
      </c>
      <c r="AZ80">
        <v>25.49</v>
      </c>
      <c r="BA80">
        <v>46.01</v>
      </c>
      <c r="BB80">
        <v>172.78</v>
      </c>
      <c r="BC80">
        <v>112.54</v>
      </c>
      <c r="BD80">
        <v>38.4</v>
      </c>
      <c r="BE80">
        <v>177.75</v>
      </c>
      <c r="BF80">
        <v>0.16</v>
      </c>
      <c r="BG80">
        <v>0.25</v>
      </c>
      <c r="BH80">
        <v>0.42</v>
      </c>
      <c r="BI80">
        <v>0.47</v>
      </c>
      <c r="BJ80">
        <v>0.15</v>
      </c>
      <c r="BK80">
        <v>0.13</v>
      </c>
      <c r="BL80">
        <v>0.14000000000000001</v>
      </c>
      <c r="BM80">
        <v>128.76</v>
      </c>
    </row>
    <row r="81" spans="1:68" s="58" customFormat="1">
      <c r="A81" s="55"/>
      <c r="B81" s="56" t="s">
        <v>363</v>
      </c>
      <c r="C81" s="55" t="s">
        <v>364</v>
      </c>
      <c r="D81" s="57" t="s">
        <v>365</v>
      </c>
      <c r="E81" s="57"/>
      <c r="F81" s="57"/>
      <c r="G81" s="57"/>
      <c r="H81" s="58">
        <v>2</v>
      </c>
      <c r="I81" s="61" t="s">
        <v>295</v>
      </c>
    </row>
    <row r="82" spans="1:68">
      <c r="A82" s="30"/>
      <c r="B82" s="31" t="s">
        <v>366</v>
      </c>
      <c r="C82" s="30" t="s">
        <v>367</v>
      </c>
      <c r="D82" s="35" t="s">
        <v>360</v>
      </c>
      <c r="E82" s="35" t="s">
        <v>76</v>
      </c>
      <c r="F82" s="35">
        <v>50001</v>
      </c>
      <c r="G82" s="35" t="s">
        <v>368</v>
      </c>
      <c r="H82">
        <v>10</v>
      </c>
      <c r="I82" s="47" t="s">
        <v>197</v>
      </c>
      <c r="J82">
        <v>97</v>
      </c>
      <c r="K82">
        <v>72.900000000000006</v>
      </c>
      <c r="L82">
        <v>2.1</v>
      </c>
      <c r="M82">
        <v>0.2</v>
      </c>
      <c r="N82">
        <v>20.2</v>
      </c>
      <c r="O82">
        <v>3.2</v>
      </c>
      <c r="P82">
        <v>0.1</v>
      </c>
      <c r="Q82">
        <v>0.03</v>
      </c>
      <c r="R82">
        <v>0.51</v>
      </c>
      <c r="S82">
        <v>0.12</v>
      </c>
      <c r="T82">
        <v>0.17</v>
      </c>
      <c r="U82">
        <v>22</v>
      </c>
      <c r="V82">
        <v>0</v>
      </c>
      <c r="W82">
        <v>6</v>
      </c>
      <c r="X82">
        <v>0.27</v>
      </c>
      <c r="Y82">
        <v>0.33</v>
      </c>
      <c r="AA82">
        <v>0</v>
      </c>
      <c r="AB82">
        <v>4</v>
      </c>
      <c r="AD82">
        <v>35</v>
      </c>
      <c r="AE82">
        <v>5.87</v>
      </c>
      <c r="AH82">
        <v>2.0699999999999998</v>
      </c>
      <c r="AI82">
        <v>31</v>
      </c>
      <c r="AJ82">
        <v>0.3</v>
      </c>
      <c r="AK82">
        <v>0.7</v>
      </c>
      <c r="AL82">
        <v>37</v>
      </c>
      <c r="AN82">
        <v>81</v>
      </c>
      <c r="AO82">
        <v>514</v>
      </c>
      <c r="AQ82">
        <v>0.41</v>
      </c>
      <c r="AR82">
        <v>0.04</v>
      </c>
      <c r="AS82">
        <v>0.02</v>
      </c>
      <c r="AT82" t="s">
        <v>369</v>
      </c>
      <c r="AV82">
        <v>67.19</v>
      </c>
      <c r="AW82">
        <v>101.29</v>
      </c>
      <c r="AX82">
        <v>210.52</v>
      </c>
      <c r="AY82">
        <v>130.08000000000001</v>
      </c>
      <c r="AZ82">
        <v>25.49</v>
      </c>
      <c r="BA82">
        <v>46.01</v>
      </c>
      <c r="BB82">
        <v>172.78</v>
      </c>
      <c r="BC82">
        <v>112.54</v>
      </c>
      <c r="BD82">
        <v>38.4</v>
      </c>
      <c r="BE82">
        <v>177.75</v>
      </c>
      <c r="BF82">
        <v>0.16</v>
      </c>
      <c r="BG82">
        <v>0.25</v>
      </c>
      <c r="BH82">
        <v>0.42</v>
      </c>
      <c r="BI82">
        <v>0.47</v>
      </c>
      <c r="BJ82">
        <v>0.15</v>
      </c>
      <c r="BK82">
        <v>0.13</v>
      </c>
      <c r="BL82">
        <v>0.14000000000000001</v>
      </c>
      <c r="BM82">
        <v>128.76</v>
      </c>
      <c r="BO82">
        <v>13.57</v>
      </c>
    </row>
    <row r="83" spans="1:68" s="58" customFormat="1">
      <c r="A83" s="55"/>
      <c r="B83" s="56" t="s">
        <v>370</v>
      </c>
      <c r="C83" s="55" t="s">
        <v>371</v>
      </c>
      <c r="D83" s="62" t="s">
        <v>372</v>
      </c>
      <c r="E83" s="57"/>
      <c r="F83" s="57"/>
      <c r="G83" s="57"/>
      <c r="H83" s="58">
        <v>2</v>
      </c>
      <c r="I83" s="61" t="s">
        <v>207</v>
      </c>
    </row>
    <row r="84" spans="1:68">
      <c r="A84" s="30"/>
      <c r="B84" s="31" t="s">
        <v>373</v>
      </c>
      <c r="C84" s="30" t="s">
        <v>374</v>
      </c>
      <c r="D84" s="35" t="s">
        <v>365</v>
      </c>
      <c r="E84" s="35" t="s">
        <v>76</v>
      </c>
      <c r="F84" s="35">
        <v>50004</v>
      </c>
      <c r="G84" s="35" t="s">
        <v>375</v>
      </c>
      <c r="H84">
        <v>2</v>
      </c>
      <c r="I84" s="47" t="s">
        <v>197</v>
      </c>
      <c r="J84">
        <v>82</v>
      </c>
      <c r="K84">
        <v>76.69</v>
      </c>
      <c r="L84">
        <v>1.46</v>
      </c>
      <c r="M84">
        <v>0.19</v>
      </c>
      <c r="N84">
        <v>16.559999999999999</v>
      </c>
      <c r="O84">
        <v>4.0999999999999996</v>
      </c>
      <c r="P84">
        <v>0.09</v>
      </c>
      <c r="Q84">
        <v>0.03</v>
      </c>
      <c r="R84">
        <v>0.7</v>
      </c>
      <c r="T84">
        <v>0.28000000000000003</v>
      </c>
      <c r="U84">
        <v>22</v>
      </c>
      <c r="W84">
        <v>6.6</v>
      </c>
      <c r="X84">
        <v>0</v>
      </c>
      <c r="Y84">
        <v>2.38</v>
      </c>
      <c r="AA84">
        <v>0</v>
      </c>
      <c r="AI84">
        <v>46</v>
      </c>
      <c r="AJ84">
        <v>0.17</v>
      </c>
      <c r="AK84">
        <v>0.98</v>
      </c>
      <c r="AL84">
        <v>33</v>
      </c>
      <c r="AN84">
        <v>72</v>
      </c>
      <c r="AO84">
        <v>591</v>
      </c>
      <c r="AQ84">
        <v>0.23</v>
      </c>
    </row>
    <row r="85" spans="1:68">
      <c r="A85" s="30"/>
      <c r="B85" s="31" t="s">
        <v>376</v>
      </c>
      <c r="C85" s="30" t="s">
        <v>377</v>
      </c>
      <c r="D85" s="35" t="s">
        <v>378</v>
      </c>
      <c r="E85" s="35" t="s">
        <v>76</v>
      </c>
      <c r="F85" s="35">
        <v>50010</v>
      </c>
      <c r="G85" s="35" t="s">
        <v>379</v>
      </c>
      <c r="H85">
        <v>13</v>
      </c>
      <c r="I85" s="47" t="s">
        <v>197</v>
      </c>
      <c r="J85">
        <v>97</v>
      </c>
      <c r="K85">
        <v>73.069999999999993</v>
      </c>
      <c r="L85">
        <v>1.53</v>
      </c>
      <c r="M85">
        <v>0.17</v>
      </c>
      <c r="N85">
        <v>20.309999999999999</v>
      </c>
      <c r="O85">
        <v>4.0999999999999996</v>
      </c>
      <c r="P85">
        <v>0.11</v>
      </c>
      <c r="Q85">
        <v>0.03</v>
      </c>
      <c r="R85">
        <v>0.55000000000000004</v>
      </c>
      <c r="S85">
        <v>0.42</v>
      </c>
      <c r="T85">
        <v>0.28999999999999998</v>
      </c>
      <c r="U85">
        <v>23</v>
      </c>
      <c r="V85">
        <v>0</v>
      </c>
      <c r="W85">
        <v>12.78</v>
      </c>
      <c r="X85">
        <v>0.9</v>
      </c>
      <c r="Y85">
        <v>0.46</v>
      </c>
      <c r="AA85">
        <v>0</v>
      </c>
      <c r="AB85">
        <v>2.5</v>
      </c>
      <c r="AD85">
        <v>188</v>
      </c>
      <c r="AE85">
        <v>150.80000000000001</v>
      </c>
      <c r="AH85">
        <v>6.78</v>
      </c>
      <c r="AI85">
        <v>17</v>
      </c>
      <c r="AJ85">
        <v>0.18</v>
      </c>
      <c r="AK85">
        <v>0.8</v>
      </c>
      <c r="AL85">
        <v>17.09</v>
      </c>
      <c r="AN85">
        <v>34.9</v>
      </c>
      <c r="AO85">
        <v>352.54</v>
      </c>
      <c r="AQ85">
        <v>0.34</v>
      </c>
      <c r="AR85">
        <v>0.05</v>
      </c>
      <c r="AS85">
        <v>0.01</v>
      </c>
      <c r="AT85">
        <v>0.1</v>
      </c>
      <c r="AV85">
        <v>70.45</v>
      </c>
      <c r="AW85">
        <v>90.67</v>
      </c>
      <c r="AX85">
        <v>163.12</v>
      </c>
      <c r="AY85">
        <v>90.15</v>
      </c>
      <c r="AZ85">
        <v>36.01</v>
      </c>
      <c r="BA85">
        <v>43.99</v>
      </c>
      <c r="BB85">
        <v>149.5</v>
      </c>
      <c r="BC85">
        <v>98.48</v>
      </c>
      <c r="BD85">
        <v>28.98</v>
      </c>
      <c r="BE85">
        <v>142.63999999999999</v>
      </c>
      <c r="BF85">
        <v>155.91999999999999</v>
      </c>
      <c r="BG85">
        <v>222.56</v>
      </c>
      <c r="BH85">
        <v>301.95</v>
      </c>
      <c r="BI85">
        <v>414.31</v>
      </c>
      <c r="BJ85">
        <v>120.69</v>
      </c>
      <c r="BK85">
        <v>128.41</v>
      </c>
      <c r="BL85">
        <v>158.26</v>
      </c>
      <c r="BM85">
        <v>83.3</v>
      </c>
      <c r="BO85">
        <v>59</v>
      </c>
      <c r="BP85">
        <v>15</v>
      </c>
    </row>
    <row r="86" spans="1:68">
      <c r="A86" s="30"/>
      <c r="B86" s="31" t="s">
        <v>380</v>
      </c>
      <c r="C86" s="30" t="s">
        <v>381</v>
      </c>
      <c r="D86" s="35" t="s">
        <v>382</v>
      </c>
      <c r="E86" s="35" t="s">
        <v>76</v>
      </c>
      <c r="F86" s="35">
        <v>170006</v>
      </c>
      <c r="G86" s="35" t="s">
        <v>383</v>
      </c>
      <c r="H86">
        <v>13</v>
      </c>
      <c r="I86" s="47" t="s">
        <v>295</v>
      </c>
      <c r="J86">
        <v>21.27</v>
      </c>
      <c r="K86">
        <v>89.14</v>
      </c>
      <c r="L86">
        <v>1.47</v>
      </c>
      <c r="M86">
        <v>0.63</v>
      </c>
      <c r="N86">
        <v>2.15</v>
      </c>
      <c r="O86">
        <v>5.25</v>
      </c>
      <c r="P86">
        <v>0.02</v>
      </c>
      <c r="Q86">
        <v>0.02</v>
      </c>
      <c r="R86">
        <v>0.28000000000000003</v>
      </c>
      <c r="S86">
        <v>0.35</v>
      </c>
      <c r="T86">
        <v>0.13</v>
      </c>
      <c r="U86">
        <v>49.27</v>
      </c>
      <c r="W86">
        <v>6.49</v>
      </c>
      <c r="X86">
        <v>1.29</v>
      </c>
      <c r="Y86">
        <v>0.19</v>
      </c>
      <c r="AD86">
        <v>35.36</v>
      </c>
      <c r="AI86">
        <v>34.06</v>
      </c>
      <c r="AJ86">
        <v>0.1</v>
      </c>
      <c r="AK86">
        <v>0.4</v>
      </c>
      <c r="AL86">
        <v>39.76</v>
      </c>
      <c r="AN86">
        <v>47.31</v>
      </c>
      <c r="AO86">
        <v>488</v>
      </c>
      <c r="AQ86">
        <v>0.42</v>
      </c>
      <c r="AR86">
        <v>0.27</v>
      </c>
      <c r="AS86">
        <v>0.03</v>
      </c>
      <c r="AT86">
        <v>0.2</v>
      </c>
      <c r="BO86">
        <v>2.52</v>
      </c>
    </row>
    <row r="87" spans="1:68">
      <c r="A87" s="30"/>
      <c r="B87" s="31" t="s">
        <v>384</v>
      </c>
      <c r="C87" s="30" t="s">
        <v>385</v>
      </c>
      <c r="D87" s="35" t="s">
        <v>382</v>
      </c>
      <c r="E87" s="35" t="s">
        <v>82</v>
      </c>
      <c r="F87" s="35" t="s">
        <v>386</v>
      </c>
      <c r="G87" s="35" t="s">
        <v>387</v>
      </c>
      <c r="H87">
        <v>2</v>
      </c>
      <c r="I87" s="47" t="s">
        <v>295</v>
      </c>
      <c r="J87">
        <v>39.44</v>
      </c>
      <c r="K87">
        <v>87.53</v>
      </c>
      <c r="L87">
        <v>0.35</v>
      </c>
      <c r="M87">
        <v>0.16</v>
      </c>
      <c r="N87">
        <v>8.64</v>
      </c>
      <c r="O87">
        <v>2.12</v>
      </c>
      <c r="P87">
        <v>0.02</v>
      </c>
      <c r="Q87">
        <v>0.02</v>
      </c>
      <c r="R87">
        <v>0.18</v>
      </c>
      <c r="S87">
        <v>0.24</v>
      </c>
      <c r="T87">
        <v>0.14000000000000001</v>
      </c>
      <c r="U87">
        <v>12.85</v>
      </c>
      <c r="W87">
        <v>3.77</v>
      </c>
      <c r="Y87">
        <v>0.02</v>
      </c>
      <c r="Z87">
        <v>2.5</v>
      </c>
      <c r="AA87" t="s">
        <v>85</v>
      </c>
      <c r="AC87" t="s">
        <v>85</v>
      </c>
      <c r="AD87">
        <v>2.39</v>
      </c>
      <c r="AE87">
        <v>26.3</v>
      </c>
      <c r="AF87" t="s">
        <v>85</v>
      </c>
      <c r="AG87" t="s">
        <v>85</v>
      </c>
      <c r="AH87">
        <v>3.68</v>
      </c>
      <c r="AI87">
        <v>11.24</v>
      </c>
      <c r="AJ87">
        <v>0.04</v>
      </c>
      <c r="AK87">
        <v>0.26</v>
      </c>
      <c r="AL87">
        <v>32.82</v>
      </c>
      <c r="AM87">
        <v>0.1</v>
      </c>
      <c r="AN87">
        <v>16.309999999999999</v>
      </c>
      <c r="AO87">
        <v>373</v>
      </c>
      <c r="AP87">
        <v>0.45</v>
      </c>
      <c r="AQ87">
        <v>0.14000000000000001</v>
      </c>
      <c r="AR87">
        <v>2.75E-2</v>
      </c>
      <c r="AS87">
        <v>2.7100000000000002E-3</v>
      </c>
      <c r="AT87">
        <v>2.8500000000000001E-2</v>
      </c>
      <c r="AU87" t="s">
        <v>85</v>
      </c>
      <c r="AV87">
        <v>1.91</v>
      </c>
      <c r="AW87">
        <v>4.92</v>
      </c>
      <c r="AX87">
        <v>4.59</v>
      </c>
      <c r="AY87">
        <v>2.99</v>
      </c>
      <c r="AZ87">
        <v>1.57</v>
      </c>
      <c r="BA87">
        <v>0.99</v>
      </c>
      <c r="BB87">
        <v>4.5</v>
      </c>
      <c r="BC87">
        <v>4.8600000000000003</v>
      </c>
      <c r="BD87">
        <v>0.67</v>
      </c>
      <c r="BE87">
        <v>5.84</v>
      </c>
      <c r="BF87">
        <v>7.68</v>
      </c>
      <c r="BG87">
        <v>3.84</v>
      </c>
      <c r="BH87">
        <v>10.82</v>
      </c>
      <c r="BI87">
        <v>20.16</v>
      </c>
      <c r="BJ87">
        <v>4.0599999999999996</v>
      </c>
      <c r="BK87">
        <v>4.8899999999999997</v>
      </c>
      <c r="BL87">
        <v>5.0599999999999996</v>
      </c>
      <c r="BM87">
        <v>2.83</v>
      </c>
      <c r="BN87">
        <v>12.24</v>
      </c>
      <c r="BO87">
        <v>15.33</v>
      </c>
      <c r="BP87">
        <v>213</v>
      </c>
    </row>
    <row r="88" spans="1:68">
      <c r="A88" s="30"/>
      <c r="B88" s="31" t="s">
        <v>388</v>
      </c>
      <c r="C88" s="30" t="s">
        <v>389</v>
      </c>
      <c r="D88" s="34" t="s">
        <v>360</v>
      </c>
      <c r="E88" s="35" t="s">
        <v>76</v>
      </c>
      <c r="F88" s="35">
        <v>50003</v>
      </c>
      <c r="G88" s="35" t="s">
        <v>390</v>
      </c>
      <c r="H88">
        <v>13</v>
      </c>
      <c r="I88" s="47" t="s">
        <v>197</v>
      </c>
      <c r="J88">
        <v>74</v>
      </c>
      <c r="K88">
        <v>78.7</v>
      </c>
      <c r="L88">
        <v>1.2</v>
      </c>
      <c r="M88">
        <v>0.12</v>
      </c>
      <c r="N88">
        <v>15.08</v>
      </c>
      <c r="O88">
        <v>4.0999999999999996</v>
      </c>
      <c r="P88">
        <v>0.06</v>
      </c>
      <c r="Q88">
        <v>7.0000000000000007E-2</v>
      </c>
      <c r="R88">
        <v>0.7</v>
      </c>
      <c r="T88">
        <v>0.28000000000000003</v>
      </c>
      <c r="U88">
        <v>22</v>
      </c>
      <c r="W88">
        <v>4.5</v>
      </c>
      <c r="X88">
        <v>0</v>
      </c>
      <c r="Y88">
        <v>1.43</v>
      </c>
      <c r="AA88">
        <v>0</v>
      </c>
      <c r="AI88">
        <v>50</v>
      </c>
      <c r="AJ88">
        <v>0.17</v>
      </c>
      <c r="AK88">
        <v>0.6</v>
      </c>
      <c r="AL88">
        <v>33</v>
      </c>
      <c r="AN88">
        <v>84</v>
      </c>
      <c r="AO88">
        <v>591</v>
      </c>
      <c r="AQ88">
        <v>0.23</v>
      </c>
    </row>
    <row r="89" spans="1:68">
      <c r="A89" s="30"/>
      <c r="B89" s="31" t="s">
        <v>391</v>
      </c>
      <c r="C89" s="30" t="s">
        <v>392</v>
      </c>
      <c r="D89" s="35" t="s">
        <v>393</v>
      </c>
      <c r="E89" s="35" t="s">
        <v>76</v>
      </c>
      <c r="F89" s="35">
        <v>30014</v>
      </c>
      <c r="G89" s="35" t="s">
        <v>394</v>
      </c>
      <c r="H89">
        <v>13</v>
      </c>
      <c r="I89" s="47" t="s">
        <v>295</v>
      </c>
      <c r="J89">
        <v>43</v>
      </c>
      <c r="K89">
        <v>85.15</v>
      </c>
      <c r="L89">
        <v>2.85</v>
      </c>
      <c r="M89">
        <v>0.2</v>
      </c>
      <c r="N89">
        <v>5.0999999999999996</v>
      </c>
      <c r="O89">
        <v>4.8</v>
      </c>
      <c r="P89">
        <v>0.04</v>
      </c>
      <c r="Q89">
        <v>0.04</v>
      </c>
      <c r="R89">
        <v>0.6</v>
      </c>
      <c r="S89">
        <v>0.56999999999999995</v>
      </c>
      <c r="T89">
        <v>0.12</v>
      </c>
      <c r="U89">
        <v>44</v>
      </c>
      <c r="V89">
        <v>0</v>
      </c>
      <c r="W89">
        <v>69.87</v>
      </c>
      <c r="X89">
        <v>1.67</v>
      </c>
      <c r="AA89">
        <v>0</v>
      </c>
      <c r="AB89">
        <v>25.92</v>
      </c>
      <c r="AD89">
        <v>311</v>
      </c>
      <c r="AE89">
        <v>145</v>
      </c>
      <c r="AH89">
        <v>5.52</v>
      </c>
      <c r="AI89">
        <v>23.83</v>
      </c>
      <c r="AJ89">
        <v>0.01</v>
      </c>
      <c r="AK89">
        <v>0.18</v>
      </c>
      <c r="AL89">
        <v>28</v>
      </c>
      <c r="AN89">
        <v>110</v>
      </c>
      <c r="AO89">
        <v>259</v>
      </c>
      <c r="AQ89">
        <v>0.16</v>
      </c>
      <c r="AR89">
        <v>0.03</v>
      </c>
      <c r="AS89">
        <v>0.05</v>
      </c>
      <c r="AT89">
        <v>0.03</v>
      </c>
      <c r="AV89">
        <v>51.09</v>
      </c>
      <c r="AW89">
        <v>80.7</v>
      </c>
      <c r="AX89">
        <v>156.68</v>
      </c>
      <c r="AY89">
        <v>80.959999999999994</v>
      </c>
      <c r="AZ89">
        <v>28.82</v>
      </c>
      <c r="BA89">
        <v>23.32</v>
      </c>
      <c r="BB89">
        <v>89.87</v>
      </c>
      <c r="BC89">
        <v>100.35</v>
      </c>
      <c r="BD89">
        <v>13.89</v>
      </c>
      <c r="BE89">
        <v>131.52000000000001</v>
      </c>
      <c r="BF89">
        <v>148.82</v>
      </c>
      <c r="BG89">
        <v>286.37</v>
      </c>
      <c r="BH89">
        <v>246.8</v>
      </c>
      <c r="BI89">
        <v>610.46</v>
      </c>
      <c r="BJ89">
        <v>102.44</v>
      </c>
      <c r="BK89">
        <v>88.03</v>
      </c>
      <c r="BL89">
        <v>120.52</v>
      </c>
      <c r="BM89">
        <v>56.59</v>
      </c>
      <c r="BO89">
        <v>85.74</v>
      </c>
    </row>
    <row r="90" spans="1:68">
      <c r="A90" s="30"/>
      <c r="B90" s="31" t="s">
        <v>395</v>
      </c>
      <c r="C90" s="30" t="s">
        <v>396</v>
      </c>
      <c r="D90" s="35" t="s">
        <v>397</v>
      </c>
      <c r="E90" s="35" t="s">
        <v>76</v>
      </c>
      <c r="F90" s="35">
        <v>30033</v>
      </c>
      <c r="G90" s="35" t="s">
        <v>398</v>
      </c>
      <c r="H90">
        <v>13</v>
      </c>
      <c r="I90" s="47" t="s">
        <v>295</v>
      </c>
      <c r="J90">
        <v>21</v>
      </c>
      <c r="K90">
        <v>93.6</v>
      </c>
      <c r="L90">
        <v>1.6</v>
      </c>
      <c r="M90">
        <v>0.1</v>
      </c>
      <c r="N90">
        <v>2.6</v>
      </c>
      <c r="O90">
        <v>1.5</v>
      </c>
      <c r="P90">
        <v>7.0000000000000007E-2</v>
      </c>
      <c r="Q90">
        <v>0.04</v>
      </c>
      <c r="R90">
        <v>0.5</v>
      </c>
      <c r="S90">
        <v>0.3</v>
      </c>
      <c r="T90">
        <v>7.0000000000000007E-2</v>
      </c>
      <c r="U90">
        <v>9</v>
      </c>
      <c r="V90">
        <v>0</v>
      </c>
      <c r="W90">
        <v>30.6</v>
      </c>
      <c r="X90">
        <v>1.04</v>
      </c>
      <c r="Y90">
        <v>0.05</v>
      </c>
      <c r="AA90">
        <v>0</v>
      </c>
      <c r="AB90">
        <v>3</v>
      </c>
      <c r="AD90">
        <v>32.33</v>
      </c>
      <c r="AE90">
        <v>38.9</v>
      </c>
      <c r="AF90">
        <v>35.97</v>
      </c>
      <c r="AH90">
        <v>2.48</v>
      </c>
      <c r="AI90">
        <v>16</v>
      </c>
      <c r="AJ90">
        <v>0.06</v>
      </c>
      <c r="AK90">
        <v>1.1000000000000001</v>
      </c>
      <c r="AL90">
        <v>13</v>
      </c>
      <c r="AN90">
        <v>22</v>
      </c>
      <c r="AO90">
        <v>225</v>
      </c>
      <c r="AQ90">
        <v>0.19</v>
      </c>
      <c r="AR90">
        <v>0.05</v>
      </c>
      <c r="AS90">
        <v>0.04</v>
      </c>
      <c r="AT90">
        <v>0.11</v>
      </c>
      <c r="AV90">
        <v>25.31</v>
      </c>
      <c r="AW90">
        <v>30.13</v>
      </c>
      <c r="AX90">
        <v>40.54</v>
      </c>
      <c r="AY90">
        <v>48.72</v>
      </c>
      <c r="AZ90">
        <v>11.31</v>
      </c>
      <c r="BA90">
        <v>8.9600000000000009</v>
      </c>
      <c r="BB90">
        <v>38.86</v>
      </c>
      <c r="BC90">
        <v>29.34</v>
      </c>
      <c r="BD90">
        <v>8.18</v>
      </c>
      <c r="BE90">
        <v>34.61</v>
      </c>
      <c r="BF90">
        <v>27.55</v>
      </c>
      <c r="BG90">
        <v>44.02</v>
      </c>
      <c r="BH90">
        <v>122.53</v>
      </c>
      <c r="BI90">
        <v>339.25</v>
      </c>
      <c r="BJ90">
        <v>37.520000000000003</v>
      </c>
      <c r="BK90">
        <v>26.54</v>
      </c>
      <c r="BL90">
        <v>42.11</v>
      </c>
      <c r="BM90">
        <v>25.42</v>
      </c>
      <c r="BO90">
        <v>1.08</v>
      </c>
    </row>
    <row r="91" spans="1:68">
      <c r="A91" s="30"/>
      <c r="B91" s="31" t="s">
        <v>399</v>
      </c>
      <c r="C91" s="30" t="s">
        <v>396</v>
      </c>
      <c r="D91" s="35" t="s">
        <v>397</v>
      </c>
      <c r="E91" s="35" t="s">
        <v>76</v>
      </c>
      <c r="F91" s="35">
        <v>30034</v>
      </c>
      <c r="G91" s="35" t="s">
        <v>400</v>
      </c>
      <c r="H91">
        <v>13</v>
      </c>
      <c r="I91" s="47" t="s">
        <v>295</v>
      </c>
      <c r="J91">
        <v>16</v>
      </c>
      <c r="K91">
        <v>95.01</v>
      </c>
      <c r="L91">
        <v>1.1000000000000001</v>
      </c>
      <c r="M91">
        <v>0.2</v>
      </c>
      <c r="N91">
        <v>1.4</v>
      </c>
      <c r="O91">
        <v>1.7</v>
      </c>
      <c r="P91">
        <v>0.04</v>
      </c>
      <c r="Q91">
        <v>0.04</v>
      </c>
      <c r="R91">
        <v>0.52</v>
      </c>
      <c r="S91">
        <v>0.19</v>
      </c>
      <c r="T91">
        <v>0.05</v>
      </c>
      <c r="U91">
        <v>15</v>
      </c>
      <c r="V91">
        <v>0</v>
      </c>
      <c r="W91">
        <v>12.29</v>
      </c>
      <c r="X91">
        <v>9.5299999999999994</v>
      </c>
      <c r="Y91">
        <v>0.25</v>
      </c>
      <c r="AB91">
        <v>13</v>
      </c>
      <c r="AC91">
        <v>101</v>
      </c>
      <c r="AD91">
        <v>103.85</v>
      </c>
      <c r="AE91">
        <v>1266</v>
      </c>
      <c r="AF91">
        <v>2108.5</v>
      </c>
      <c r="AH91">
        <v>14.24</v>
      </c>
      <c r="AI91">
        <v>12.95</v>
      </c>
      <c r="AJ91">
        <v>0.97</v>
      </c>
      <c r="AK91">
        <v>0.2</v>
      </c>
      <c r="AL91">
        <v>7</v>
      </c>
      <c r="AN91">
        <v>17</v>
      </c>
      <c r="AO91">
        <v>156</v>
      </c>
      <c r="AQ91">
        <v>0.12</v>
      </c>
      <c r="AR91">
        <v>0.06</v>
      </c>
      <c r="AS91">
        <v>0.04</v>
      </c>
      <c r="AT91">
        <v>0.16</v>
      </c>
      <c r="AV91">
        <v>23.7</v>
      </c>
      <c r="AW91">
        <v>20.67</v>
      </c>
      <c r="AX91">
        <v>36.89</v>
      </c>
      <c r="AY91">
        <v>20.25</v>
      </c>
      <c r="AZ91">
        <v>5.6</v>
      </c>
      <c r="BA91">
        <v>7.84</v>
      </c>
      <c r="BB91">
        <v>36.69</v>
      </c>
      <c r="BC91">
        <v>21.7</v>
      </c>
      <c r="BD91">
        <v>4.8099999999999996</v>
      </c>
      <c r="BE91">
        <v>24.9</v>
      </c>
      <c r="BF91">
        <v>37.06</v>
      </c>
      <c r="BG91">
        <v>19.05</v>
      </c>
      <c r="BH91">
        <v>111.93</v>
      </c>
      <c r="BI91">
        <v>318.26</v>
      </c>
      <c r="BJ91">
        <v>31.13</v>
      </c>
      <c r="BK91">
        <v>22</v>
      </c>
      <c r="BL91">
        <v>29.34</v>
      </c>
      <c r="BM91">
        <v>22.16</v>
      </c>
      <c r="BO91">
        <v>2.4900000000000002</v>
      </c>
      <c r="BP91">
        <v>4</v>
      </c>
    </row>
    <row r="92" spans="1:68">
      <c r="A92" s="30"/>
      <c r="B92" s="31" t="s">
        <v>401</v>
      </c>
      <c r="C92" s="30" t="s">
        <v>402</v>
      </c>
      <c r="D92" s="35" t="s">
        <v>403</v>
      </c>
      <c r="E92" s="35" t="s">
        <v>76</v>
      </c>
      <c r="F92" s="35">
        <v>30017</v>
      </c>
      <c r="G92" s="35" t="s">
        <v>404</v>
      </c>
      <c r="H92">
        <v>13</v>
      </c>
      <c r="I92" s="47" t="s">
        <v>295</v>
      </c>
      <c r="J92">
        <v>31</v>
      </c>
      <c r="K92">
        <v>90.36</v>
      </c>
      <c r="L92">
        <v>2.06</v>
      </c>
      <c r="M92">
        <v>0.34</v>
      </c>
      <c r="N92">
        <v>3.59</v>
      </c>
      <c r="O92">
        <v>2.6</v>
      </c>
      <c r="P92">
        <v>0.05</v>
      </c>
      <c r="Q92">
        <v>0.03</v>
      </c>
      <c r="R92">
        <v>0.4</v>
      </c>
      <c r="S92">
        <v>0.21</v>
      </c>
      <c r="U92">
        <v>45</v>
      </c>
      <c r="V92">
        <v>0</v>
      </c>
      <c r="W92">
        <v>90.63</v>
      </c>
      <c r="X92">
        <v>1.88</v>
      </c>
      <c r="Y92">
        <v>0.03</v>
      </c>
      <c r="AA92">
        <v>0</v>
      </c>
      <c r="AB92">
        <v>23.79</v>
      </c>
      <c r="AC92">
        <v>95</v>
      </c>
      <c r="AD92">
        <v>237.97</v>
      </c>
      <c r="AI92">
        <v>15.98</v>
      </c>
      <c r="AJ92">
        <v>0.27</v>
      </c>
      <c r="AK92">
        <v>1.78</v>
      </c>
      <c r="AL92">
        <v>31.25</v>
      </c>
      <c r="AN92">
        <v>19.72</v>
      </c>
      <c r="AO92">
        <v>182.04</v>
      </c>
      <c r="AQ92">
        <v>0.35</v>
      </c>
      <c r="AR92">
        <v>0.14000000000000001</v>
      </c>
      <c r="AS92">
        <v>0.01</v>
      </c>
      <c r="AT92">
        <v>0.05</v>
      </c>
      <c r="AV92">
        <v>50.71</v>
      </c>
      <c r="AW92">
        <v>69.59</v>
      </c>
      <c r="AX92">
        <v>107.02</v>
      </c>
      <c r="AY92">
        <v>93.49</v>
      </c>
      <c r="AZ92">
        <v>22.68</v>
      </c>
      <c r="BA92">
        <v>13.48</v>
      </c>
      <c r="BB92">
        <v>42.49</v>
      </c>
      <c r="BC92">
        <v>68.91</v>
      </c>
      <c r="BD92">
        <v>19.559999999999999</v>
      </c>
      <c r="BE92">
        <v>96.17</v>
      </c>
      <c r="BF92">
        <v>74.61</v>
      </c>
      <c r="BG92">
        <v>193.45</v>
      </c>
      <c r="BH92">
        <v>115.92</v>
      </c>
      <c r="BI92">
        <v>127.21</v>
      </c>
      <c r="BJ92">
        <v>78.11</v>
      </c>
      <c r="BK92">
        <v>68.86</v>
      </c>
      <c r="BL92">
        <v>62.2</v>
      </c>
      <c r="BM92">
        <v>68.430000000000007</v>
      </c>
      <c r="BO92">
        <v>13.64</v>
      </c>
    </row>
    <row r="93" spans="1:68">
      <c r="A93" s="30"/>
      <c r="B93" s="31" t="s">
        <v>405</v>
      </c>
      <c r="C93" s="31" t="s">
        <v>406</v>
      </c>
      <c r="D93" s="37" t="s">
        <v>407</v>
      </c>
      <c r="E93" s="52" t="s">
        <v>103</v>
      </c>
      <c r="F93" s="35">
        <v>16133</v>
      </c>
      <c r="G93" s="35" t="s">
        <v>408</v>
      </c>
      <c r="H93">
        <v>13</v>
      </c>
      <c r="I93" s="47" t="s">
        <v>295</v>
      </c>
    </row>
    <row r="94" spans="1:68">
      <c r="A94" s="30"/>
      <c r="B94" s="31" t="s">
        <v>409</v>
      </c>
      <c r="C94" s="31" t="s">
        <v>410</v>
      </c>
      <c r="D94" s="35" t="s">
        <v>411</v>
      </c>
      <c r="E94" s="35" t="s">
        <v>76</v>
      </c>
      <c r="F94" s="35">
        <v>30007</v>
      </c>
      <c r="G94" s="35" t="s">
        <v>412</v>
      </c>
      <c r="H94">
        <v>13</v>
      </c>
      <c r="I94" s="47" t="s">
        <v>295</v>
      </c>
      <c r="J94">
        <v>22</v>
      </c>
      <c r="K94">
        <v>92.88</v>
      </c>
      <c r="L94">
        <v>1.6</v>
      </c>
      <c r="M94">
        <v>0.3</v>
      </c>
      <c r="N94">
        <v>1.8</v>
      </c>
      <c r="O94">
        <v>3.1</v>
      </c>
      <c r="P94">
        <v>0.06</v>
      </c>
      <c r="Q94">
        <v>0.05</v>
      </c>
      <c r="S94">
        <v>0.45</v>
      </c>
      <c r="T94">
        <v>0.13</v>
      </c>
      <c r="U94">
        <v>43</v>
      </c>
      <c r="V94">
        <v>0</v>
      </c>
      <c r="W94">
        <v>15.89</v>
      </c>
      <c r="X94">
        <v>1</v>
      </c>
      <c r="Y94">
        <v>0.05</v>
      </c>
      <c r="AA94">
        <v>0</v>
      </c>
      <c r="AB94">
        <v>6</v>
      </c>
      <c r="AC94">
        <v>33</v>
      </c>
      <c r="AD94">
        <v>59</v>
      </c>
      <c r="AE94">
        <v>3.98</v>
      </c>
      <c r="AI94">
        <v>42</v>
      </c>
      <c r="AJ94">
        <v>0.03</v>
      </c>
      <c r="AK94">
        <v>0.4</v>
      </c>
      <c r="AL94">
        <v>15</v>
      </c>
      <c r="AN94">
        <v>30</v>
      </c>
      <c r="AO94">
        <v>233</v>
      </c>
      <c r="AQ94">
        <v>0.38</v>
      </c>
      <c r="AR94">
        <v>0.05</v>
      </c>
      <c r="AS94">
        <v>0.03</v>
      </c>
      <c r="AT94">
        <v>0.09</v>
      </c>
      <c r="AV94">
        <v>21.22</v>
      </c>
      <c r="AW94">
        <v>48.42</v>
      </c>
      <c r="AX94">
        <v>72.22</v>
      </c>
      <c r="AY94">
        <v>42.43</v>
      </c>
      <c r="AZ94">
        <v>14.42</v>
      </c>
      <c r="BA94">
        <v>12.24</v>
      </c>
      <c r="BB94">
        <v>34.82</v>
      </c>
      <c r="BC94">
        <v>51.14</v>
      </c>
      <c r="BD94">
        <v>12.65</v>
      </c>
      <c r="BE94">
        <v>65.69</v>
      </c>
      <c r="BF94">
        <v>85.14</v>
      </c>
      <c r="BG94">
        <v>62.15</v>
      </c>
      <c r="BH94">
        <v>143.62</v>
      </c>
      <c r="BI94">
        <v>344.08</v>
      </c>
      <c r="BJ94">
        <v>44.06</v>
      </c>
      <c r="BK94">
        <v>54.13</v>
      </c>
      <c r="BL94">
        <v>54.67</v>
      </c>
      <c r="BM94">
        <v>28.7</v>
      </c>
      <c r="BO94">
        <v>11.77</v>
      </c>
    </row>
    <row r="95" spans="1:68">
      <c r="A95" s="30"/>
      <c r="B95" s="31" t="s">
        <v>413</v>
      </c>
      <c r="C95" s="31" t="s">
        <v>414</v>
      </c>
      <c r="D95" s="35" t="s">
        <v>415</v>
      </c>
      <c r="E95" s="35" t="s">
        <v>76</v>
      </c>
      <c r="F95" s="35">
        <v>30023</v>
      </c>
      <c r="G95" s="35" t="s">
        <v>416</v>
      </c>
      <c r="H95">
        <v>2</v>
      </c>
      <c r="I95" s="47" t="s">
        <v>295</v>
      </c>
      <c r="J95">
        <v>61</v>
      </c>
      <c r="K95">
        <v>83.68</v>
      </c>
      <c r="L95">
        <v>1.91</v>
      </c>
      <c r="M95">
        <v>0.47</v>
      </c>
      <c r="N95">
        <v>11.77</v>
      </c>
      <c r="O95">
        <v>1.1000000000000001</v>
      </c>
      <c r="P95">
        <v>0.08</v>
      </c>
      <c r="Q95">
        <v>0.06</v>
      </c>
      <c r="R95">
        <v>0.5</v>
      </c>
      <c r="T95">
        <v>0.04</v>
      </c>
      <c r="U95">
        <v>16.25</v>
      </c>
      <c r="W95">
        <v>142.80000000000001</v>
      </c>
      <c r="X95">
        <v>0</v>
      </c>
      <c r="Y95">
        <v>0.23</v>
      </c>
      <c r="AA95">
        <v>0</v>
      </c>
      <c r="AB95">
        <v>13.58</v>
      </c>
      <c r="AC95">
        <v>0</v>
      </c>
      <c r="AD95">
        <v>163</v>
      </c>
      <c r="AI95">
        <v>27.28</v>
      </c>
      <c r="AJ95">
        <v>0.1</v>
      </c>
      <c r="AK95">
        <v>2.57</v>
      </c>
      <c r="AL95">
        <v>19.57</v>
      </c>
      <c r="AN95">
        <v>25.88</v>
      </c>
      <c r="AO95">
        <v>186.34</v>
      </c>
      <c r="AQ95">
        <v>0.48</v>
      </c>
    </row>
    <row r="96" spans="1:68" s="58" customFormat="1">
      <c r="A96" s="55"/>
      <c r="B96" s="56" t="s">
        <v>417</v>
      </c>
      <c r="C96" s="56" t="s">
        <v>418</v>
      </c>
      <c r="D96" s="57" t="s">
        <v>372</v>
      </c>
      <c r="E96" s="57"/>
      <c r="F96" s="57"/>
      <c r="G96" s="57"/>
      <c r="H96" s="58">
        <v>13</v>
      </c>
      <c r="I96" s="58" t="s">
        <v>197</v>
      </c>
    </row>
    <row r="97" spans="1:68" s="58" customFormat="1">
      <c r="A97" s="55"/>
      <c r="B97" s="56" t="s">
        <v>419</v>
      </c>
      <c r="C97" s="56" t="s">
        <v>420</v>
      </c>
      <c r="D97" s="57" t="s">
        <v>372</v>
      </c>
      <c r="E97" s="57"/>
      <c r="F97" s="57"/>
      <c r="G97" s="57"/>
      <c r="H97" s="58">
        <v>10</v>
      </c>
      <c r="I97" s="61" t="s">
        <v>295</v>
      </c>
    </row>
    <row r="98" spans="1:68" s="58" customFormat="1">
      <c r="A98" s="55"/>
      <c r="B98" s="56" t="s">
        <v>421</v>
      </c>
      <c r="C98" s="56" t="s">
        <v>422</v>
      </c>
      <c r="D98" s="57" t="s">
        <v>423</v>
      </c>
      <c r="E98" s="57"/>
      <c r="F98" s="57"/>
      <c r="G98" s="57"/>
      <c r="H98" s="58">
        <v>4</v>
      </c>
      <c r="I98" s="58" t="s">
        <v>207</v>
      </c>
    </row>
    <row r="99" spans="1:68">
      <c r="A99" s="30"/>
      <c r="B99" s="31" t="s">
        <v>424</v>
      </c>
      <c r="C99" s="31" t="s">
        <v>425</v>
      </c>
      <c r="D99" s="35" t="s">
        <v>426</v>
      </c>
      <c r="E99" s="35" t="s">
        <v>76</v>
      </c>
      <c r="F99" s="35">
        <v>60007</v>
      </c>
      <c r="G99" s="35" t="s">
        <v>427</v>
      </c>
      <c r="H99">
        <v>21</v>
      </c>
      <c r="I99" t="s">
        <v>202</v>
      </c>
      <c r="J99">
        <v>613</v>
      </c>
      <c r="K99">
        <v>3.9</v>
      </c>
      <c r="L99">
        <v>24.1</v>
      </c>
      <c r="M99">
        <v>47.8</v>
      </c>
      <c r="N99">
        <v>21.8</v>
      </c>
      <c r="O99">
        <v>3.1</v>
      </c>
      <c r="P99">
        <v>0.44</v>
      </c>
      <c r="Q99">
        <v>0.1</v>
      </c>
      <c r="R99">
        <v>11.35</v>
      </c>
      <c r="S99">
        <v>1.01</v>
      </c>
      <c r="T99">
        <v>0.23</v>
      </c>
      <c r="U99">
        <v>109</v>
      </c>
      <c r="V99">
        <v>0</v>
      </c>
      <c r="W99">
        <v>0</v>
      </c>
      <c r="X99">
        <v>6.14</v>
      </c>
      <c r="Y99">
        <v>0.28000000000000003</v>
      </c>
      <c r="AA99">
        <v>0</v>
      </c>
      <c r="AB99">
        <v>2</v>
      </c>
      <c r="AC99">
        <v>0</v>
      </c>
      <c r="AD99">
        <v>18.5</v>
      </c>
      <c r="AE99">
        <v>4.42</v>
      </c>
      <c r="AH99">
        <v>8.07</v>
      </c>
      <c r="AI99">
        <v>34</v>
      </c>
      <c r="AJ99">
        <v>0.92</v>
      </c>
      <c r="AK99">
        <v>2</v>
      </c>
      <c r="AL99">
        <v>197</v>
      </c>
      <c r="AN99">
        <v>391</v>
      </c>
      <c r="AO99">
        <v>679</v>
      </c>
      <c r="AQ99">
        <v>3.18</v>
      </c>
      <c r="AR99">
        <v>8.99</v>
      </c>
      <c r="AS99">
        <v>19.41</v>
      </c>
      <c r="AT99">
        <v>15.91</v>
      </c>
      <c r="AU99">
        <v>0</v>
      </c>
      <c r="AV99">
        <v>529.76</v>
      </c>
      <c r="AW99">
        <v>1104.46</v>
      </c>
      <c r="AX99">
        <v>1513.6</v>
      </c>
      <c r="AY99">
        <v>801.74</v>
      </c>
      <c r="AZ99">
        <v>286.17</v>
      </c>
      <c r="BA99">
        <v>314.55</v>
      </c>
      <c r="BB99">
        <v>1277.0999999999999</v>
      </c>
      <c r="BC99">
        <v>600.71</v>
      </c>
      <c r="BD99">
        <v>212.85</v>
      </c>
      <c r="BE99">
        <v>927.08</v>
      </c>
      <c r="BF99">
        <v>1000.4</v>
      </c>
      <c r="BG99">
        <v>2566.0300000000002</v>
      </c>
      <c r="BH99">
        <v>2762.32</v>
      </c>
      <c r="BI99">
        <v>4590.47</v>
      </c>
      <c r="BJ99">
        <v>1314.94</v>
      </c>
      <c r="BK99">
        <v>884.51</v>
      </c>
      <c r="BL99">
        <v>1194.33</v>
      </c>
      <c r="BM99">
        <v>912.89</v>
      </c>
    </row>
    <row r="100" spans="1:68" s="58" customFormat="1">
      <c r="A100" s="55"/>
      <c r="B100" s="56" t="s">
        <v>428</v>
      </c>
      <c r="C100" s="56" t="s">
        <v>429</v>
      </c>
      <c r="D100" s="57" t="s">
        <v>121</v>
      </c>
      <c r="E100" s="57"/>
      <c r="F100" s="57"/>
      <c r="G100" s="57"/>
      <c r="H100" s="58">
        <v>3</v>
      </c>
      <c r="I100" s="58" t="s">
        <v>78</v>
      </c>
    </row>
    <row r="101" spans="1:68">
      <c r="A101" s="30"/>
      <c r="B101" s="31" t="s">
        <v>430</v>
      </c>
      <c r="C101" s="31" t="s">
        <v>431</v>
      </c>
      <c r="D101" s="35" t="s">
        <v>341</v>
      </c>
      <c r="E101" s="35" t="s">
        <v>76</v>
      </c>
      <c r="F101" s="35">
        <v>30003</v>
      </c>
      <c r="G101" s="35" t="s">
        <v>432</v>
      </c>
      <c r="H101">
        <v>13</v>
      </c>
      <c r="I101" t="s">
        <v>72</v>
      </c>
      <c r="J101">
        <v>29</v>
      </c>
      <c r="K101">
        <v>90.02</v>
      </c>
      <c r="L101">
        <v>2.41</v>
      </c>
      <c r="M101">
        <v>0.11</v>
      </c>
      <c r="N101">
        <v>2.4900000000000002</v>
      </c>
      <c r="O101">
        <v>4.32</v>
      </c>
      <c r="P101">
        <v>0.08</v>
      </c>
      <c r="Q101">
        <v>0.09</v>
      </c>
      <c r="R101">
        <v>0.5</v>
      </c>
      <c r="T101">
        <v>0.06</v>
      </c>
      <c r="U101">
        <v>62</v>
      </c>
      <c r="W101">
        <v>9.6300000000000008</v>
      </c>
      <c r="X101">
        <v>0</v>
      </c>
      <c r="Y101">
        <v>0.51</v>
      </c>
      <c r="AA101">
        <v>0</v>
      </c>
      <c r="AB101">
        <v>18.95</v>
      </c>
      <c r="AC101">
        <v>49.59</v>
      </c>
      <c r="AD101">
        <v>202.59</v>
      </c>
      <c r="AI101">
        <v>70.010000000000005</v>
      </c>
      <c r="AJ101">
        <v>0.6</v>
      </c>
      <c r="AK101">
        <v>0.91</v>
      </c>
      <c r="AL101">
        <v>50.88</v>
      </c>
      <c r="AN101">
        <v>49</v>
      </c>
      <c r="AO101">
        <v>170.49</v>
      </c>
      <c r="AQ101">
        <v>0.37</v>
      </c>
      <c r="BP101">
        <v>25</v>
      </c>
    </row>
    <row r="102" spans="1:68">
      <c r="A102" s="30"/>
      <c r="B102" s="31" t="s">
        <v>433</v>
      </c>
      <c r="C102" s="31" t="s">
        <v>434</v>
      </c>
      <c r="D102" s="35" t="s">
        <v>298</v>
      </c>
      <c r="E102" s="35" t="s">
        <v>76</v>
      </c>
      <c r="F102" s="35">
        <v>30005</v>
      </c>
      <c r="G102" s="35" t="s">
        <v>299</v>
      </c>
      <c r="H102">
        <v>13</v>
      </c>
      <c r="I102" s="47" t="s">
        <v>295</v>
      </c>
      <c r="J102">
        <v>24</v>
      </c>
      <c r="K102">
        <v>91.35</v>
      </c>
      <c r="L102">
        <v>1.9</v>
      </c>
      <c r="M102">
        <v>0.06</v>
      </c>
      <c r="N102">
        <v>1.97</v>
      </c>
      <c r="O102">
        <v>4.0599999999999996</v>
      </c>
      <c r="P102">
        <v>0.03</v>
      </c>
      <c r="Q102">
        <v>7.0000000000000007E-2</v>
      </c>
      <c r="R102">
        <v>0.8</v>
      </c>
      <c r="S102">
        <v>0.31</v>
      </c>
      <c r="T102">
        <v>0.08</v>
      </c>
      <c r="U102">
        <v>34</v>
      </c>
      <c r="W102">
        <v>1.29</v>
      </c>
      <c r="X102">
        <v>0.9</v>
      </c>
      <c r="Y102">
        <v>0.1</v>
      </c>
      <c r="AA102">
        <v>0</v>
      </c>
      <c r="AB102">
        <v>3.79</v>
      </c>
      <c r="AC102">
        <v>0</v>
      </c>
      <c r="AD102">
        <v>45.44</v>
      </c>
      <c r="AE102">
        <v>144</v>
      </c>
      <c r="AH102">
        <v>3.21</v>
      </c>
      <c r="AI102">
        <v>21.11</v>
      </c>
      <c r="AJ102">
        <v>0.68</v>
      </c>
      <c r="AK102">
        <v>0.36</v>
      </c>
      <c r="AL102">
        <v>23.77</v>
      </c>
      <c r="AN102">
        <v>47</v>
      </c>
      <c r="AO102">
        <v>177.69</v>
      </c>
      <c r="AQ102">
        <v>0.56999999999999995</v>
      </c>
      <c r="AR102">
        <v>7.0000000000000007E-2</v>
      </c>
      <c r="AS102">
        <v>0.02</v>
      </c>
      <c r="AT102">
        <v>0.15</v>
      </c>
      <c r="AV102">
        <v>29.3</v>
      </c>
      <c r="AW102">
        <v>53.72</v>
      </c>
      <c r="AX102">
        <v>83.03</v>
      </c>
      <c r="AY102">
        <v>56.39</v>
      </c>
      <c r="AZ102">
        <v>12.14</v>
      </c>
      <c r="BA102">
        <v>10.51</v>
      </c>
      <c r="BB102">
        <v>69.56</v>
      </c>
      <c r="BC102">
        <v>43.81</v>
      </c>
      <c r="BD102">
        <v>11.84</v>
      </c>
      <c r="BE102">
        <v>68.08</v>
      </c>
      <c r="BF102">
        <v>79.48</v>
      </c>
      <c r="BG102">
        <v>74.3</v>
      </c>
      <c r="BH102">
        <v>236.95</v>
      </c>
      <c r="BI102">
        <v>305.18</v>
      </c>
      <c r="BJ102">
        <v>60.83</v>
      </c>
      <c r="BK102">
        <v>52.69</v>
      </c>
      <c r="BL102">
        <v>56.54</v>
      </c>
      <c r="BM102">
        <v>42.18</v>
      </c>
      <c r="BO102">
        <v>12.28</v>
      </c>
    </row>
    <row r="103" spans="1:68">
      <c r="A103" s="30"/>
      <c r="B103" s="31" t="s">
        <v>435</v>
      </c>
      <c r="C103" s="31" t="s">
        <v>436</v>
      </c>
      <c r="E103" s="35" t="s">
        <v>76</v>
      </c>
      <c r="F103" s="35">
        <v>60014</v>
      </c>
      <c r="G103" s="35" t="s">
        <v>437</v>
      </c>
      <c r="H103">
        <v>21</v>
      </c>
      <c r="I103" s="47" t="s">
        <v>295</v>
      </c>
      <c r="J103">
        <v>580</v>
      </c>
      <c r="K103">
        <v>6.28</v>
      </c>
      <c r="L103">
        <v>25.08</v>
      </c>
      <c r="M103">
        <v>47.28</v>
      </c>
      <c r="N103">
        <v>10.62</v>
      </c>
      <c r="O103">
        <v>6</v>
      </c>
      <c r="P103">
        <v>0.27</v>
      </c>
      <c r="Q103">
        <v>0.21</v>
      </c>
      <c r="R103">
        <v>3.34</v>
      </c>
      <c r="T103">
        <v>0.14000000000000001</v>
      </c>
      <c r="U103">
        <v>58</v>
      </c>
      <c r="V103">
        <v>0</v>
      </c>
      <c r="W103">
        <v>1.45</v>
      </c>
      <c r="X103">
        <v>0</v>
      </c>
      <c r="Y103">
        <v>2.1800000000000002</v>
      </c>
      <c r="AA103">
        <v>0</v>
      </c>
      <c r="AB103">
        <v>0.81</v>
      </c>
      <c r="AC103">
        <v>0.5</v>
      </c>
      <c r="AD103">
        <v>9</v>
      </c>
      <c r="AI103">
        <v>45</v>
      </c>
      <c r="AJ103">
        <v>1.46</v>
      </c>
      <c r="AK103">
        <v>8.11</v>
      </c>
      <c r="AL103">
        <v>431</v>
      </c>
      <c r="AN103">
        <v>1041.5</v>
      </c>
      <c r="AO103">
        <v>814.5</v>
      </c>
      <c r="AQ103">
        <v>7.21</v>
      </c>
      <c r="AR103">
        <v>8.57</v>
      </c>
      <c r="AS103">
        <v>26.54</v>
      </c>
      <c r="AT103">
        <v>21.71</v>
      </c>
    </row>
    <row r="104" spans="1:68">
      <c r="A104" s="30"/>
      <c r="B104" s="31" t="s">
        <v>438</v>
      </c>
      <c r="C104" s="31" t="s">
        <v>439</v>
      </c>
      <c r="D104" s="35" t="s">
        <v>440</v>
      </c>
      <c r="E104" s="35" t="s">
        <v>76</v>
      </c>
      <c r="F104" s="35">
        <v>30015</v>
      </c>
      <c r="G104" s="35" t="s">
        <v>441</v>
      </c>
      <c r="H104">
        <v>13</v>
      </c>
      <c r="I104" t="s">
        <v>78</v>
      </c>
      <c r="J104">
        <v>147</v>
      </c>
      <c r="K104">
        <v>61.63</v>
      </c>
      <c r="L104">
        <v>6.85</v>
      </c>
      <c r="M104">
        <v>0.55000000000000004</v>
      </c>
      <c r="N104">
        <v>27.62</v>
      </c>
      <c r="O104">
        <v>2.1</v>
      </c>
      <c r="P104">
        <v>0.13</v>
      </c>
      <c r="Q104">
        <v>0.12</v>
      </c>
      <c r="R104">
        <v>0.5</v>
      </c>
      <c r="S104">
        <v>1.69</v>
      </c>
      <c r="T104">
        <v>1.24</v>
      </c>
      <c r="U104">
        <v>4</v>
      </c>
      <c r="V104">
        <v>0</v>
      </c>
      <c r="W104">
        <v>24.1</v>
      </c>
      <c r="X104">
        <v>2.2400000000000002</v>
      </c>
      <c r="Y104">
        <v>0.08</v>
      </c>
      <c r="AA104">
        <v>0</v>
      </c>
      <c r="AB104">
        <v>0</v>
      </c>
      <c r="AC104">
        <v>0</v>
      </c>
      <c r="AD104">
        <v>0</v>
      </c>
      <c r="AE104">
        <v>4.5599999999999996</v>
      </c>
      <c r="AH104">
        <v>1.56</v>
      </c>
      <c r="AI104">
        <v>24.5</v>
      </c>
      <c r="AJ104">
        <v>0.18</v>
      </c>
      <c r="AK104">
        <v>1.63</v>
      </c>
      <c r="AL104">
        <v>25</v>
      </c>
      <c r="AN104">
        <v>161.5</v>
      </c>
      <c r="AO104">
        <v>510.5</v>
      </c>
      <c r="AQ104">
        <v>1.08</v>
      </c>
      <c r="AR104">
        <v>0.03</v>
      </c>
      <c r="AS104">
        <v>0.01</v>
      </c>
      <c r="AT104">
        <v>0.06</v>
      </c>
      <c r="AV104">
        <v>85.92</v>
      </c>
      <c r="AW104">
        <v>148.96</v>
      </c>
      <c r="AX104">
        <v>260.76</v>
      </c>
      <c r="AY104">
        <v>267.06</v>
      </c>
      <c r="AZ104">
        <v>50.09</v>
      </c>
      <c r="BA104">
        <v>120.76</v>
      </c>
      <c r="BB104">
        <v>225.59</v>
      </c>
      <c r="BC104">
        <v>207.68</v>
      </c>
      <c r="BD104">
        <v>51.75</v>
      </c>
      <c r="BE104">
        <v>230.9</v>
      </c>
      <c r="BF104">
        <v>271.04000000000002</v>
      </c>
      <c r="BG104">
        <v>1032.4100000000001</v>
      </c>
      <c r="BH104">
        <v>715.25</v>
      </c>
      <c r="BI104">
        <v>1146.8599999999999</v>
      </c>
      <c r="BJ104">
        <v>198.05</v>
      </c>
      <c r="BK104">
        <v>245.16</v>
      </c>
      <c r="BL104">
        <v>227.25</v>
      </c>
      <c r="BM104">
        <v>218.29</v>
      </c>
      <c r="BO104">
        <v>34.64</v>
      </c>
    </row>
    <row r="105" spans="1:68">
      <c r="A105" s="30"/>
      <c r="B105" s="31" t="s">
        <v>442</v>
      </c>
      <c r="C105" s="31" t="s">
        <v>443</v>
      </c>
      <c r="D105" s="35" t="s">
        <v>444</v>
      </c>
      <c r="E105" s="35" t="s">
        <v>82</v>
      </c>
      <c r="F105" s="35" t="s">
        <v>445</v>
      </c>
      <c r="G105" s="35" t="s">
        <v>446</v>
      </c>
      <c r="H105">
        <v>13</v>
      </c>
      <c r="I105" s="47" t="s">
        <v>295</v>
      </c>
      <c r="J105">
        <v>13.15</v>
      </c>
      <c r="K105">
        <v>94.99</v>
      </c>
      <c r="L105">
        <v>0.91</v>
      </c>
      <c r="M105">
        <v>0.14000000000000001</v>
      </c>
      <c r="N105">
        <v>1.72</v>
      </c>
      <c r="O105">
        <v>1.81</v>
      </c>
      <c r="P105">
        <v>0.02</v>
      </c>
      <c r="Q105">
        <v>0.01</v>
      </c>
      <c r="R105">
        <v>0.2</v>
      </c>
      <c r="S105">
        <v>0.28000000000000003</v>
      </c>
      <c r="T105">
        <v>7.0000000000000007E-2</v>
      </c>
      <c r="U105">
        <v>29.26</v>
      </c>
      <c r="W105">
        <v>5.42</v>
      </c>
      <c r="Y105">
        <v>0.02</v>
      </c>
      <c r="Z105">
        <v>11.23</v>
      </c>
      <c r="AA105" t="s">
        <v>85</v>
      </c>
      <c r="AC105" t="s">
        <v>85</v>
      </c>
      <c r="AD105">
        <v>348</v>
      </c>
      <c r="AE105">
        <v>129</v>
      </c>
      <c r="AF105" t="s">
        <v>85</v>
      </c>
      <c r="AG105" t="s">
        <v>85</v>
      </c>
      <c r="AH105">
        <v>19.5</v>
      </c>
      <c r="AI105">
        <v>13.7</v>
      </c>
      <c r="AJ105">
        <v>0.1</v>
      </c>
      <c r="AK105">
        <v>0.42</v>
      </c>
      <c r="AL105">
        <v>16.149999999999999</v>
      </c>
      <c r="AM105">
        <v>0.11</v>
      </c>
      <c r="AN105">
        <v>33.06</v>
      </c>
      <c r="AO105">
        <v>118</v>
      </c>
      <c r="AP105">
        <v>0.59</v>
      </c>
      <c r="AQ105">
        <v>0.22</v>
      </c>
      <c r="AR105">
        <v>5.45E-2</v>
      </c>
      <c r="AS105">
        <v>2.5699999999999998E-3</v>
      </c>
      <c r="AT105">
        <v>5.5100000000000003E-2</v>
      </c>
      <c r="AU105" t="s">
        <v>85</v>
      </c>
      <c r="AV105">
        <v>1.87</v>
      </c>
      <c r="AW105">
        <v>4.5999999999999996</v>
      </c>
      <c r="AX105">
        <v>5.34</v>
      </c>
      <c r="AY105">
        <v>4.78</v>
      </c>
      <c r="AZ105">
        <v>0.98</v>
      </c>
      <c r="BA105">
        <v>0.4</v>
      </c>
      <c r="BB105">
        <v>4.21</v>
      </c>
      <c r="BC105">
        <v>3.68</v>
      </c>
      <c r="BD105">
        <v>0.72</v>
      </c>
      <c r="BE105">
        <v>5.95</v>
      </c>
      <c r="BF105">
        <v>6.47</v>
      </c>
      <c r="BG105">
        <v>5.15</v>
      </c>
      <c r="BH105">
        <v>9.98</v>
      </c>
      <c r="BI105">
        <v>21.06</v>
      </c>
      <c r="BJ105">
        <v>5.04</v>
      </c>
      <c r="BK105">
        <v>3.39</v>
      </c>
      <c r="BL105">
        <v>4.33</v>
      </c>
      <c r="BM105">
        <v>3.27</v>
      </c>
      <c r="BN105">
        <v>8.31</v>
      </c>
      <c r="BO105">
        <v>14.91</v>
      </c>
      <c r="BP105">
        <v>29.55</v>
      </c>
    </row>
    <row r="106" spans="1:68">
      <c r="A106" s="30">
        <v>25007</v>
      </c>
      <c r="B106" s="31" t="s">
        <v>447</v>
      </c>
      <c r="C106" s="31" t="s">
        <v>448</v>
      </c>
      <c r="D106" s="35" t="s">
        <v>449</v>
      </c>
      <c r="E106" s="35" t="s">
        <v>76</v>
      </c>
      <c r="F106" s="35">
        <v>70003</v>
      </c>
      <c r="G106" s="35" t="s">
        <v>98</v>
      </c>
      <c r="H106">
        <v>21</v>
      </c>
      <c r="I106" t="s">
        <v>78</v>
      </c>
      <c r="J106">
        <v>313</v>
      </c>
      <c r="K106">
        <v>10</v>
      </c>
      <c r="L106">
        <v>15.9</v>
      </c>
      <c r="M106">
        <v>6.2</v>
      </c>
      <c r="N106">
        <v>35.18</v>
      </c>
      <c r="O106">
        <v>26.62</v>
      </c>
      <c r="P106">
        <v>0.93</v>
      </c>
      <c r="Q106">
        <v>0.43</v>
      </c>
      <c r="R106">
        <v>8.6999999999999993</v>
      </c>
      <c r="S106">
        <v>0.56999999999999995</v>
      </c>
      <c r="T106">
        <v>2.4500000000000002</v>
      </c>
      <c r="U106">
        <v>106</v>
      </c>
      <c r="V106">
        <v>0</v>
      </c>
      <c r="W106">
        <v>47.4</v>
      </c>
      <c r="X106">
        <v>0</v>
      </c>
      <c r="Y106">
        <v>19.71</v>
      </c>
      <c r="AA106">
        <v>0</v>
      </c>
      <c r="AB106">
        <v>746.91</v>
      </c>
      <c r="AC106">
        <v>0</v>
      </c>
      <c r="AD106">
        <v>7840.65</v>
      </c>
      <c r="AE106">
        <v>1843</v>
      </c>
      <c r="AF106">
        <v>36.44</v>
      </c>
      <c r="AG106">
        <v>1599</v>
      </c>
      <c r="AH106">
        <v>2712</v>
      </c>
      <c r="AI106">
        <v>160</v>
      </c>
      <c r="AJ106">
        <v>0.37</v>
      </c>
      <c r="AK106">
        <v>2.2999999999999998</v>
      </c>
      <c r="AL106">
        <v>152</v>
      </c>
      <c r="AN106">
        <v>293</v>
      </c>
      <c r="AO106">
        <v>2010</v>
      </c>
      <c r="AQ106">
        <v>2.48</v>
      </c>
      <c r="AR106">
        <v>1.1399999999999999</v>
      </c>
      <c r="AS106">
        <v>0.72</v>
      </c>
      <c r="AT106" t="s">
        <v>99</v>
      </c>
      <c r="AV106">
        <v>267.76</v>
      </c>
      <c r="AW106">
        <v>475.88</v>
      </c>
      <c r="AX106">
        <v>809.62</v>
      </c>
      <c r="AY106">
        <v>531.71</v>
      </c>
      <c r="AZ106">
        <v>159.88999999999999</v>
      </c>
      <c r="BA106">
        <v>220.81</v>
      </c>
      <c r="BB106">
        <v>645.91999999999996</v>
      </c>
      <c r="BC106">
        <v>517.75</v>
      </c>
      <c r="BD106">
        <v>116.75</v>
      </c>
      <c r="BE106">
        <v>611.66</v>
      </c>
      <c r="BF106">
        <v>605.30999999999995</v>
      </c>
      <c r="BG106">
        <v>629.41999999999996</v>
      </c>
      <c r="BH106">
        <v>1782.95</v>
      </c>
      <c r="BI106">
        <v>2197.91</v>
      </c>
      <c r="BJ106">
        <v>651</v>
      </c>
      <c r="BK106">
        <v>719.52</v>
      </c>
      <c r="BL106">
        <v>548.21</v>
      </c>
      <c r="BM106">
        <v>392.12</v>
      </c>
      <c r="BO106">
        <v>264</v>
      </c>
      <c r="BP106">
        <v>67</v>
      </c>
    </row>
    <row r="107" spans="1:68">
      <c r="A107" s="30"/>
      <c r="B107" s="31" t="s">
        <v>450</v>
      </c>
      <c r="C107" s="31" t="s">
        <v>451</v>
      </c>
      <c r="D107" s="35" t="s">
        <v>397</v>
      </c>
      <c r="E107" s="35" t="s">
        <v>76</v>
      </c>
      <c r="F107" s="35">
        <v>40017</v>
      </c>
      <c r="G107" s="35" t="s">
        <v>452</v>
      </c>
      <c r="H107">
        <v>10</v>
      </c>
      <c r="I107" t="s">
        <v>207</v>
      </c>
      <c r="J107">
        <v>72</v>
      </c>
      <c r="K107">
        <v>79.73</v>
      </c>
      <c r="L107">
        <v>6.7</v>
      </c>
      <c r="M107">
        <v>1.8</v>
      </c>
      <c r="N107">
        <v>4.58</v>
      </c>
      <c r="O107">
        <v>5.2</v>
      </c>
      <c r="P107">
        <v>0.26</v>
      </c>
      <c r="Q107">
        <v>0.66</v>
      </c>
      <c r="R107">
        <v>0.8</v>
      </c>
      <c r="S107">
        <v>0.39</v>
      </c>
      <c r="T107">
        <v>1.2</v>
      </c>
      <c r="U107">
        <v>205</v>
      </c>
      <c r="W107">
        <v>220</v>
      </c>
      <c r="X107">
        <v>14.33</v>
      </c>
      <c r="Y107">
        <v>0.31</v>
      </c>
      <c r="AA107">
        <v>0</v>
      </c>
      <c r="AB107">
        <v>1100</v>
      </c>
      <c r="AC107">
        <v>0</v>
      </c>
      <c r="AD107">
        <v>13160</v>
      </c>
      <c r="AE107">
        <v>15580</v>
      </c>
      <c r="AH107">
        <v>235</v>
      </c>
      <c r="AI107">
        <v>440</v>
      </c>
      <c r="AJ107">
        <v>7.0000000000000007E-2</v>
      </c>
      <c r="AK107">
        <v>0.85</v>
      </c>
      <c r="AL107">
        <v>42</v>
      </c>
      <c r="AN107">
        <v>70</v>
      </c>
      <c r="AO107">
        <v>259</v>
      </c>
      <c r="AQ107">
        <v>0.16</v>
      </c>
      <c r="AR107">
        <v>0.56000000000000005</v>
      </c>
      <c r="AS107">
        <v>0.1</v>
      </c>
      <c r="AT107">
        <v>0.67</v>
      </c>
      <c r="AV107">
        <v>132.05000000000001</v>
      </c>
      <c r="AW107">
        <v>198.71</v>
      </c>
      <c r="AX107">
        <v>429.47</v>
      </c>
      <c r="AY107">
        <v>280.76</v>
      </c>
      <c r="AZ107">
        <v>58.97</v>
      </c>
      <c r="BA107">
        <v>48.08</v>
      </c>
      <c r="BB107">
        <v>413.45</v>
      </c>
      <c r="BC107">
        <v>240.38</v>
      </c>
      <c r="BD107">
        <v>81.41</v>
      </c>
      <c r="BE107">
        <v>280.76</v>
      </c>
      <c r="BF107">
        <v>460.24</v>
      </c>
      <c r="BG107">
        <v>356.4</v>
      </c>
      <c r="BH107">
        <v>765.35</v>
      </c>
      <c r="BI107">
        <v>1081.3699999999999</v>
      </c>
      <c r="BJ107">
        <v>294.86</v>
      </c>
      <c r="BK107">
        <v>256.39999999999998</v>
      </c>
      <c r="BL107">
        <v>307.04000000000002</v>
      </c>
      <c r="BM107">
        <v>183.97</v>
      </c>
      <c r="BO107">
        <v>128</v>
      </c>
    </row>
    <row r="108" spans="1:68">
      <c r="A108" s="30"/>
      <c r="B108" s="31" t="s">
        <v>453</v>
      </c>
      <c r="C108" s="31" t="s">
        <v>454</v>
      </c>
      <c r="D108" s="35" t="s">
        <v>254</v>
      </c>
      <c r="E108" s="35" t="s">
        <v>76</v>
      </c>
      <c r="F108" s="35">
        <v>60012</v>
      </c>
      <c r="G108" s="35" t="s">
        <v>455</v>
      </c>
      <c r="H108">
        <v>4</v>
      </c>
      <c r="I108" t="s">
        <v>202</v>
      </c>
      <c r="J108">
        <v>501</v>
      </c>
      <c r="K108">
        <v>8.5</v>
      </c>
      <c r="L108">
        <v>22</v>
      </c>
      <c r="M108">
        <v>35</v>
      </c>
      <c r="N108">
        <v>18.510000000000002</v>
      </c>
      <c r="O108">
        <v>11.78</v>
      </c>
      <c r="P108">
        <v>0.65</v>
      </c>
      <c r="Q108">
        <v>0.26</v>
      </c>
      <c r="R108">
        <v>4.57</v>
      </c>
      <c r="S108">
        <v>0.48</v>
      </c>
      <c r="T108">
        <v>0.38</v>
      </c>
      <c r="U108">
        <v>156.47999999999999</v>
      </c>
      <c r="V108">
        <v>0</v>
      </c>
      <c r="W108">
        <v>0</v>
      </c>
      <c r="X108">
        <v>30.84</v>
      </c>
      <c r="Y108">
        <v>5.07</v>
      </c>
      <c r="AA108">
        <v>0</v>
      </c>
      <c r="AB108">
        <v>1.45</v>
      </c>
      <c r="AC108">
        <v>0</v>
      </c>
      <c r="AD108">
        <v>17.39</v>
      </c>
      <c r="AE108">
        <v>5.67</v>
      </c>
      <c r="AH108">
        <v>7.22</v>
      </c>
      <c r="AI108">
        <v>256.93</v>
      </c>
      <c r="AJ108">
        <v>0.62</v>
      </c>
      <c r="AK108">
        <v>8.9</v>
      </c>
      <c r="AL108">
        <v>357.38</v>
      </c>
      <c r="AN108">
        <v>799.77</v>
      </c>
      <c r="AO108">
        <v>712.84</v>
      </c>
      <c r="AQ108">
        <v>5.87</v>
      </c>
      <c r="AR108">
        <v>2.11</v>
      </c>
      <c r="AS108">
        <v>21.03</v>
      </c>
      <c r="AT108">
        <v>8.91</v>
      </c>
      <c r="AV108">
        <v>741</v>
      </c>
      <c r="AW108">
        <v>998</v>
      </c>
      <c r="AX108">
        <v>1755</v>
      </c>
      <c r="AY108">
        <v>1556</v>
      </c>
      <c r="AZ108">
        <v>407</v>
      </c>
      <c r="BA108">
        <v>574</v>
      </c>
      <c r="BB108">
        <v>989</v>
      </c>
      <c r="BC108">
        <v>707</v>
      </c>
      <c r="BD108">
        <v>216</v>
      </c>
      <c r="BE108">
        <v>1273</v>
      </c>
      <c r="BF108">
        <v>989</v>
      </c>
      <c r="BG108">
        <v>1631</v>
      </c>
      <c r="BH108">
        <v>2054</v>
      </c>
      <c r="BI108">
        <v>4441</v>
      </c>
      <c r="BJ108">
        <v>1339</v>
      </c>
      <c r="BK108">
        <v>2370</v>
      </c>
      <c r="BL108">
        <v>640</v>
      </c>
      <c r="BM108">
        <v>682</v>
      </c>
      <c r="BO108">
        <v>132</v>
      </c>
    </row>
    <row r="109" spans="1:68">
      <c r="A109" s="30">
        <v>25006</v>
      </c>
      <c r="B109" s="31" t="s">
        <v>456</v>
      </c>
      <c r="C109" s="33" t="s">
        <v>457</v>
      </c>
      <c r="D109" s="38" t="s">
        <v>302</v>
      </c>
      <c r="E109" s="35" t="s">
        <v>76</v>
      </c>
      <c r="F109" s="35">
        <v>30013</v>
      </c>
      <c r="G109" s="35" t="s">
        <v>458</v>
      </c>
      <c r="H109">
        <v>13</v>
      </c>
      <c r="I109" s="47" t="s">
        <v>295</v>
      </c>
      <c r="J109">
        <v>13</v>
      </c>
      <c r="K109">
        <v>95.5</v>
      </c>
      <c r="L109">
        <v>0.9</v>
      </c>
      <c r="M109">
        <v>0.1</v>
      </c>
      <c r="N109">
        <v>1.3</v>
      </c>
      <c r="O109">
        <v>1.5</v>
      </c>
      <c r="P109">
        <v>0.06</v>
      </c>
      <c r="Q109">
        <v>0.03</v>
      </c>
      <c r="R109">
        <v>0.35</v>
      </c>
      <c r="S109">
        <v>0.32</v>
      </c>
      <c r="T109">
        <v>7.0000000000000007E-2</v>
      </c>
      <c r="U109">
        <v>14</v>
      </c>
      <c r="V109">
        <v>0</v>
      </c>
      <c r="W109">
        <v>5.52</v>
      </c>
      <c r="X109">
        <v>1.36</v>
      </c>
      <c r="Y109">
        <v>0.02</v>
      </c>
      <c r="AA109">
        <v>0</v>
      </c>
      <c r="AD109">
        <v>4.8</v>
      </c>
      <c r="AE109">
        <v>4.8600000000000003</v>
      </c>
      <c r="AI109">
        <v>18</v>
      </c>
      <c r="AJ109">
        <v>0.03</v>
      </c>
      <c r="AK109">
        <v>0.6</v>
      </c>
      <c r="AL109">
        <v>11</v>
      </c>
      <c r="AN109">
        <v>30</v>
      </c>
      <c r="AO109">
        <v>198</v>
      </c>
      <c r="AQ109">
        <v>0.21</v>
      </c>
      <c r="AR109">
        <v>7.0000000000000007E-2</v>
      </c>
      <c r="AS109">
        <v>0.01</v>
      </c>
      <c r="AT109">
        <v>0.05</v>
      </c>
      <c r="AV109">
        <v>15.27</v>
      </c>
      <c r="AW109">
        <v>31.29</v>
      </c>
      <c r="AX109">
        <v>50.71</v>
      </c>
      <c r="AY109">
        <v>28.05</v>
      </c>
      <c r="AZ109">
        <v>7.22</v>
      </c>
      <c r="BA109">
        <v>6.56</v>
      </c>
      <c r="BB109">
        <v>34.36</v>
      </c>
      <c r="BC109">
        <v>26.06</v>
      </c>
      <c r="BD109">
        <v>5.48</v>
      </c>
      <c r="BE109">
        <v>43.33</v>
      </c>
      <c r="BF109">
        <v>59.1</v>
      </c>
      <c r="BG109">
        <v>41.17</v>
      </c>
      <c r="BH109">
        <v>58.35</v>
      </c>
      <c r="BI109">
        <v>201.28</v>
      </c>
      <c r="BJ109">
        <v>41</v>
      </c>
      <c r="BK109">
        <v>30.54</v>
      </c>
      <c r="BL109">
        <v>32.700000000000003</v>
      </c>
      <c r="BM109">
        <v>21.41</v>
      </c>
      <c r="BO109">
        <v>16.350000000000001</v>
      </c>
    </row>
    <row r="110" spans="1:68">
      <c r="A110" s="30">
        <v>25002</v>
      </c>
      <c r="B110" s="31" t="s">
        <v>459</v>
      </c>
      <c r="C110" s="38" t="s">
        <v>460</v>
      </c>
      <c r="D110" s="35" t="s">
        <v>461</v>
      </c>
      <c r="E110" s="35" t="s">
        <v>76</v>
      </c>
      <c r="F110" s="35">
        <v>30031</v>
      </c>
      <c r="G110" s="35" t="s">
        <v>294</v>
      </c>
      <c r="H110">
        <v>13</v>
      </c>
      <c r="I110" s="47" t="s">
        <v>295</v>
      </c>
      <c r="J110">
        <v>16</v>
      </c>
      <c r="K110">
        <v>94.28</v>
      </c>
      <c r="L110">
        <v>0.9</v>
      </c>
      <c r="M110">
        <v>0.1</v>
      </c>
      <c r="N110">
        <v>1.7</v>
      </c>
      <c r="O110">
        <v>2.4</v>
      </c>
      <c r="P110">
        <v>0.43</v>
      </c>
      <c r="Q110">
        <v>0.01</v>
      </c>
      <c r="R110">
        <v>0.3</v>
      </c>
      <c r="S110">
        <v>0.15</v>
      </c>
      <c r="T110">
        <v>7.0000000000000007E-2</v>
      </c>
      <c r="U110">
        <v>25</v>
      </c>
      <c r="W110">
        <v>17.190000000000001</v>
      </c>
      <c r="X110">
        <v>0.05</v>
      </c>
      <c r="Y110">
        <v>0.01</v>
      </c>
      <c r="AA110">
        <v>0</v>
      </c>
      <c r="AC110">
        <v>0</v>
      </c>
      <c r="AD110">
        <v>1.4</v>
      </c>
      <c r="AE110">
        <v>5.34</v>
      </c>
      <c r="AH110">
        <v>2.08</v>
      </c>
      <c r="AI110">
        <v>25</v>
      </c>
      <c r="AJ110">
        <v>0.03</v>
      </c>
      <c r="AK110">
        <v>0.4</v>
      </c>
      <c r="AL110">
        <v>17</v>
      </c>
      <c r="AN110">
        <v>23</v>
      </c>
      <c r="AO110">
        <v>142</v>
      </c>
      <c r="AQ110">
        <v>0.38</v>
      </c>
      <c r="AR110">
        <v>0.04</v>
      </c>
      <c r="AS110">
        <v>0.01</v>
      </c>
      <c r="AT110">
        <v>0.05</v>
      </c>
      <c r="AV110">
        <v>13.71</v>
      </c>
      <c r="AW110">
        <v>25.64</v>
      </c>
      <c r="AX110">
        <v>47.28</v>
      </c>
      <c r="AY110">
        <v>23.25</v>
      </c>
      <c r="AZ110">
        <v>5.93</v>
      </c>
      <c r="BA110">
        <v>6.55</v>
      </c>
      <c r="BB110">
        <v>25.1</v>
      </c>
      <c r="BC110">
        <v>31.03</v>
      </c>
      <c r="BD110">
        <v>4</v>
      </c>
      <c r="BE110">
        <v>43.66</v>
      </c>
      <c r="BF110">
        <v>57.67</v>
      </c>
      <c r="BG110">
        <v>31.96</v>
      </c>
      <c r="BH110">
        <v>75.31</v>
      </c>
      <c r="BI110">
        <v>202.2</v>
      </c>
      <c r="BJ110">
        <v>31.96</v>
      </c>
      <c r="BK110">
        <v>32.96</v>
      </c>
      <c r="BL110">
        <v>35.04</v>
      </c>
      <c r="BM110">
        <v>13.32</v>
      </c>
      <c r="BO110">
        <v>1.75</v>
      </c>
    </row>
    <row r="111" spans="1:68">
      <c r="A111" s="30"/>
      <c r="B111" s="31" t="s">
        <v>462</v>
      </c>
      <c r="C111" s="38" t="s">
        <v>463</v>
      </c>
      <c r="D111" s="38" t="s">
        <v>464</v>
      </c>
      <c r="E111" s="35" t="s">
        <v>76</v>
      </c>
      <c r="F111" s="35">
        <v>30008</v>
      </c>
      <c r="G111" s="35" t="s">
        <v>465</v>
      </c>
      <c r="H111">
        <v>11</v>
      </c>
      <c r="I111" t="s">
        <v>308</v>
      </c>
      <c r="J111">
        <v>33</v>
      </c>
      <c r="K111">
        <v>89.1</v>
      </c>
      <c r="L111">
        <v>0.9</v>
      </c>
      <c r="M111">
        <v>0.3</v>
      </c>
      <c r="N111">
        <v>5.4</v>
      </c>
      <c r="O111">
        <v>2.6</v>
      </c>
      <c r="P111">
        <v>0.04</v>
      </c>
      <c r="Q111">
        <v>0.08</v>
      </c>
      <c r="R111">
        <v>0.25</v>
      </c>
      <c r="S111">
        <v>0.3</v>
      </c>
      <c r="T111">
        <v>0.13</v>
      </c>
      <c r="U111">
        <v>19</v>
      </c>
      <c r="V111">
        <v>0</v>
      </c>
      <c r="W111">
        <v>1.44</v>
      </c>
      <c r="X111">
        <v>1.08</v>
      </c>
      <c r="Y111">
        <v>0.21</v>
      </c>
      <c r="AA111">
        <v>0</v>
      </c>
      <c r="AB111">
        <v>445</v>
      </c>
      <c r="AC111">
        <v>2654</v>
      </c>
      <c r="AD111">
        <v>3945.96</v>
      </c>
      <c r="AI111">
        <v>26</v>
      </c>
      <c r="AJ111">
        <v>0.23</v>
      </c>
      <c r="AK111">
        <v>0.4</v>
      </c>
      <c r="AL111">
        <v>16</v>
      </c>
      <c r="AN111">
        <v>34</v>
      </c>
      <c r="AO111">
        <v>145</v>
      </c>
      <c r="AQ111">
        <v>7.0000000000000007E-2</v>
      </c>
      <c r="AR111">
        <v>0.09</v>
      </c>
      <c r="AS111">
        <v>0.02</v>
      </c>
      <c r="AT111">
        <v>0.27</v>
      </c>
      <c r="AV111">
        <v>13.11</v>
      </c>
      <c r="AW111">
        <v>33.82</v>
      </c>
      <c r="AX111">
        <v>45.98</v>
      </c>
      <c r="AY111">
        <v>31.92</v>
      </c>
      <c r="AZ111">
        <v>7.41</v>
      </c>
      <c r="BA111">
        <v>8.5500000000000007</v>
      </c>
      <c r="BB111">
        <v>26.98</v>
      </c>
      <c r="BC111">
        <v>37.81</v>
      </c>
      <c r="BD111">
        <v>9.6</v>
      </c>
      <c r="BE111">
        <v>43.51</v>
      </c>
      <c r="BF111">
        <v>99.18</v>
      </c>
      <c r="BG111">
        <v>31.35</v>
      </c>
      <c r="BH111">
        <v>136.33000000000001</v>
      </c>
      <c r="BI111">
        <v>252.32</v>
      </c>
      <c r="BJ111">
        <v>34.58</v>
      </c>
      <c r="BK111">
        <v>35.53</v>
      </c>
      <c r="BL111">
        <v>35.340000000000003</v>
      </c>
      <c r="BM111">
        <v>16.25</v>
      </c>
      <c r="BO111">
        <v>19.600000000000001</v>
      </c>
      <c r="BP111">
        <v>6</v>
      </c>
    </row>
    <row r="112" spans="1:68">
      <c r="A112" s="30"/>
      <c r="B112" s="31" t="s">
        <v>466</v>
      </c>
      <c r="C112" s="33" t="s">
        <v>467</v>
      </c>
      <c r="D112" s="35" t="s">
        <v>468</v>
      </c>
      <c r="E112" s="35" t="s">
        <v>76</v>
      </c>
      <c r="F112" s="35">
        <v>30026</v>
      </c>
      <c r="G112" s="35" t="s">
        <v>469</v>
      </c>
      <c r="H112">
        <v>13</v>
      </c>
      <c r="I112" s="47" t="s">
        <v>295</v>
      </c>
      <c r="J112">
        <v>59</v>
      </c>
      <c r="K112">
        <v>83.73</v>
      </c>
      <c r="L112">
        <v>1.38</v>
      </c>
      <c r="M112">
        <v>7.0000000000000007E-2</v>
      </c>
      <c r="N112">
        <v>12.22</v>
      </c>
      <c r="O112">
        <v>1.93</v>
      </c>
      <c r="P112">
        <v>0.05</v>
      </c>
      <c r="Q112">
        <v>0.14000000000000001</v>
      </c>
      <c r="R112">
        <v>0.12</v>
      </c>
      <c r="S112">
        <v>0.22</v>
      </c>
      <c r="T112">
        <v>0.17</v>
      </c>
      <c r="U112">
        <v>19</v>
      </c>
      <c r="V112">
        <v>0</v>
      </c>
      <c r="W112">
        <v>4.5</v>
      </c>
      <c r="X112">
        <v>0.43</v>
      </c>
      <c r="Y112">
        <v>0.02</v>
      </c>
      <c r="AA112">
        <v>0</v>
      </c>
      <c r="AB112">
        <v>1.9</v>
      </c>
      <c r="AD112">
        <v>22.78</v>
      </c>
      <c r="AE112">
        <v>8.5299999999999994</v>
      </c>
      <c r="AH112">
        <v>1.75</v>
      </c>
      <c r="AI112">
        <v>23.97</v>
      </c>
      <c r="AJ112">
        <v>0.36</v>
      </c>
      <c r="AK112">
        <v>0.94</v>
      </c>
      <c r="AL112">
        <v>24.12</v>
      </c>
      <c r="AN112">
        <v>29</v>
      </c>
      <c r="AO112">
        <v>209.75</v>
      </c>
      <c r="AQ112">
        <v>0.41</v>
      </c>
      <c r="AR112">
        <v>0.05</v>
      </c>
      <c r="AS112">
        <v>0.03</v>
      </c>
      <c r="AT112">
        <v>0.04</v>
      </c>
      <c r="AV112">
        <v>27.31</v>
      </c>
      <c r="AW112">
        <v>49.72</v>
      </c>
      <c r="AX112">
        <v>68.64</v>
      </c>
      <c r="AY112">
        <v>50.96</v>
      </c>
      <c r="AZ112">
        <v>22.91</v>
      </c>
      <c r="BA112">
        <v>18.760000000000002</v>
      </c>
      <c r="BB112">
        <v>57.27</v>
      </c>
      <c r="BC112">
        <v>47.48</v>
      </c>
      <c r="BD112">
        <v>16.27</v>
      </c>
      <c r="BE112">
        <v>55.44</v>
      </c>
      <c r="BF112">
        <v>75.45</v>
      </c>
      <c r="BG112">
        <v>211.57</v>
      </c>
      <c r="BH112">
        <v>153.30000000000001</v>
      </c>
      <c r="BI112">
        <v>418.65</v>
      </c>
      <c r="BJ112">
        <v>85.99</v>
      </c>
      <c r="BK112">
        <v>46.15</v>
      </c>
      <c r="BL112">
        <v>47.39</v>
      </c>
      <c r="BM112">
        <v>34.53</v>
      </c>
      <c r="BO112">
        <v>11.09</v>
      </c>
      <c r="BP112">
        <v>3</v>
      </c>
    </row>
    <row r="113" spans="1:68">
      <c r="A113" s="30"/>
      <c r="B113" s="31" t="s">
        <v>470</v>
      </c>
      <c r="C113" s="33" t="s">
        <v>471</v>
      </c>
      <c r="D113" s="38" t="s">
        <v>449</v>
      </c>
      <c r="E113" s="35" t="s">
        <v>76</v>
      </c>
      <c r="F113" s="35">
        <v>30010</v>
      </c>
      <c r="G113" s="35" t="s">
        <v>472</v>
      </c>
      <c r="H113">
        <v>13</v>
      </c>
      <c r="I113" s="47" t="s">
        <v>295</v>
      </c>
      <c r="J113">
        <v>45</v>
      </c>
      <c r="K113">
        <v>85.51</v>
      </c>
      <c r="L113">
        <v>2.78</v>
      </c>
      <c r="M113">
        <v>0.13</v>
      </c>
      <c r="N113">
        <v>5.9</v>
      </c>
      <c r="O113">
        <v>4.7</v>
      </c>
      <c r="P113">
        <v>0.03</v>
      </c>
      <c r="Q113">
        <v>0.05</v>
      </c>
      <c r="R113">
        <v>0.9</v>
      </c>
      <c r="S113">
        <v>0.22</v>
      </c>
      <c r="T113">
        <v>0.23</v>
      </c>
      <c r="U113">
        <v>10</v>
      </c>
      <c r="W113">
        <v>102.27</v>
      </c>
      <c r="X113">
        <v>2.97</v>
      </c>
      <c r="Y113">
        <v>0.28999999999999998</v>
      </c>
      <c r="AA113">
        <v>0</v>
      </c>
      <c r="AB113">
        <v>9.57</v>
      </c>
      <c r="AD113">
        <v>114.83</v>
      </c>
      <c r="AE113">
        <v>261</v>
      </c>
      <c r="AH113">
        <v>31.47</v>
      </c>
      <c r="AI113">
        <v>22.04</v>
      </c>
      <c r="AJ113">
        <v>0.87</v>
      </c>
      <c r="AK113">
        <v>1.65</v>
      </c>
      <c r="AL113">
        <v>43.35</v>
      </c>
      <c r="AN113">
        <v>30</v>
      </c>
      <c r="AO113">
        <v>281.74</v>
      </c>
      <c r="AQ113">
        <v>1.97</v>
      </c>
      <c r="AR113">
        <v>0.13</v>
      </c>
      <c r="AS113">
        <v>0.03</v>
      </c>
      <c r="AT113">
        <v>0.41</v>
      </c>
      <c r="AV113">
        <v>40.590000000000003</v>
      </c>
      <c r="AW113">
        <v>74.099999999999994</v>
      </c>
      <c r="AX113">
        <v>119.18</v>
      </c>
      <c r="AY113">
        <v>86.38</v>
      </c>
      <c r="AZ113">
        <v>25.72</v>
      </c>
      <c r="BA113">
        <v>33.04</v>
      </c>
      <c r="BB113">
        <v>110.68</v>
      </c>
      <c r="BC113">
        <v>86.38</v>
      </c>
      <c r="BD113">
        <v>18.170000000000002</v>
      </c>
      <c r="BE113">
        <v>94.87</v>
      </c>
      <c r="BF113">
        <v>114.7</v>
      </c>
      <c r="BG113">
        <v>113.04</v>
      </c>
      <c r="BH113">
        <v>406.86</v>
      </c>
      <c r="BI113">
        <v>423.38</v>
      </c>
      <c r="BJ113">
        <v>105.26</v>
      </c>
      <c r="BK113">
        <v>67.260000000000005</v>
      </c>
      <c r="BL113">
        <v>104.31</v>
      </c>
      <c r="BM113">
        <v>62.3</v>
      </c>
      <c r="BO113">
        <v>13.38</v>
      </c>
      <c r="BP113">
        <v>29</v>
      </c>
    </row>
    <row r="114" spans="1:68">
      <c r="A114" s="30">
        <v>25005</v>
      </c>
      <c r="B114" s="31" t="s">
        <v>473</v>
      </c>
      <c r="C114" s="33" t="s">
        <v>474</v>
      </c>
      <c r="D114" s="38" t="s">
        <v>449</v>
      </c>
      <c r="E114" s="35" t="s">
        <v>82</v>
      </c>
      <c r="F114" s="35" t="s">
        <v>475</v>
      </c>
      <c r="G114" s="35" t="s">
        <v>476</v>
      </c>
      <c r="H114">
        <v>13</v>
      </c>
      <c r="I114" s="47" t="s">
        <v>295</v>
      </c>
      <c r="J114">
        <v>16.25</v>
      </c>
      <c r="K114">
        <v>93.89</v>
      </c>
      <c r="L114">
        <v>1.1000000000000001</v>
      </c>
      <c r="M114">
        <v>0.34</v>
      </c>
      <c r="N114">
        <v>1.84</v>
      </c>
      <c r="O114">
        <v>2.06</v>
      </c>
      <c r="P114">
        <v>0.05</v>
      </c>
      <c r="Q114">
        <v>0.03</v>
      </c>
      <c r="R114">
        <v>0.56000000000000005</v>
      </c>
      <c r="S114">
        <v>0.21</v>
      </c>
      <c r="T114">
        <v>0.15</v>
      </c>
      <c r="U114">
        <v>51.85</v>
      </c>
      <c r="W114">
        <v>123</v>
      </c>
      <c r="Y114">
        <v>7.0000000000000007E-2</v>
      </c>
      <c r="Z114">
        <v>24.66</v>
      </c>
      <c r="AA114" t="s">
        <v>85</v>
      </c>
      <c r="AC114" t="s">
        <v>85</v>
      </c>
      <c r="AD114">
        <v>328</v>
      </c>
      <c r="AE114">
        <v>164</v>
      </c>
      <c r="AF114" t="s">
        <v>85</v>
      </c>
      <c r="AG114" t="s">
        <v>85</v>
      </c>
      <c r="AH114">
        <v>21.41</v>
      </c>
      <c r="AI114">
        <v>14.75</v>
      </c>
      <c r="AJ114">
        <v>0.06</v>
      </c>
      <c r="AK114">
        <v>0.48</v>
      </c>
      <c r="AL114">
        <v>11.84</v>
      </c>
      <c r="AM114">
        <v>0.1</v>
      </c>
      <c r="AN114">
        <v>23</v>
      </c>
      <c r="AO114">
        <v>154</v>
      </c>
      <c r="AP114">
        <v>0.18</v>
      </c>
      <c r="AQ114">
        <v>0.15</v>
      </c>
      <c r="AR114">
        <v>7.7030000000000001E-2</v>
      </c>
      <c r="AS114">
        <v>1.2699999999999999E-2</v>
      </c>
      <c r="AT114">
        <v>0.17199999999999999</v>
      </c>
      <c r="AU114" t="s">
        <v>85</v>
      </c>
      <c r="AV114">
        <v>1.72</v>
      </c>
      <c r="AW114">
        <v>3.79</v>
      </c>
      <c r="AX114">
        <v>5.68</v>
      </c>
      <c r="AY114">
        <v>3.47</v>
      </c>
      <c r="AZ114">
        <v>1.24</v>
      </c>
      <c r="BA114">
        <v>0.98</v>
      </c>
      <c r="BB114">
        <v>3.49</v>
      </c>
      <c r="BC114">
        <v>4.05</v>
      </c>
      <c r="BD114">
        <v>0.96</v>
      </c>
      <c r="BE114">
        <v>5.17</v>
      </c>
      <c r="BF114">
        <v>6.43</v>
      </c>
      <c r="BG114">
        <v>3.07</v>
      </c>
      <c r="BH114">
        <v>14.89</v>
      </c>
      <c r="BI114">
        <v>24.82</v>
      </c>
      <c r="BJ114">
        <v>4.8600000000000003</v>
      </c>
      <c r="BK114">
        <v>3.83</v>
      </c>
      <c r="BL114">
        <v>4.3</v>
      </c>
      <c r="BM114">
        <v>2.91</v>
      </c>
      <c r="BN114">
        <v>10.82</v>
      </c>
      <c r="BO114">
        <v>15.96</v>
      </c>
      <c r="BP114">
        <v>19.12</v>
      </c>
    </row>
    <row r="115" spans="1:68" ht="40.700000000000003">
      <c r="A115" s="30"/>
      <c r="B115" s="31" t="s">
        <v>477</v>
      </c>
      <c r="C115" s="33" t="s">
        <v>478</v>
      </c>
      <c r="D115" s="35" t="s">
        <v>264</v>
      </c>
      <c r="E115" s="35" t="s">
        <v>76</v>
      </c>
      <c r="F115" s="35">
        <v>70006</v>
      </c>
      <c r="G115" s="35" t="s">
        <v>265</v>
      </c>
      <c r="H115">
        <v>21</v>
      </c>
      <c r="I115" t="s">
        <v>78</v>
      </c>
      <c r="J115">
        <v>30</v>
      </c>
      <c r="K115">
        <v>87.88</v>
      </c>
      <c r="L115">
        <v>3.34</v>
      </c>
      <c r="M115">
        <v>0.52</v>
      </c>
      <c r="N115">
        <v>0.1</v>
      </c>
      <c r="O115">
        <v>5.92</v>
      </c>
      <c r="P115">
        <v>0.05</v>
      </c>
      <c r="Q115">
        <v>0.06</v>
      </c>
      <c r="R115">
        <v>1.1100000000000001</v>
      </c>
      <c r="S115">
        <v>0.63</v>
      </c>
      <c r="T115">
        <v>0.15</v>
      </c>
      <c r="U115">
        <v>62</v>
      </c>
      <c r="V115">
        <v>0</v>
      </c>
      <c r="W115">
        <v>105.69</v>
      </c>
      <c r="X115">
        <v>3.55</v>
      </c>
      <c r="Y115">
        <v>2.5</v>
      </c>
      <c r="AA115">
        <v>0</v>
      </c>
      <c r="AB115">
        <v>132.46</v>
      </c>
      <c r="AC115">
        <v>36</v>
      </c>
      <c r="AD115">
        <v>1470.54</v>
      </c>
      <c r="AE115">
        <v>6351</v>
      </c>
      <c r="AH115">
        <v>28.3</v>
      </c>
      <c r="AI115">
        <v>160.44</v>
      </c>
      <c r="AJ115">
        <v>0.14000000000000001</v>
      </c>
      <c r="AK115">
        <v>1.42</v>
      </c>
      <c r="AL115">
        <v>33.700000000000003</v>
      </c>
      <c r="AN115">
        <v>30.29</v>
      </c>
      <c r="AO115">
        <v>396.48</v>
      </c>
      <c r="AQ115">
        <v>0.32</v>
      </c>
      <c r="AR115">
        <v>0.23</v>
      </c>
      <c r="AS115">
        <v>0.01</v>
      </c>
      <c r="AT115">
        <v>0.32</v>
      </c>
      <c r="AV115">
        <v>60.9</v>
      </c>
      <c r="AW115">
        <v>132</v>
      </c>
      <c r="AX115">
        <v>229.15</v>
      </c>
      <c r="AY115">
        <v>128.83000000000001</v>
      </c>
      <c r="AZ115">
        <v>17.600000000000001</v>
      </c>
      <c r="BA115">
        <v>21.12</v>
      </c>
      <c r="BB115">
        <v>123.2</v>
      </c>
      <c r="BC115">
        <v>136.58000000000001</v>
      </c>
      <c r="BD115">
        <v>57.73</v>
      </c>
      <c r="BE115">
        <v>137.97999999999999</v>
      </c>
      <c r="BF115">
        <v>195.71</v>
      </c>
      <c r="BG115">
        <v>177.41</v>
      </c>
      <c r="BH115">
        <v>519.20000000000005</v>
      </c>
      <c r="BI115">
        <v>433.31</v>
      </c>
      <c r="BJ115">
        <v>178.46</v>
      </c>
      <c r="BK115">
        <v>143.97</v>
      </c>
      <c r="BL115">
        <v>138.69</v>
      </c>
      <c r="BM115">
        <v>120.38</v>
      </c>
      <c r="BO115">
        <v>40.99</v>
      </c>
      <c r="BP115">
        <v>47</v>
      </c>
    </row>
    <row r="116" spans="1:68">
      <c r="A116" s="30">
        <v>24001</v>
      </c>
      <c r="B116" s="31" t="s">
        <v>479</v>
      </c>
      <c r="C116" s="33" t="s">
        <v>480</v>
      </c>
      <c r="D116" s="35" t="s">
        <v>102</v>
      </c>
      <c r="E116" s="35" t="s">
        <v>76</v>
      </c>
      <c r="F116" s="35">
        <v>70012</v>
      </c>
      <c r="G116" s="35" t="s">
        <v>481</v>
      </c>
      <c r="H116">
        <v>21</v>
      </c>
      <c r="I116" t="s">
        <v>78</v>
      </c>
      <c r="J116">
        <v>72</v>
      </c>
      <c r="K116">
        <v>81.099999999999994</v>
      </c>
      <c r="L116">
        <v>1.91</v>
      </c>
      <c r="M116">
        <v>0.79</v>
      </c>
      <c r="N116">
        <v>13.29</v>
      </c>
      <c r="O116">
        <v>2</v>
      </c>
      <c r="P116">
        <v>0.03</v>
      </c>
      <c r="Q116">
        <v>0.03</v>
      </c>
      <c r="R116">
        <v>0.77</v>
      </c>
      <c r="S116">
        <v>0.24</v>
      </c>
      <c r="T116">
        <v>0.16</v>
      </c>
      <c r="U116">
        <v>11</v>
      </c>
      <c r="V116">
        <v>0</v>
      </c>
      <c r="W116">
        <v>5</v>
      </c>
      <c r="X116">
        <v>4.09</v>
      </c>
      <c r="Y116">
        <v>0.26</v>
      </c>
      <c r="AA116">
        <v>0</v>
      </c>
      <c r="AB116">
        <v>0</v>
      </c>
      <c r="AC116">
        <v>0</v>
      </c>
      <c r="AD116">
        <v>0</v>
      </c>
      <c r="AE116">
        <v>15.04</v>
      </c>
      <c r="AH116">
        <v>5.97</v>
      </c>
      <c r="AI116">
        <v>17.25</v>
      </c>
      <c r="AJ116">
        <v>0.17</v>
      </c>
      <c r="AK116">
        <v>1.1000000000000001</v>
      </c>
      <c r="AL116">
        <v>40.33</v>
      </c>
      <c r="AN116">
        <v>31.67</v>
      </c>
      <c r="AO116">
        <v>386.67</v>
      </c>
      <c r="AQ116">
        <v>0.36</v>
      </c>
      <c r="AR116">
        <v>0.23</v>
      </c>
      <c r="AS116">
        <v>7.0000000000000007E-2</v>
      </c>
      <c r="AT116">
        <v>0.38</v>
      </c>
      <c r="AV116">
        <v>35.08</v>
      </c>
      <c r="AW116">
        <v>88.36</v>
      </c>
      <c r="AX116">
        <v>144.08000000000001</v>
      </c>
      <c r="AY116">
        <v>51.28</v>
      </c>
      <c r="AZ116">
        <v>19.760000000000002</v>
      </c>
      <c r="BA116">
        <v>18.2</v>
      </c>
      <c r="BB116">
        <v>96.79</v>
      </c>
      <c r="BC116">
        <v>96.57</v>
      </c>
      <c r="BD116">
        <v>21.98</v>
      </c>
      <c r="BE116">
        <v>96.57</v>
      </c>
      <c r="BF116">
        <v>105.01</v>
      </c>
      <c r="BG116">
        <v>131.65</v>
      </c>
      <c r="BH116">
        <v>340.55</v>
      </c>
      <c r="BI116">
        <v>306.8</v>
      </c>
      <c r="BJ116">
        <v>109</v>
      </c>
      <c r="BK116">
        <v>72.819999999999993</v>
      </c>
      <c r="BL116">
        <v>106.56</v>
      </c>
      <c r="BM116">
        <v>83.92</v>
      </c>
      <c r="BO116">
        <v>14.5</v>
      </c>
    </row>
    <row r="117" spans="1:68">
      <c r="A117" s="30"/>
      <c r="B117" s="31" t="s">
        <v>482</v>
      </c>
      <c r="C117" s="31" t="s">
        <v>483</v>
      </c>
      <c r="D117" s="35" t="s">
        <v>484</v>
      </c>
      <c r="E117" s="35" t="s">
        <v>76</v>
      </c>
      <c r="F117" s="35">
        <v>30009</v>
      </c>
      <c r="G117" s="35" t="s">
        <v>485</v>
      </c>
      <c r="H117">
        <v>13</v>
      </c>
      <c r="I117" s="47" t="s">
        <v>295</v>
      </c>
      <c r="J117">
        <v>25</v>
      </c>
      <c r="K117">
        <v>91.9</v>
      </c>
      <c r="L117">
        <v>2.4</v>
      </c>
      <c r="M117">
        <v>0.3</v>
      </c>
      <c r="N117">
        <v>1.8</v>
      </c>
      <c r="O117">
        <v>2.9</v>
      </c>
      <c r="P117">
        <v>0.03</v>
      </c>
      <c r="Q117">
        <v>0.03</v>
      </c>
      <c r="R117">
        <v>0.6</v>
      </c>
      <c r="S117">
        <v>0.62</v>
      </c>
      <c r="T117">
        <v>0.13</v>
      </c>
      <c r="U117">
        <v>57</v>
      </c>
      <c r="V117">
        <v>0</v>
      </c>
      <c r="W117">
        <v>72.7</v>
      </c>
      <c r="X117">
        <v>1.32</v>
      </c>
      <c r="Y117">
        <v>0.02</v>
      </c>
      <c r="AA117">
        <v>0</v>
      </c>
      <c r="AB117">
        <v>1</v>
      </c>
      <c r="AC117">
        <v>0</v>
      </c>
      <c r="AD117">
        <v>8</v>
      </c>
      <c r="AE117">
        <v>31.37</v>
      </c>
      <c r="AH117">
        <v>5.77</v>
      </c>
      <c r="AI117">
        <v>33</v>
      </c>
      <c r="AJ117">
        <v>0.03</v>
      </c>
      <c r="AK117">
        <v>1.3</v>
      </c>
      <c r="AL117">
        <v>19</v>
      </c>
      <c r="AN117">
        <v>47</v>
      </c>
      <c r="AO117">
        <v>329</v>
      </c>
      <c r="AQ117">
        <v>0.41</v>
      </c>
      <c r="AR117">
        <v>0.18</v>
      </c>
      <c r="AS117">
        <v>0.02</v>
      </c>
      <c r="AT117">
        <v>0.22</v>
      </c>
      <c r="AV117">
        <v>38.700000000000003</v>
      </c>
      <c r="AW117">
        <v>82.56</v>
      </c>
      <c r="AX117">
        <v>129.22</v>
      </c>
      <c r="AY117">
        <v>88.8</v>
      </c>
      <c r="AZ117">
        <v>21.72</v>
      </c>
      <c r="BA117">
        <v>12.04</v>
      </c>
      <c r="BB117">
        <v>83.42</v>
      </c>
      <c r="BC117">
        <v>86.43</v>
      </c>
      <c r="BD117">
        <v>22.79</v>
      </c>
      <c r="BE117">
        <v>124.92</v>
      </c>
      <c r="BF117">
        <v>171.14</v>
      </c>
      <c r="BG117">
        <v>89.23</v>
      </c>
      <c r="BH117">
        <v>228.12</v>
      </c>
      <c r="BI117">
        <v>445.05</v>
      </c>
      <c r="BJ117">
        <v>89.23</v>
      </c>
      <c r="BK117">
        <v>74.180000000000007</v>
      </c>
      <c r="BL117">
        <v>110.73</v>
      </c>
      <c r="BM117">
        <v>62.14</v>
      </c>
      <c r="BO117">
        <v>18.48</v>
      </c>
    </row>
    <row r="118" spans="1:68">
      <c r="A118" s="30">
        <v>24002</v>
      </c>
      <c r="B118" s="33" t="s">
        <v>486</v>
      </c>
      <c r="C118" s="33" t="s">
        <v>487</v>
      </c>
      <c r="D118" s="35" t="s">
        <v>440</v>
      </c>
      <c r="E118" s="35" t="s">
        <v>76</v>
      </c>
      <c r="F118" s="35">
        <v>30015</v>
      </c>
      <c r="G118" s="35" t="s">
        <v>441</v>
      </c>
      <c r="H118">
        <v>21</v>
      </c>
      <c r="I118" t="s">
        <v>78</v>
      </c>
      <c r="J118">
        <v>147</v>
      </c>
      <c r="K118">
        <v>61.63</v>
      </c>
      <c r="L118">
        <v>6.85</v>
      </c>
      <c r="M118">
        <v>0.55000000000000004</v>
      </c>
      <c r="N118">
        <v>27.62</v>
      </c>
      <c r="O118">
        <v>2.1</v>
      </c>
      <c r="P118">
        <v>0.13</v>
      </c>
      <c r="Q118">
        <v>0.12</v>
      </c>
      <c r="R118">
        <v>0.5</v>
      </c>
      <c r="S118">
        <v>1.69</v>
      </c>
      <c r="T118">
        <v>1.24</v>
      </c>
      <c r="U118">
        <v>4</v>
      </c>
      <c r="V118">
        <v>0</v>
      </c>
      <c r="W118">
        <v>24.1</v>
      </c>
      <c r="X118">
        <v>2.2400000000000002</v>
      </c>
      <c r="Y118">
        <v>0.08</v>
      </c>
      <c r="AA118">
        <v>0</v>
      </c>
      <c r="AB118">
        <v>0</v>
      </c>
      <c r="AC118">
        <v>0</v>
      </c>
      <c r="AD118">
        <v>0</v>
      </c>
      <c r="AE118">
        <v>4.5599999999999996</v>
      </c>
      <c r="AH118">
        <v>1.56</v>
      </c>
      <c r="AI118">
        <v>24.5</v>
      </c>
      <c r="AJ118">
        <v>0.18</v>
      </c>
      <c r="AK118">
        <v>1.63</v>
      </c>
      <c r="AL118">
        <v>25</v>
      </c>
      <c r="AN118">
        <v>161.5</v>
      </c>
      <c r="AO118">
        <v>510.5</v>
      </c>
      <c r="AQ118">
        <v>1.08</v>
      </c>
      <c r="AR118">
        <v>0.03</v>
      </c>
      <c r="AS118">
        <v>0.01</v>
      </c>
      <c r="AT118">
        <v>0.06</v>
      </c>
      <c r="AV118">
        <v>85.92</v>
      </c>
      <c r="AW118">
        <v>148.96</v>
      </c>
      <c r="AX118">
        <v>260.76</v>
      </c>
      <c r="AY118">
        <v>267.06</v>
      </c>
      <c r="AZ118">
        <v>50.09</v>
      </c>
      <c r="BA118">
        <v>120.76</v>
      </c>
      <c r="BB118">
        <v>225.59</v>
      </c>
      <c r="BC118">
        <v>207.68</v>
      </c>
      <c r="BD118">
        <v>51.75</v>
      </c>
      <c r="BE118">
        <v>230.9</v>
      </c>
      <c r="BF118">
        <v>271.04000000000002</v>
      </c>
      <c r="BG118">
        <v>1032.4100000000001</v>
      </c>
      <c r="BH118">
        <v>715.25</v>
      </c>
      <c r="BI118">
        <v>1146.8599999999999</v>
      </c>
      <c r="BJ118">
        <v>198.05</v>
      </c>
      <c r="BK118">
        <v>245.16</v>
      </c>
      <c r="BL118">
        <v>227.25</v>
      </c>
      <c r="BM118">
        <v>218.29</v>
      </c>
      <c r="BO118">
        <v>34.64</v>
      </c>
    </row>
    <row r="119" spans="1:68">
      <c r="A119" s="30"/>
      <c r="B119" s="31" t="s">
        <v>488</v>
      </c>
      <c r="C119" s="31" t="s">
        <v>489</v>
      </c>
      <c r="D119" s="35" t="s">
        <v>490</v>
      </c>
      <c r="E119" s="52" t="s">
        <v>103</v>
      </c>
      <c r="F119">
        <v>11090</v>
      </c>
      <c r="G119" s="35" t="s">
        <v>491</v>
      </c>
      <c r="H119">
        <v>13</v>
      </c>
      <c r="I119" s="47" t="s">
        <v>295</v>
      </c>
    </row>
    <row r="120" spans="1:68">
      <c r="A120" s="30"/>
      <c r="B120" s="31" t="s">
        <v>492</v>
      </c>
      <c r="C120" s="31" t="s">
        <v>493</v>
      </c>
      <c r="D120" s="35" t="s">
        <v>306</v>
      </c>
      <c r="E120" s="35" t="s">
        <v>82</v>
      </c>
      <c r="F120" s="35" t="s">
        <v>494</v>
      </c>
      <c r="G120" s="35" t="s">
        <v>495</v>
      </c>
      <c r="H120">
        <v>13</v>
      </c>
      <c r="I120" s="47" t="s">
        <v>295</v>
      </c>
      <c r="J120">
        <v>20.079999999999998</v>
      </c>
      <c r="K120">
        <v>92.83</v>
      </c>
      <c r="L120">
        <v>1.1000000000000001</v>
      </c>
      <c r="M120">
        <v>0.51</v>
      </c>
      <c r="N120">
        <v>2.33</v>
      </c>
      <c r="O120">
        <v>2.2999999999999998</v>
      </c>
      <c r="P120">
        <v>0.05</v>
      </c>
      <c r="Q120">
        <v>0.09</v>
      </c>
      <c r="R120">
        <v>1.03</v>
      </c>
      <c r="S120">
        <v>0.99</v>
      </c>
      <c r="T120">
        <v>0.25</v>
      </c>
      <c r="U120">
        <v>18.850000000000001</v>
      </c>
      <c r="W120">
        <v>15.78</v>
      </c>
      <c r="Y120">
        <v>3.9</v>
      </c>
      <c r="Z120">
        <v>41.05</v>
      </c>
      <c r="AA120" t="s">
        <v>85</v>
      </c>
      <c r="AC120" t="s">
        <v>85</v>
      </c>
      <c r="AD120">
        <v>85.79</v>
      </c>
      <c r="AE120">
        <v>87.86</v>
      </c>
      <c r="AF120" t="s">
        <v>85</v>
      </c>
      <c r="AG120" t="s">
        <v>85</v>
      </c>
      <c r="AH120">
        <v>16.23</v>
      </c>
      <c r="AI120">
        <v>17.260000000000002</v>
      </c>
      <c r="AJ120">
        <v>7.0000000000000007E-2</v>
      </c>
      <c r="AK120">
        <v>0.52</v>
      </c>
      <c r="AL120">
        <v>15.41</v>
      </c>
      <c r="AM120">
        <v>0.13</v>
      </c>
      <c r="AN120">
        <v>21.38</v>
      </c>
      <c r="AO120">
        <v>178</v>
      </c>
      <c r="AP120">
        <v>0.21</v>
      </c>
      <c r="AQ120">
        <v>0.28999999999999998</v>
      </c>
      <c r="AR120">
        <v>0.11899999999999999</v>
      </c>
      <c r="AS120">
        <v>3.78E-2</v>
      </c>
      <c r="AT120">
        <v>0.251</v>
      </c>
      <c r="AU120" t="s">
        <v>85</v>
      </c>
      <c r="AV120">
        <v>1.98</v>
      </c>
      <c r="AW120">
        <v>4.24</v>
      </c>
      <c r="AX120">
        <v>5.68</v>
      </c>
      <c r="AY120">
        <v>4.67</v>
      </c>
      <c r="AZ120">
        <v>0.78</v>
      </c>
      <c r="BA120">
        <v>0.56999999999999995</v>
      </c>
      <c r="BB120">
        <v>4.7300000000000004</v>
      </c>
      <c r="BC120">
        <v>3.82</v>
      </c>
      <c r="BD120">
        <v>0.85</v>
      </c>
      <c r="BE120">
        <v>5.87</v>
      </c>
      <c r="BF120">
        <v>6.86</v>
      </c>
      <c r="BG120">
        <v>3.8</v>
      </c>
      <c r="BH120">
        <v>10.039999999999999</v>
      </c>
      <c r="BI120">
        <v>22.68</v>
      </c>
      <c r="BJ120">
        <v>3.48</v>
      </c>
      <c r="BK120">
        <v>4.26</v>
      </c>
      <c r="BL120">
        <v>4.42</v>
      </c>
      <c r="BM120">
        <v>2.87</v>
      </c>
      <c r="BN120">
        <v>42.94</v>
      </c>
      <c r="BO120">
        <v>10.57</v>
      </c>
      <c r="BP120">
        <v>17.829999999999998</v>
      </c>
    </row>
    <row r="121" spans="1:68">
      <c r="A121" s="30"/>
      <c r="B121" s="31" t="s">
        <v>496</v>
      </c>
      <c r="C121" s="31" t="s">
        <v>497</v>
      </c>
      <c r="D121" s="35" t="s">
        <v>498</v>
      </c>
      <c r="E121" s="35" t="s">
        <v>76</v>
      </c>
      <c r="F121" s="35">
        <v>20010</v>
      </c>
      <c r="G121" s="35" t="s">
        <v>499</v>
      </c>
      <c r="H121">
        <v>13</v>
      </c>
      <c r="I121" s="47" t="s">
        <v>295</v>
      </c>
      <c r="J121">
        <v>327</v>
      </c>
      <c r="K121">
        <v>11.71</v>
      </c>
      <c r="L121">
        <v>22.12</v>
      </c>
      <c r="M121">
        <v>2.1</v>
      </c>
      <c r="N121">
        <v>48.3</v>
      </c>
      <c r="O121">
        <v>13</v>
      </c>
      <c r="P121">
        <v>0.47</v>
      </c>
      <c r="Q121">
        <v>0.13</v>
      </c>
      <c r="R121">
        <v>2.5</v>
      </c>
      <c r="S121">
        <v>1.26</v>
      </c>
      <c r="T121">
        <v>0.08</v>
      </c>
      <c r="U121">
        <v>33</v>
      </c>
      <c r="V121">
        <v>0</v>
      </c>
      <c r="X121">
        <v>0</v>
      </c>
      <c r="Y121">
        <v>1.04</v>
      </c>
      <c r="AA121">
        <v>0</v>
      </c>
      <c r="AB121">
        <v>3.21</v>
      </c>
      <c r="AC121">
        <v>13.13</v>
      </c>
      <c r="AD121">
        <v>32</v>
      </c>
      <c r="AI121">
        <v>75</v>
      </c>
      <c r="AJ121">
        <v>1.29</v>
      </c>
      <c r="AK121">
        <v>4.8</v>
      </c>
      <c r="AL121">
        <v>101.94</v>
      </c>
      <c r="AN121">
        <v>298</v>
      </c>
      <c r="AO121">
        <v>709</v>
      </c>
      <c r="AQ121">
        <v>3.49</v>
      </c>
      <c r="AR121">
        <v>0.24</v>
      </c>
      <c r="AS121">
        <v>0.4</v>
      </c>
      <c r="AT121">
        <v>0.87</v>
      </c>
      <c r="AV121">
        <v>490</v>
      </c>
      <c r="AW121">
        <v>920</v>
      </c>
      <c r="AX121">
        <v>1400</v>
      </c>
      <c r="AY121">
        <v>1500</v>
      </c>
      <c r="AZ121">
        <v>170</v>
      </c>
      <c r="BA121">
        <v>150</v>
      </c>
      <c r="BB121">
        <v>920</v>
      </c>
      <c r="BC121">
        <v>740</v>
      </c>
      <c r="BD121">
        <v>180</v>
      </c>
      <c r="BE121">
        <v>1200</v>
      </c>
      <c r="BF121">
        <v>920</v>
      </c>
      <c r="BG121">
        <v>2000</v>
      </c>
      <c r="BH121">
        <v>2500</v>
      </c>
      <c r="BI121">
        <v>3300</v>
      </c>
      <c r="BJ121">
        <v>850</v>
      </c>
      <c r="BK121">
        <v>880</v>
      </c>
      <c r="BL121">
        <v>1100</v>
      </c>
      <c r="BM121">
        <v>530</v>
      </c>
      <c r="BO121">
        <v>377</v>
      </c>
    </row>
    <row r="122" spans="1:68">
      <c r="A122" s="30"/>
      <c r="B122" s="31" t="s">
        <v>500</v>
      </c>
      <c r="C122" s="31" t="s">
        <v>501</v>
      </c>
      <c r="D122" s="35" t="s">
        <v>502</v>
      </c>
      <c r="E122" s="35" t="s">
        <v>76</v>
      </c>
      <c r="F122" s="35">
        <v>60015</v>
      </c>
      <c r="G122" s="35" t="s">
        <v>503</v>
      </c>
      <c r="H122">
        <v>4</v>
      </c>
      <c r="I122" t="s">
        <v>202</v>
      </c>
      <c r="J122">
        <v>563</v>
      </c>
      <c r="K122">
        <v>5.3</v>
      </c>
      <c r="L122">
        <v>17.73</v>
      </c>
      <c r="M122">
        <v>45.75</v>
      </c>
      <c r="N122">
        <v>14.3</v>
      </c>
      <c r="O122">
        <v>11.72</v>
      </c>
      <c r="P122">
        <v>0.79</v>
      </c>
      <c r="Q122">
        <v>0.34</v>
      </c>
      <c r="R122">
        <v>4.45</v>
      </c>
      <c r="S122">
        <v>0.49</v>
      </c>
      <c r="T122">
        <v>0.78</v>
      </c>
      <c r="U122">
        <v>97</v>
      </c>
      <c r="V122">
        <v>0</v>
      </c>
      <c r="W122">
        <v>0</v>
      </c>
      <c r="X122">
        <v>69.03</v>
      </c>
      <c r="Y122">
        <v>2</v>
      </c>
      <c r="AA122">
        <v>0</v>
      </c>
      <c r="AB122">
        <v>0</v>
      </c>
      <c r="AC122">
        <v>0</v>
      </c>
      <c r="AD122">
        <v>4.6100000000000003</v>
      </c>
      <c r="AE122">
        <v>19.87</v>
      </c>
      <c r="AH122">
        <v>2.3199999999999998</v>
      </c>
      <c r="AI122">
        <v>969</v>
      </c>
      <c r="AJ122">
        <v>4.0599999999999996</v>
      </c>
      <c r="AK122">
        <v>10.5</v>
      </c>
      <c r="AL122">
        <v>348.75</v>
      </c>
      <c r="AN122">
        <v>624.97</v>
      </c>
      <c r="AO122">
        <v>465</v>
      </c>
      <c r="AQ122">
        <v>7.7</v>
      </c>
      <c r="AR122">
        <v>6.17</v>
      </c>
      <c r="AS122">
        <v>17.21</v>
      </c>
      <c r="AT122">
        <v>20.07</v>
      </c>
      <c r="AU122">
        <v>0</v>
      </c>
      <c r="AV122">
        <v>492.98</v>
      </c>
      <c r="AW122">
        <v>1160.93</v>
      </c>
      <c r="AX122">
        <v>1214.3900000000001</v>
      </c>
      <c r="AY122">
        <v>540.89</v>
      </c>
      <c r="AZ122">
        <v>576.29999999999995</v>
      </c>
      <c r="BA122">
        <v>254.13</v>
      </c>
      <c r="BB122">
        <v>899.16</v>
      </c>
      <c r="BC122">
        <v>749.19</v>
      </c>
      <c r="BD122">
        <v>383.27</v>
      </c>
      <c r="BE122">
        <v>731.13</v>
      </c>
      <c r="BF122">
        <v>1194.95</v>
      </c>
      <c r="BG122">
        <v>2326.02</v>
      </c>
      <c r="BH122">
        <v>1828.87</v>
      </c>
      <c r="BI122">
        <v>4228.49</v>
      </c>
      <c r="BJ122">
        <v>1219.25</v>
      </c>
      <c r="BK122">
        <v>763.77</v>
      </c>
      <c r="BL122">
        <v>1148.43</v>
      </c>
      <c r="BM122">
        <v>686</v>
      </c>
      <c r="BO122">
        <v>897.67</v>
      </c>
    </row>
    <row r="123" spans="1:68">
      <c r="A123" s="30"/>
      <c r="B123" s="31" t="s">
        <v>504</v>
      </c>
      <c r="C123" s="31" t="s">
        <v>505</v>
      </c>
      <c r="D123" s="35" t="s">
        <v>506</v>
      </c>
      <c r="E123" s="35" t="s">
        <v>76</v>
      </c>
      <c r="F123" s="35">
        <v>60009</v>
      </c>
      <c r="G123" s="35" t="s">
        <v>507</v>
      </c>
      <c r="H123">
        <v>4</v>
      </c>
      <c r="I123" t="s">
        <v>202</v>
      </c>
      <c r="J123">
        <v>500</v>
      </c>
      <c r="K123">
        <v>6.5</v>
      </c>
      <c r="L123">
        <v>17.21</v>
      </c>
      <c r="M123">
        <v>39.119999999999997</v>
      </c>
      <c r="N123">
        <v>6.15</v>
      </c>
      <c r="O123">
        <v>27.3</v>
      </c>
      <c r="P123">
        <v>1.64</v>
      </c>
      <c r="Q123">
        <v>0.16</v>
      </c>
      <c r="R123">
        <v>3.08</v>
      </c>
      <c r="S123">
        <v>0.37</v>
      </c>
      <c r="T123">
        <v>0.47</v>
      </c>
      <c r="U123">
        <v>87</v>
      </c>
      <c r="V123">
        <v>0</v>
      </c>
      <c r="W123">
        <v>0</v>
      </c>
      <c r="X123">
        <v>0.55000000000000004</v>
      </c>
      <c r="Y123">
        <v>10.35</v>
      </c>
      <c r="AA123">
        <v>0</v>
      </c>
      <c r="AB123">
        <v>0</v>
      </c>
      <c r="AC123">
        <v>0</v>
      </c>
      <c r="AD123">
        <v>1.05</v>
      </c>
      <c r="AE123">
        <v>5.67</v>
      </c>
      <c r="AH123">
        <v>7.22</v>
      </c>
      <c r="AI123">
        <v>255</v>
      </c>
      <c r="AJ123">
        <v>1.22</v>
      </c>
      <c r="AK123">
        <v>5.73</v>
      </c>
      <c r="AL123">
        <v>392</v>
      </c>
      <c r="AN123">
        <v>642</v>
      </c>
      <c r="AO123">
        <v>813</v>
      </c>
      <c r="AQ123">
        <v>4.34</v>
      </c>
      <c r="AR123">
        <v>3.41</v>
      </c>
      <c r="AS123">
        <v>6.94</v>
      </c>
      <c r="AT123">
        <v>26.5</v>
      </c>
      <c r="AU123">
        <v>0</v>
      </c>
      <c r="AV123">
        <v>444</v>
      </c>
      <c r="AW123">
        <v>843</v>
      </c>
      <c r="AX123">
        <v>1162</v>
      </c>
      <c r="AY123">
        <v>811</v>
      </c>
      <c r="AZ123">
        <v>348</v>
      </c>
      <c r="BA123">
        <v>320</v>
      </c>
      <c r="BB123">
        <v>901</v>
      </c>
      <c r="BC123">
        <v>721</v>
      </c>
      <c r="BD123">
        <v>280</v>
      </c>
      <c r="BE123">
        <v>1009</v>
      </c>
      <c r="BF123">
        <v>871</v>
      </c>
      <c r="BG123">
        <v>1812</v>
      </c>
      <c r="BH123">
        <v>1926</v>
      </c>
      <c r="BI123">
        <v>3801</v>
      </c>
      <c r="BJ123">
        <v>1175</v>
      </c>
      <c r="BK123">
        <v>759</v>
      </c>
      <c r="BL123">
        <v>913</v>
      </c>
      <c r="BM123">
        <v>464</v>
      </c>
      <c r="BO123">
        <v>1859</v>
      </c>
    </row>
    <row r="124" spans="1:68" s="58" customFormat="1">
      <c r="A124" s="55"/>
      <c r="B124" s="56" t="s">
        <v>508</v>
      </c>
      <c r="C124" s="56" t="s">
        <v>509</v>
      </c>
      <c r="D124" s="57"/>
      <c r="E124" s="57"/>
      <c r="F124" s="57"/>
      <c r="G124" s="57"/>
      <c r="H124" s="58">
        <v>13</v>
      </c>
      <c r="I124" s="61" t="s">
        <v>295</v>
      </c>
    </row>
    <row r="125" spans="1:68">
      <c r="A125" s="30"/>
      <c r="B125" s="31" t="s">
        <v>510</v>
      </c>
      <c r="C125" s="31" t="s">
        <v>511</v>
      </c>
      <c r="D125" s="35" t="s">
        <v>512</v>
      </c>
      <c r="E125" s="35" t="s">
        <v>76</v>
      </c>
      <c r="F125" s="35">
        <v>90062</v>
      </c>
      <c r="G125" s="35" t="s">
        <v>513</v>
      </c>
      <c r="H125">
        <v>8</v>
      </c>
      <c r="I125" t="s">
        <v>514</v>
      </c>
      <c r="J125">
        <v>90</v>
      </c>
      <c r="K125">
        <v>76.7</v>
      </c>
      <c r="L125">
        <v>16.600000000000001</v>
      </c>
      <c r="M125">
        <v>2.67</v>
      </c>
      <c r="N125">
        <v>0</v>
      </c>
      <c r="O125">
        <v>0</v>
      </c>
      <c r="P125">
        <v>0.05</v>
      </c>
      <c r="Q125">
        <v>7.0000000000000007E-2</v>
      </c>
      <c r="R125">
        <v>0.7</v>
      </c>
      <c r="S125">
        <v>1.18</v>
      </c>
      <c r="T125">
        <v>0.11</v>
      </c>
      <c r="V125">
        <v>5</v>
      </c>
      <c r="X125">
        <v>0.84</v>
      </c>
      <c r="AI125">
        <v>650</v>
      </c>
      <c r="AJ125">
        <v>0.35</v>
      </c>
      <c r="AK125">
        <v>1</v>
      </c>
      <c r="AL125">
        <v>12</v>
      </c>
      <c r="AN125">
        <v>175</v>
      </c>
      <c r="AO125">
        <v>288</v>
      </c>
      <c r="AQ125">
        <v>1.1299999999999999</v>
      </c>
      <c r="AR125">
        <v>0.21</v>
      </c>
      <c r="AS125">
        <v>0.14000000000000001</v>
      </c>
      <c r="AT125">
        <v>0.26</v>
      </c>
      <c r="AU125">
        <v>52.91</v>
      </c>
      <c r="AV125">
        <v>940.17</v>
      </c>
      <c r="AW125">
        <v>806.14</v>
      </c>
      <c r="AX125">
        <v>1235.82</v>
      </c>
      <c r="AY125">
        <v>1582.71</v>
      </c>
      <c r="AZ125">
        <v>1097.8499999999999</v>
      </c>
      <c r="BA125">
        <v>2982.12</v>
      </c>
      <c r="BB125">
        <v>1036.75</v>
      </c>
      <c r="BC125">
        <v>571.59</v>
      </c>
      <c r="BD125">
        <v>204.98</v>
      </c>
      <c r="BE125">
        <v>1062.3699999999999</v>
      </c>
      <c r="BF125">
        <v>482.9</v>
      </c>
      <c r="BG125">
        <v>725.33</v>
      </c>
      <c r="BH125">
        <v>285.8</v>
      </c>
      <c r="BI125">
        <v>1417.15</v>
      </c>
      <c r="BJ125">
        <v>1892.16</v>
      </c>
      <c r="BK125">
        <v>1263.4100000000001</v>
      </c>
      <c r="BL125">
        <v>912.57</v>
      </c>
      <c r="BM125">
        <v>670.14</v>
      </c>
    </row>
    <row r="126" spans="1:68">
      <c r="A126" s="30"/>
      <c r="B126" s="31" t="s">
        <v>515</v>
      </c>
      <c r="C126" s="31" t="s">
        <v>516</v>
      </c>
      <c r="D126" s="35" t="s">
        <v>517</v>
      </c>
      <c r="E126" s="52" t="s">
        <v>103</v>
      </c>
      <c r="F126" s="35">
        <v>15114</v>
      </c>
      <c r="G126" s="35" t="s">
        <v>518</v>
      </c>
      <c r="H126">
        <v>8</v>
      </c>
      <c r="I126" t="s">
        <v>514</v>
      </c>
    </row>
    <row r="127" spans="1:68">
      <c r="A127" s="30"/>
      <c r="B127" s="31" t="s">
        <v>519</v>
      </c>
      <c r="C127" s="31" t="s">
        <v>520</v>
      </c>
      <c r="D127" s="35" t="s">
        <v>521</v>
      </c>
      <c r="E127" s="35" t="s">
        <v>76</v>
      </c>
      <c r="F127" s="35">
        <v>90050</v>
      </c>
      <c r="G127" s="35" t="s">
        <v>522</v>
      </c>
      <c r="H127">
        <v>8</v>
      </c>
      <c r="I127" t="s">
        <v>514</v>
      </c>
      <c r="J127">
        <v>162</v>
      </c>
      <c r="K127">
        <v>70.84</v>
      </c>
      <c r="L127">
        <v>15.9</v>
      </c>
      <c r="M127">
        <v>10.96</v>
      </c>
      <c r="N127">
        <v>0</v>
      </c>
      <c r="O127">
        <v>0</v>
      </c>
      <c r="P127">
        <v>0.15</v>
      </c>
      <c r="Q127">
        <v>0.06</v>
      </c>
      <c r="R127">
        <v>0.6</v>
      </c>
      <c r="S127">
        <v>0.66</v>
      </c>
      <c r="T127">
        <v>0.11</v>
      </c>
      <c r="U127">
        <v>1323</v>
      </c>
      <c r="V127">
        <v>1</v>
      </c>
      <c r="X127">
        <v>0.19</v>
      </c>
      <c r="Y127">
        <v>2.8</v>
      </c>
      <c r="AA127">
        <v>5.14</v>
      </c>
      <c r="AB127">
        <v>5.14</v>
      </c>
      <c r="AI127">
        <v>14.37</v>
      </c>
      <c r="AJ127">
        <v>7.0000000000000007E-2</v>
      </c>
      <c r="AK127">
        <v>0.15</v>
      </c>
      <c r="AL127">
        <v>28.93</v>
      </c>
      <c r="AN127">
        <v>130</v>
      </c>
      <c r="AO127">
        <v>169</v>
      </c>
      <c r="AQ127">
        <v>1.85</v>
      </c>
      <c r="AR127">
        <v>4.05</v>
      </c>
      <c r="AS127">
        <v>4.3499999999999996</v>
      </c>
      <c r="AT127">
        <v>1.69</v>
      </c>
      <c r="AU127">
        <v>66.89</v>
      </c>
      <c r="AV127">
        <v>324</v>
      </c>
      <c r="AW127">
        <v>622</v>
      </c>
      <c r="AX127">
        <v>1139</v>
      </c>
      <c r="AY127">
        <v>1251</v>
      </c>
      <c r="AZ127">
        <v>563</v>
      </c>
      <c r="BA127">
        <v>144</v>
      </c>
      <c r="BB127">
        <v>625</v>
      </c>
      <c r="BC127">
        <v>683</v>
      </c>
      <c r="BD127">
        <v>234</v>
      </c>
      <c r="BE127">
        <v>762</v>
      </c>
      <c r="BF127">
        <v>1632</v>
      </c>
      <c r="BG127">
        <v>990</v>
      </c>
      <c r="BH127">
        <v>1339</v>
      </c>
      <c r="BI127">
        <v>2581</v>
      </c>
      <c r="BJ127">
        <v>1137</v>
      </c>
      <c r="BK127">
        <v>751</v>
      </c>
      <c r="BL127">
        <v>629</v>
      </c>
      <c r="BM127">
        <v>469</v>
      </c>
    </row>
    <row r="128" spans="1:68">
      <c r="A128" s="30"/>
      <c r="B128" s="31" t="s">
        <v>523</v>
      </c>
      <c r="C128" s="31" t="s">
        <v>524</v>
      </c>
      <c r="D128" s="35" t="s">
        <v>525</v>
      </c>
      <c r="E128" s="35" t="s">
        <v>76</v>
      </c>
      <c r="F128" s="35">
        <v>90036</v>
      </c>
      <c r="G128" s="35" t="s">
        <v>526</v>
      </c>
      <c r="H128">
        <v>8</v>
      </c>
      <c r="I128" t="s">
        <v>514</v>
      </c>
      <c r="J128">
        <v>223</v>
      </c>
      <c r="K128">
        <v>62.7</v>
      </c>
      <c r="L128">
        <v>17.96</v>
      </c>
      <c r="M128">
        <v>16.78</v>
      </c>
      <c r="N128">
        <v>0</v>
      </c>
      <c r="O128">
        <v>0</v>
      </c>
      <c r="P128">
        <v>0.12</v>
      </c>
      <c r="Q128">
        <v>0.14000000000000001</v>
      </c>
      <c r="R128">
        <v>2.2599999999999998</v>
      </c>
      <c r="S128">
        <v>2.33</v>
      </c>
      <c r="T128">
        <v>0.42</v>
      </c>
      <c r="U128">
        <v>2875</v>
      </c>
      <c r="V128">
        <v>2.2999999999999998</v>
      </c>
      <c r="X128">
        <v>4.6399999999999997</v>
      </c>
      <c r="Y128">
        <v>1.35</v>
      </c>
      <c r="AA128">
        <v>7.42</v>
      </c>
      <c r="AI128">
        <v>85.96</v>
      </c>
      <c r="AJ128">
        <v>0.18</v>
      </c>
      <c r="AK128">
        <v>1.29</v>
      </c>
      <c r="AL128">
        <v>25.69</v>
      </c>
      <c r="AN128">
        <v>195.46</v>
      </c>
      <c r="AO128">
        <v>162</v>
      </c>
      <c r="AQ128">
        <v>0.54</v>
      </c>
      <c r="AR128">
        <v>11.98</v>
      </c>
      <c r="AS128">
        <v>9.84</v>
      </c>
      <c r="AT128">
        <v>2.48</v>
      </c>
      <c r="AU128">
        <v>123.32</v>
      </c>
      <c r="AV128">
        <v>695</v>
      </c>
      <c r="AW128">
        <v>730</v>
      </c>
      <c r="AX128">
        <v>1354</v>
      </c>
      <c r="AY128">
        <v>1621</v>
      </c>
      <c r="AZ128">
        <v>552</v>
      </c>
      <c r="BB128">
        <v>730</v>
      </c>
      <c r="BC128">
        <v>909</v>
      </c>
      <c r="BE128">
        <v>909</v>
      </c>
      <c r="BF128">
        <v>1087</v>
      </c>
      <c r="BG128">
        <v>998</v>
      </c>
      <c r="BH128">
        <v>1746</v>
      </c>
      <c r="BI128">
        <v>2405</v>
      </c>
      <c r="BJ128">
        <v>677</v>
      </c>
      <c r="BK128">
        <v>552</v>
      </c>
      <c r="BL128">
        <v>499</v>
      </c>
      <c r="BM128">
        <v>695</v>
      </c>
    </row>
    <row r="129" spans="1:68">
      <c r="A129" s="30"/>
      <c r="B129" s="31" t="s">
        <v>527</v>
      </c>
      <c r="C129" s="31" t="s">
        <v>528</v>
      </c>
      <c r="D129" s="35" t="s">
        <v>529</v>
      </c>
      <c r="E129" s="35" t="s">
        <v>82</v>
      </c>
      <c r="F129" s="48" t="s">
        <v>530</v>
      </c>
      <c r="G129" s="35" t="s">
        <v>531</v>
      </c>
      <c r="H129">
        <v>8</v>
      </c>
      <c r="I129" t="s">
        <v>514</v>
      </c>
      <c r="J129">
        <v>107.79</v>
      </c>
      <c r="K129">
        <v>75.569999999999993</v>
      </c>
      <c r="L129">
        <v>20.41</v>
      </c>
      <c r="M129">
        <v>2.63</v>
      </c>
      <c r="N129" t="s">
        <v>85</v>
      </c>
      <c r="O129" t="s">
        <v>85</v>
      </c>
      <c r="P129" t="s">
        <v>85</v>
      </c>
      <c r="Q129">
        <v>0.31</v>
      </c>
      <c r="R129">
        <v>2.2999999999999998</v>
      </c>
      <c r="S129">
        <v>1.52</v>
      </c>
      <c r="T129">
        <v>0.11</v>
      </c>
      <c r="U129">
        <v>12.94</v>
      </c>
      <c r="W129" t="s">
        <v>85</v>
      </c>
      <c r="Y129">
        <v>1.8</v>
      </c>
      <c r="Z129" t="s">
        <v>85</v>
      </c>
      <c r="AA129">
        <v>866</v>
      </c>
      <c r="AC129" t="s">
        <v>85</v>
      </c>
      <c r="AD129" t="s">
        <v>85</v>
      </c>
      <c r="AE129" t="s">
        <v>85</v>
      </c>
      <c r="AF129" t="s">
        <v>85</v>
      </c>
      <c r="AG129" t="s">
        <v>85</v>
      </c>
      <c r="AH129" t="s">
        <v>85</v>
      </c>
      <c r="AI129">
        <v>52.99</v>
      </c>
      <c r="AJ129">
        <v>2.72</v>
      </c>
      <c r="AK129">
        <v>1.54</v>
      </c>
      <c r="AL129">
        <v>42.5</v>
      </c>
      <c r="AM129">
        <v>0.13</v>
      </c>
      <c r="AN129">
        <v>361</v>
      </c>
      <c r="AO129">
        <v>450</v>
      </c>
      <c r="AP129">
        <v>67.319999999999993</v>
      </c>
      <c r="AQ129">
        <v>2.23</v>
      </c>
      <c r="AR129">
        <v>0.98099999999999998</v>
      </c>
      <c r="AS129">
        <v>0.73299999999999998</v>
      </c>
      <c r="AT129">
        <v>0.6</v>
      </c>
      <c r="AU129">
        <v>58.64</v>
      </c>
      <c r="AV129">
        <v>3.67</v>
      </c>
      <c r="AW129">
        <v>3.43</v>
      </c>
      <c r="AX129">
        <v>3.41</v>
      </c>
      <c r="AY129">
        <v>5.94</v>
      </c>
      <c r="AZ129">
        <v>4.62</v>
      </c>
      <c r="BA129">
        <v>10.94</v>
      </c>
      <c r="BB129">
        <v>4.07</v>
      </c>
      <c r="BC129">
        <v>3.46</v>
      </c>
      <c r="BD129">
        <v>1.22</v>
      </c>
      <c r="BE129">
        <v>4.5599999999999996</v>
      </c>
      <c r="BF129">
        <v>2.06</v>
      </c>
      <c r="BG129">
        <v>4.0599999999999996</v>
      </c>
      <c r="BH129">
        <v>1.1200000000000001</v>
      </c>
      <c r="BI129">
        <v>7.74</v>
      </c>
      <c r="BJ129">
        <v>6.53</v>
      </c>
      <c r="BK129">
        <v>5.97</v>
      </c>
      <c r="BL129">
        <v>3.52</v>
      </c>
      <c r="BM129">
        <v>3.78</v>
      </c>
      <c r="BN129" t="s">
        <v>85</v>
      </c>
      <c r="BO129" t="s">
        <v>85</v>
      </c>
      <c r="BP129" t="s">
        <v>85</v>
      </c>
    </row>
    <row r="130" spans="1:68">
      <c r="A130" s="30"/>
      <c r="B130" s="31" t="s">
        <v>532</v>
      </c>
      <c r="C130" s="31" t="s">
        <v>533</v>
      </c>
      <c r="D130" s="35" t="s">
        <v>534</v>
      </c>
      <c r="E130" s="52" t="s">
        <v>103</v>
      </c>
      <c r="F130" s="35">
        <v>15028</v>
      </c>
      <c r="G130" s="35" t="s">
        <v>535</v>
      </c>
      <c r="H130">
        <v>8</v>
      </c>
      <c r="I130" t="s">
        <v>514</v>
      </c>
    </row>
    <row r="131" spans="1:68">
      <c r="A131" s="30"/>
      <c r="B131" s="31" t="s">
        <v>536</v>
      </c>
      <c r="C131" s="31" t="s">
        <v>537</v>
      </c>
      <c r="D131" s="35" t="s">
        <v>538</v>
      </c>
      <c r="E131" s="35" t="s">
        <v>76</v>
      </c>
      <c r="F131" s="35">
        <v>90074</v>
      </c>
      <c r="G131" s="35" t="s">
        <v>539</v>
      </c>
      <c r="H131">
        <v>8</v>
      </c>
      <c r="I131" t="s">
        <v>514</v>
      </c>
      <c r="J131">
        <v>103</v>
      </c>
      <c r="K131">
        <v>77.569999999999993</v>
      </c>
      <c r="L131">
        <v>15.56</v>
      </c>
      <c r="M131">
        <v>4.58</v>
      </c>
      <c r="N131">
        <v>0</v>
      </c>
      <c r="O131">
        <v>0</v>
      </c>
      <c r="P131">
        <v>0.03</v>
      </c>
      <c r="Q131">
        <v>0.06</v>
      </c>
      <c r="R131">
        <v>1.7</v>
      </c>
      <c r="T131">
        <v>0.25</v>
      </c>
      <c r="V131">
        <v>4.83</v>
      </c>
      <c r="AA131">
        <v>10</v>
      </c>
      <c r="AB131">
        <v>15.33</v>
      </c>
      <c r="AD131">
        <v>64</v>
      </c>
      <c r="AI131">
        <v>26.77</v>
      </c>
      <c r="AJ131">
        <v>0.06</v>
      </c>
      <c r="AK131">
        <v>0.76</v>
      </c>
      <c r="AL131">
        <v>24.75</v>
      </c>
      <c r="AN131">
        <v>180</v>
      </c>
      <c r="AO131">
        <v>344.47</v>
      </c>
      <c r="AQ131">
        <v>0.53</v>
      </c>
      <c r="AR131">
        <v>4.66</v>
      </c>
      <c r="AS131">
        <v>4.0999999999999996</v>
      </c>
      <c r="AT131">
        <v>1.1000000000000001</v>
      </c>
      <c r="AU131">
        <v>142.9</v>
      </c>
      <c r="AV131">
        <v>310</v>
      </c>
      <c r="AW131">
        <v>723</v>
      </c>
      <c r="AX131">
        <v>1231</v>
      </c>
      <c r="AY131">
        <v>1378</v>
      </c>
      <c r="AZ131">
        <v>330</v>
      </c>
      <c r="BB131">
        <v>634</v>
      </c>
      <c r="BC131">
        <v>686</v>
      </c>
      <c r="BE131">
        <v>763</v>
      </c>
      <c r="BF131">
        <v>979</v>
      </c>
      <c r="BG131">
        <v>932</v>
      </c>
      <c r="BH131">
        <v>1566</v>
      </c>
      <c r="BJ131">
        <v>1043</v>
      </c>
      <c r="BK131">
        <v>653</v>
      </c>
      <c r="BL131">
        <v>544</v>
      </c>
      <c r="BM131">
        <v>373</v>
      </c>
    </row>
    <row r="132" spans="1:68">
      <c r="A132" s="30"/>
      <c r="B132" s="31" t="s">
        <v>540</v>
      </c>
      <c r="C132" s="31" t="s">
        <v>541</v>
      </c>
      <c r="D132" s="35" t="s">
        <v>542</v>
      </c>
      <c r="E132" s="35" t="s">
        <v>76</v>
      </c>
      <c r="F132" s="35" t="s">
        <v>543</v>
      </c>
      <c r="G132" s="35" t="s">
        <v>544</v>
      </c>
      <c r="H132">
        <v>8</v>
      </c>
      <c r="I132" t="s">
        <v>514</v>
      </c>
      <c r="J132">
        <v>130</v>
      </c>
      <c r="K132">
        <v>73.03</v>
      </c>
      <c r="L132">
        <v>17.52</v>
      </c>
      <c r="M132">
        <v>6.61</v>
      </c>
      <c r="N132">
        <v>0</v>
      </c>
      <c r="O132">
        <v>0</v>
      </c>
      <c r="P132">
        <v>0.03</v>
      </c>
      <c r="Q132">
        <v>0.18</v>
      </c>
      <c r="R132">
        <v>2.6</v>
      </c>
      <c r="T132">
        <v>0.12</v>
      </c>
      <c r="U132">
        <v>5</v>
      </c>
      <c r="V132">
        <v>2.38</v>
      </c>
      <c r="W132">
        <v>0.5</v>
      </c>
      <c r="AA132">
        <v>209</v>
      </c>
      <c r="AB132">
        <v>215.17</v>
      </c>
      <c r="AD132">
        <v>74</v>
      </c>
      <c r="AI132">
        <v>410</v>
      </c>
      <c r="AJ132">
        <v>0.04</v>
      </c>
      <c r="AK132">
        <v>1.21</v>
      </c>
      <c r="AL132">
        <v>53.06</v>
      </c>
      <c r="AN132">
        <v>390.28</v>
      </c>
      <c r="AO132">
        <v>213.84</v>
      </c>
      <c r="AQ132">
        <v>1.1299999999999999</v>
      </c>
    </row>
    <row r="133" spans="1:68">
      <c r="A133" s="30"/>
      <c r="B133" s="31" t="s">
        <v>545</v>
      </c>
      <c r="C133" s="31" t="s">
        <v>546</v>
      </c>
      <c r="D133" s="35" t="s">
        <v>547</v>
      </c>
      <c r="E133" s="35" t="s">
        <v>76</v>
      </c>
      <c r="F133" s="35">
        <v>90070</v>
      </c>
      <c r="G133" s="35" t="s">
        <v>548</v>
      </c>
      <c r="H133">
        <v>8</v>
      </c>
      <c r="I133" t="s">
        <v>514</v>
      </c>
      <c r="J133">
        <v>101</v>
      </c>
      <c r="K133">
        <v>78.39</v>
      </c>
      <c r="L133">
        <v>17.739999999999998</v>
      </c>
      <c r="M133">
        <v>3.3</v>
      </c>
      <c r="N133">
        <v>0</v>
      </c>
      <c r="O133">
        <v>0</v>
      </c>
      <c r="P133">
        <v>0.04</v>
      </c>
      <c r="Q133">
        <v>0.05</v>
      </c>
      <c r="R133">
        <v>2</v>
      </c>
      <c r="T133">
        <v>0.24</v>
      </c>
      <c r="V133">
        <v>1.2</v>
      </c>
      <c r="AI133">
        <v>103.82</v>
      </c>
      <c r="AJ133">
        <v>0.2</v>
      </c>
      <c r="AK133">
        <v>1.04</v>
      </c>
      <c r="AL133">
        <v>42.65</v>
      </c>
      <c r="AN133">
        <v>130.29</v>
      </c>
      <c r="AO133">
        <v>362.43</v>
      </c>
      <c r="AQ133">
        <v>0.31</v>
      </c>
      <c r="AR133">
        <v>1.01</v>
      </c>
      <c r="AS133">
        <v>0.85</v>
      </c>
      <c r="AT133">
        <v>0.48</v>
      </c>
      <c r="AU133">
        <v>38.94</v>
      </c>
    </row>
    <row r="134" spans="1:68">
      <c r="A134" s="30"/>
      <c r="B134" s="31" t="s">
        <v>549</v>
      </c>
      <c r="C134" s="31" t="s">
        <v>550</v>
      </c>
      <c r="D134" s="35" t="s">
        <v>551</v>
      </c>
      <c r="E134" s="35" t="s">
        <v>76</v>
      </c>
      <c r="F134" s="35">
        <v>90065</v>
      </c>
      <c r="G134" s="35" t="s">
        <v>552</v>
      </c>
      <c r="H134">
        <v>8</v>
      </c>
      <c r="I134" t="s">
        <v>514</v>
      </c>
      <c r="J134">
        <v>123</v>
      </c>
      <c r="K134">
        <v>75.89</v>
      </c>
      <c r="L134">
        <v>17.2</v>
      </c>
      <c r="M134">
        <v>6.2</v>
      </c>
      <c r="N134">
        <v>0</v>
      </c>
      <c r="O134">
        <v>0</v>
      </c>
      <c r="P134">
        <v>0.02</v>
      </c>
      <c r="Q134">
        <v>0.02</v>
      </c>
      <c r="R134">
        <v>1.87</v>
      </c>
      <c r="T134">
        <v>136</v>
      </c>
      <c r="U134">
        <v>8</v>
      </c>
      <c r="W134">
        <v>0</v>
      </c>
      <c r="X134">
        <v>0.68</v>
      </c>
      <c r="Y134">
        <v>0.49</v>
      </c>
      <c r="AA134">
        <v>6.74</v>
      </c>
      <c r="AB134">
        <v>7</v>
      </c>
      <c r="AI134">
        <v>22</v>
      </c>
      <c r="AJ134">
        <v>0.02</v>
      </c>
      <c r="AK134">
        <v>2.1</v>
      </c>
      <c r="AL134">
        <v>28</v>
      </c>
      <c r="AN134">
        <v>187</v>
      </c>
      <c r="AO134">
        <v>225</v>
      </c>
      <c r="AQ134">
        <v>0.23</v>
      </c>
      <c r="AR134">
        <v>1.83</v>
      </c>
      <c r="AS134">
        <v>1.96</v>
      </c>
      <c r="AT134">
        <v>0.89</v>
      </c>
      <c r="AU134">
        <v>68.540000000000006</v>
      </c>
      <c r="AV134">
        <v>979.12</v>
      </c>
      <c r="AW134">
        <v>1031.23</v>
      </c>
      <c r="AX134">
        <v>1571.8</v>
      </c>
      <c r="AY134">
        <v>1326.48</v>
      </c>
      <c r="AZ134">
        <v>920.5</v>
      </c>
      <c r="BA134">
        <v>306.11</v>
      </c>
      <c r="BB134">
        <v>1154.97</v>
      </c>
      <c r="BC134">
        <v>1018.2</v>
      </c>
      <c r="BD134">
        <v>254.01</v>
      </c>
      <c r="BE134">
        <v>1035.57</v>
      </c>
      <c r="BF134">
        <v>718.6</v>
      </c>
      <c r="BG134">
        <v>861.89</v>
      </c>
      <c r="BH134">
        <v>2047.25</v>
      </c>
      <c r="BI134">
        <v>2985.13</v>
      </c>
      <c r="BJ134">
        <v>2131.92</v>
      </c>
      <c r="BK134">
        <v>1676.01</v>
      </c>
      <c r="BL134">
        <v>985.63</v>
      </c>
      <c r="BM134">
        <v>738.14</v>
      </c>
    </row>
    <row r="135" spans="1:68">
      <c r="A135" s="30"/>
      <c r="B135" s="31" t="s">
        <v>553</v>
      </c>
      <c r="C135" s="31" t="s">
        <v>554</v>
      </c>
      <c r="D135" s="35" t="s">
        <v>555</v>
      </c>
      <c r="E135" s="35" t="s">
        <v>82</v>
      </c>
      <c r="F135" s="35" t="s">
        <v>556</v>
      </c>
      <c r="G135" s="35" t="s">
        <v>557</v>
      </c>
      <c r="H135">
        <v>8</v>
      </c>
      <c r="I135" t="s">
        <v>514</v>
      </c>
      <c r="J135">
        <v>125.72</v>
      </c>
      <c r="K135">
        <v>74.209999999999994</v>
      </c>
      <c r="L135">
        <v>20.74</v>
      </c>
      <c r="M135">
        <v>4.6900000000000004</v>
      </c>
      <c r="N135" t="s">
        <v>85</v>
      </c>
      <c r="O135" t="s">
        <v>85</v>
      </c>
      <c r="P135">
        <v>7.0000000000000007E-2</v>
      </c>
      <c r="Q135">
        <v>7.0000000000000007E-2</v>
      </c>
      <c r="R135">
        <v>1.83</v>
      </c>
      <c r="S135">
        <v>1.72</v>
      </c>
      <c r="T135">
        <v>0.14000000000000001</v>
      </c>
      <c r="U135">
        <v>7.72</v>
      </c>
      <c r="W135" t="s">
        <v>85</v>
      </c>
      <c r="Y135">
        <v>1.2</v>
      </c>
      <c r="Z135" t="s">
        <v>85</v>
      </c>
      <c r="AA135">
        <v>8.94</v>
      </c>
      <c r="AC135" t="s">
        <v>85</v>
      </c>
      <c r="AD135" t="s">
        <v>85</v>
      </c>
      <c r="AE135" t="s">
        <v>85</v>
      </c>
      <c r="AF135" t="s">
        <v>85</v>
      </c>
      <c r="AG135" t="s">
        <v>85</v>
      </c>
      <c r="AH135" t="s">
        <v>85</v>
      </c>
      <c r="AI135">
        <v>29.18</v>
      </c>
      <c r="AJ135">
        <v>0.16</v>
      </c>
      <c r="AK135">
        <v>1.67</v>
      </c>
      <c r="AL135">
        <v>37.14</v>
      </c>
      <c r="AM135">
        <v>0.04</v>
      </c>
      <c r="AN135">
        <v>169</v>
      </c>
      <c r="AO135">
        <v>157</v>
      </c>
      <c r="AP135">
        <v>30.02</v>
      </c>
      <c r="AQ135">
        <v>0.93</v>
      </c>
      <c r="AR135">
        <v>2.9289999999999998</v>
      </c>
      <c r="AS135">
        <v>0.93200000000000005</v>
      </c>
      <c r="AT135">
        <v>0.374</v>
      </c>
      <c r="AU135">
        <v>68.88</v>
      </c>
      <c r="AV135">
        <v>4.9400000000000004</v>
      </c>
      <c r="AW135">
        <v>4.8899999999999997</v>
      </c>
      <c r="AX135">
        <v>8.27</v>
      </c>
      <c r="AY135">
        <v>5.84</v>
      </c>
      <c r="AZ135">
        <v>3.12</v>
      </c>
      <c r="BA135">
        <v>2.0099999999999998</v>
      </c>
      <c r="BB135">
        <v>4.7300000000000004</v>
      </c>
      <c r="BC135">
        <v>4.6399999999999997</v>
      </c>
      <c r="BD135">
        <v>1.22</v>
      </c>
      <c r="BE135">
        <v>5.54</v>
      </c>
      <c r="BF135">
        <v>5.67</v>
      </c>
      <c r="BG135">
        <v>5.74</v>
      </c>
      <c r="BH135">
        <v>11.43</v>
      </c>
      <c r="BI135">
        <v>14.7</v>
      </c>
      <c r="BJ135">
        <v>5.36</v>
      </c>
      <c r="BK135">
        <v>3.58</v>
      </c>
      <c r="BL135">
        <v>4.07</v>
      </c>
      <c r="BM135">
        <v>4.26</v>
      </c>
      <c r="BN135" t="s">
        <v>85</v>
      </c>
      <c r="BO135" t="s">
        <v>85</v>
      </c>
      <c r="BP135" t="s">
        <v>85</v>
      </c>
    </row>
    <row r="136" spans="1:68">
      <c r="A136" s="30"/>
      <c r="B136" s="31" t="s">
        <v>558</v>
      </c>
      <c r="C136" s="31" t="s">
        <v>559</v>
      </c>
      <c r="D136" s="35" t="s">
        <v>560</v>
      </c>
      <c r="E136" s="35" t="s">
        <v>76</v>
      </c>
      <c r="F136" s="35" t="s">
        <v>561</v>
      </c>
      <c r="G136" s="35" t="s">
        <v>562</v>
      </c>
      <c r="H136">
        <v>8</v>
      </c>
      <c r="I136" t="s">
        <v>514</v>
      </c>
      <c r="J136">
        <v>86</v>
      </c>
      <c r="K136">
        <v>78.53</v>
      </c>
      <c r="L136">
        <v>18.809999999999999</v>
      </c>
      <c r="M136">
        <v>1.25</v>
      </c>
      <c r="N136">
        <v>0</v>
      </c>
      <c r="O136">
        <v>0</v>
      </c>
      <c r="AA136">
        <v>1</v>
      </c>
      <c r="AB136">
        <v>1.56</v>
      </c>
      <c r="AD136">
        <v>6.73</v>
      </c>
      <c r="AI136">
        <v>15.52</v>
      </c>
      <c r="AJ136">
        <v>0.56999999999999995</v>
      </c>
      <c r="AK136">
        <v>0.55000000000000004</v>
      </c>
      <c r="AL136">
        <v>18.899999999999999</v>
      </c>
      <c r="AN136">
        <v>140.84</v>
      </c>
      <c r="AO136">
        <v>375.3</v>
      </c>
      <c r="AQ136">
        <v>1.06</v>
      </c>
    </row>
    <row r="137" spans="1:68">
      <c r="A137" s="30"/>
      <c r="B137" s="31" t="s">
        <v>563</v>
      </c>
      <c r="C137" s="31" t="s">
        <v>564</v>
      </c>
      <c r="D137" s="35" t="s">
        <v>565</v>
      </c>
      <c r="E137" s="35" t="s">
        <v>76</v>
      </c>
      <c r="F137" s="35">
        <v>90071</v>
      </c>
      <c r="G137" s="35" t="s">
        <v>566</v>
      </c>
      <c r="H137">
        <v>8</v>
      </c>
      <c r="I137" t="s">
        <v>514</v>
      </c>
      <c r="J137">
        <v>110</v>
      </c>
      <c r="K137">
        <v>76.209999999999994</v>
      </c>
      <c r="L137">
        <v>20.8</v>
      </c>
      <c r="M137">
        <v>3.03</v>
      </c>
      <c r="N137">
        <v>0</v>
      </c>
      <c r="O137">
        <v>0</v>
      </c>
      <c r="P137">
        <v>0.97</v>
      </c>
      <c r="Q137">
        <v>0.09</v>
      </c>
      <c r="R137">
        <v>3.1</v>
      </c>
      <c r="S137">
        <v>0.78</v>
      </c>
      <c r="T137">
        <v>0.11</v>
      </c>
      <c r="U137">
        <v>24</v>
      </c>
      <c r="X137">
        <v>0.83</v>
      </c>
      <c r="Y137">
        <v>0.71</v>
      </c>
      <c r="AA137">
        <v>2.0299999999999998</v>
      </c>
      <c r="AB137">
        <v>2.0299999999999998</v>
      </c>
      <c r="AI137">
        <v>19.3</v>
      </c>
      <c r="AJ137">
        <v>0.11</v>
      </c>
      <c r="AK137">
        <v>0.49</v>
      </c>
      <c r="AL137">
        <v>35.880000000000003</v>
      </c>
      <c r="AN137">
        <v>350</v>
      </c>
      <c r="AO137">
        <v>340.51</v>
      </c>
      <c r="AQ137">
        <v>1.4</v>
      </c>
      <c r="AR137">
        <v>1.08</v>
      </c>
      <c r="AS137">
        <v>1.1599999999999999</v>
      </c>
      <c r="AT137">
        <v>0.44</v>
      </c>
      <c r="AU137">
        <v>50</v>
      </c>
      <c r="AV137">
        <v>483</v>
      </c>
      <c r="AW137">
        <v>762</v>
      </c>
      <c r="AX137">
        <v>1493</v>
      </c>
      <c r="AY137">
        <v>1598</v>
      </c>
      <c r="AZ137">
        <v>676</v>
      </c>
      <c r="BA137">
        <v>145</v>
      </c>
      <c r="BB137">
        <v>820</v>
      </c>
      <c r="BC137">
        <v>897</v>
      </c>
      <c r="BD137">
        <v>296</v>
      </c>
      <c r="BE137">
        <v>942</v>
      </c>
      <c r="BF137">
        <v>2220</v>
      </c>
      <c r="BG137">
        <v>1275</v>
      </c>
      <c r="BH137">
        <v>1902</v>
      </c>
      <c r="BI137">
        <v>3491</v>
      </c>
      <c r="BJ137">
        <v>1415</v>
      </c>
      <c r="BK137">
        <v>894</v>
      </c>
      <c r="BL137">
        <v>810</v>
      </c>
      <c r="BM137">
        <v>609</v>
      </c>
    </row>
    <row r="138" spans="1:68">
      <c r="A138" s="30"/>
      <c r="B138" s="31" t="s">
        <v>567</v>
      </c>
      <c r="C138" s="31" t="s">
        <v>568</v>
      </c>
      <c r="D138" s="35" t="s">
        <v>569</v>
      </c>
      <c r="E138" s="35" t="s">
        <v>76</v>
      </c>
      <c r="F138" s="35">
        <v>90016</v>
      </c>
      <c r="G138" s="35" t="s">
        <v>570</v>
      </c>
      <c r="H138">
        <v>8</v>
      </c>
      <c r="I138" t="s">
        <v>514</v>
      </c>
      <c r="J138">
        <v>95</v>
      </c>
      <c r="K138">
        <v>73.680000000000007</v>
      </c>
      <c r="L138">
        <v>17.27</v>
      </c>
      <c r="M138">
        <v>2.83</v>
      </c>
      <c r="N138">
        <v>0</v>
      </c>
      <c r="O138">
        <v>0</v>
      </c>
      <c r="P138">
        <v>0.03</v>
      </c>
      <c r="Q138">
        <v>0.06</v>
      </c>
      <c r="R138">
        <v>1.74</v>
      </c>
      <c r="T138">
        <v>0.28999999999999998</v>
      </c>
      <c r="AI138">
        <v>266.67</v>
      </c>
      <c r="AJ138">
        <v>0.09</v>
      </c>
      <c r="AK138">
        <v>1.21</v>
      </c>
      <c r="AL138">
        <v>18.41</v>
      </c>
      <c r="AN138">
        <v>266</v>
      </c>
      <c r="AO138">
        <v>352.89</v>
      </c>
      <c r="AQ138">
        <v>1.25</v>
      </c>
      <c r="AR138">
        <v>1.1499999999999999</v>
      </c>
      <c r="AS138">
        <v>1.1599999999999999</v>
      </c>
      <c r="AT138">
        <v>0.99</v>
      </c>
      <c r="AU138">
        <v>46.75</v>
      </c>
    </row>
    <row r="139" spans="1:68">
      <c r="A139" s="30"/>
      <c r="B139" s="31" t="s">
        <v>571</v>
      </c>
      <c r="C139" s="31" t="s">
        <v>572</v>
      </c>
      <c r="D139" s="35" t="s">
        <v>573</v>
      </c>
      <c r="E139" s="35" t="s">
        <v>76</v>
      </c>
      <c r="F139" s="35">
        <v>90008</v>
      </c>
      <c r="G139" s="35" t="s">
        <v>574</v>
      </c>
      <c r="H139">
        <v>8</v>
      </c>
      <c r="I139" t="s">
        <v>514</v>
      </c>
      <c r="J139">
        <v>139</v>
      </c>
      <c r="K139">
        <v>71.59</v>
      </c>
      <c r="L139">
        <v>17.600000000000001</v>
      </c>
      <c r="M139">
        <v>7.65</v>
      </c>
      <c r="N139">
        <v>0</v>
      </c>
      <c r="O139">
        <v>0</v>
      </c>
      <c r="P139">
        <v>0.01</v>
      </c>
      <c r="Q139">
        <v>0.03</v>
      </c>
      <c r="R139">
        <v>0.3</v>
      </c>
      <c r="T139">
        <v>0.26</v>
      </c>
      <c r="V139">
        <v>4.01</v>
      </c>
      <c r="AA139">
        <v>57</v>
      </c>
      <c r="AB139">
        <v>59.07</v>
      </c>
      <c r="AD139">
        <v>24.85</v>
      </c>
      <c r="AI139">
        <v>967.33</v>
      </c>
      <c r="AJ139">
        <v>7.0000000000000007E-2</v>
      </c>
      <c r="AK139">
        <v>2.6</v>
      </c>
      <c r="AN139">
        <v>620</v>
      </c>
      <c r="AO139">
        <v>203</v>
      </c>
    </row>
    <row r="140" spans="1:68">
      <c r="A140" s="30"/>
      <c r="B140" s="31" t="s">
        <v>575</v>
      </c>
      <c r="C140" s="31" t="s">
        <v>576</v>
      </c>
      <c r="D140" s="37" t="s">
        <v>577</v>
      </c>
      <c r="E140" s="35"/>
      <c r="F140" s="35"/>
      <c r="G140" s="35"/>
      <c r="H140">
        <v>8</v>
      </c>
      <c r="I140" t="s">
        <v>514</v>
      </c>
    </row>
    <row r="141" spans="1:68" s="58" customFormat="1">
      <c r="A141" s="55"/>
      <c r="B141" s="56" t="s">
        <v>578</v>
      </c>
      <c r="C141" s="56" t="s">
        <v>579</v>
      </c>
      <c r="D141" s="57"/>
      <c r="E141" s="57"/>
      <c r="F141" s="57"/>
      <c r="G141" s="57"/>
      <c r="H141" s="58">
        <v>8</v>
      </c>
      <c r="I141" s="58" t="s">
        <v>514</v>
      </c>
    </row>
    <row r="142" spans="1:68">
      <c r="A142" s="30"/>
      <c r="B142" s="31" t="s">
        <v>580</v>
      </c>
      <c r="C142" s="31" t="s">
        <v>581</v>
      </c>
      <c r="E142" s="35" t="s">
        <v>76</v>
      </c>
      <c r="F142" s="35" t="s">
        <v>582</v>
      </c>
      <c r="G142" s="35" t="s">
        <v>583</v>
      </c>
      <c r="H142">
        <v>8</v>
      </c>
      <c r="I142" t="s">
        <v>514</v>
      </c>
      <c r="J142">
        <v>318</v>
      </c>
      <c r="K142">
        <v>20.100000000000001</v>
      </c>
      <c r="L142">
        <v>60.2</v>
      </c>
      <c r="M142">
        <v>8.58</v>
      </c>
      <c r="N142">
        <v>0</v>
      </c>
      <c r="O142">
        <v>0</v>
      </c>
      <c r="P142">
        <v>0.13</v>
      </c>
      <c r="Q142">
        <v>0.5</v>
      </c>
      <c r="R142">
        <v>1.96</v>
      </c>
      <c r="T142">
        <v>0.38</v>
      </c>
      <c r="U142">
        <v>14</v>
      </c>
      <c r="X142">
        <v>1.03</v>
      </c>
      <c r="AI142">
        <v>939</v>
      </c>
      <c r="AJ142">
        <v>0.42</v>
      </c>
      <c r="AK142">
        <v>2.96</v>
      </c>
      <c r="AL142">
        <v>181.16</v>
      </c>
      <c r="AN142">
        <v>612.23</v>
      </c>
      <c r="AO142">
        <v>706.37</v>
      </c>
      <c r="AQ142">
        <v>0.56999999999999995</v>
      </c>
    </row>
    <row r="143" spans="1:68">
      <c r="A143" s="30"/>
      <c r="B143" s="31" t="s">
        <v>584</v>
      </c>
      <c r="C143" s="31" t="s">
        <v>585</v>
      </c>
      <c r="D143" s="37" t="s">
        <v>586</v>
      </c>
      <c r="E143" s="35" t="s">
        <v>76</v>
      </c>
      <c r="F143" s="35" t="s">
        <v>587</v>
      </c>
      <c r="G143" s="35" t="s">
        <v>588</v>
      </c>
      <c r="H143">
        <v>8</v>
      </c>
      <c r="I143" t="s">
        <v>514</v>
      </c>
      <c r="J143">
        <v>102</v>
      </c>
      <c r="K143">
        <v>74.75</v>
      </c>
      <c r="L143">
        <v>20.95</v>
      </c>
      <c r="M143">
        <v>2.04</v>
      </c>
      <c r="N143">
        <v>0</v>
      </c>
      <c r="O143">
        <v>0</v>
      </c>
      <c r="S143">
        <v>1.6</v>
      </c>
      <c r="AA143">
        <v>1.57</v>
      </c>
      <c r="AB143">
        <v>2.48</v>
      </c>
      <c r="AD143">
        <v>10.96</v>
      </c>
      <c r="AI143">
        <v>18.25</v>
      </c>
      <c r="AJ143">
        <v>0.68</v>
      </c>
      <c r="AK143">
        <v>0.65</v>
      </c>
      <c r="AL143">
        <v>22.23</v>
      </c>
      <c r="AN143">
        <v>165.64</v>
      </c>
      <c r="AO143">
        <v>441.37</v>
      </c>
      <c r="AQ143">
        <v>1.25</v>
      </c>
      <c r="AR143">
        <v>0.82</v>
      </c>
      <c r="AS143">
        <v>0.76</v>
      </c>
      <c r="AT143">
        <v>0.18</v>
      </c>
      <c r="AU143">
        <v>148.63999999999999</v>
      </c>
    </row>
    <row r="144" spans="1:68">
      <c r="A144" s="30"/>
      <c r="B144" s="31" t="s">
        <v>589</v>
      </c>
      <c r="C144" s="31" t="s">
        <v>590</v>
      </c>
      <c r="E144" s="35" t="s">
        <v>76</v>
      </c>
      <c r="F144" s="35" t="s">
        <v>591</v>
      </c>
      <c r="G144" s="35" t="s">
        <v>592</v>
      </c>
      <c r="H144">
        <v>8</v>
      </c>
      <c r="I144" t="s">
        <v>514</v>
      </c>
      <c r="J144">
        <v>124</v>
      </c>
      <c r="K144">
        <v>72.7</v>
      </c>
      <c r="L144">
        <v>19.7</v>
      </c>
      <c r="M144">
        <v>4.8</v>
      </c>
      <c r="N144">
        <v>0</v>
      </c>
      <c r="O144">
        <v>0</v>
      </c>
      <c r="P144">
        <v>0.08</v>
      </c>
      <c r="Q144">
        <v>0.09</v>
      </c>
      <c r="T144">
        <v>0.27</v>
      </c>
      <c r="U144">
        <v>12</v>
      </c>
      <c r="W144">
        <v>0</v>
      </c>
      <c r="AA144">
        <v>27</v>
      </c>
      <c r="AB144">
        <v>27</v>
      </c>
      <c r="AI144">
        <v>30</v>
      </c>
      <c r="AK144">
        <v>0.3</v>
      </c>
      <c r="AL144">
        <v>25</v>
      </c>
      <c r="AN144">
        <v>257</v>
      </c>
      <c r="AO144">
        <v>273</v>
      </c>
      <c r="AQ144">
        <v>0.2</v>
      </c>
    </row>
    <row r="145" spans="1:68">
      <c r="A145" s="30"/>
      <c r="B145" s="31" t="s">
        <v>593</v>
      </c>
      <c r="C145" s="31" t="s">
        <v>594</v>
      </c>
      <c r="E145" s="35" t="s">
        <v>76</v>
      </c>
      <c r="F145" s="35">
        <v>170010</v>
      </c>
      <c r="G145" s="35" t="s">
        <v>595</v>
      </c>
      <c r="H145">
        <v>8</v>
      </c>
      <c r="I145" t="s">
        <v>514</v>
      </c>
      <c r="K145">
        <v>69.34</v>
      </c>
      <c r="L145">
        <v>24.68</v>
      </c>
      <c r="M145">
        <v>5.28</v>
      </c>
      <c r="P145">
        <v>0</v>
      </c>
      <c r="Q145">
        <v>0.19</v>
      </c>
      <c r="R145">
        <v>1.0900000000000001</v>
      </c>
      <c r="T145">
        <v>148</v>
      </c>
      <c r="U145">
        <v>2059</v>
      </c>
      <c r="X145">
        <v>2.8</v>
      </c>
      <c r="Y145">
        <v>0.28000000000000003</v>
      </c>
      <c r="AA145">
        <v>2.5499999999999998</v>
      </c>
      <c r="AI145">
        <v>61.69</v>
      </c>
      <c r="AJ145">
        <v>0.08</v>
      </c>
      <c r="AK145">
        <v>6.65</v>
      </c>
      <c r="AL145">
        <v>59.93</v>
      </c>
      <c r="AN145">
        <v>445</v>
      </c>
      <c r="AO145">
        <v>252</v>
      </c>
      <c r="AQ145">
        <v>3.11</v>
      </c>
      <c r="AR145">
        <v>1.82</v>
      </c>
      <c r="AS145">
        <v>1.1299999999999999</v>
      </c>
      <c r="AT145">
        <v>1.44</v>
      </c>
      <c r="AU145">
        <v>269</v>
      </c>
      <c r="AV145">
        <v>1122.94</v>
      </c>
      <c r="AW145">
        <v>1285.83</v>
      </c>
      <c r="AX145">
        <v>1984.27</v>
      </c>
      <c r="AY145">
        <v>1816.45</v>
      </c>
      <c r="AZ145">
        <v>691.04</v>
      </c>
      <c r="BA145">
        <v>402.28</v>
      </c>
      <c r="BB145">
        <v>1554.84</v>
      </c>
      <c r="BC145">
        <v>1285.83</v>
      </c>
      <c r="BD145">
        <v>261.61</v>
      </c>
      <c r="BE145">
        <v>1271.02</v>
      </c>
      <c r="BF145">
        <v>834.18</v>
      </c>
      <c r="BG145">
        <v>1611.6</v>
      </c>
      <c r="BH145">
        <v>2297.71</v>
      </c>
      <c r="BI145">
        <v>3020.83</v>
      </c>
      <c r="BJ145">
        <v>1303.0999999999999</v>
      </c>
      <c r="BK145">
        <v>1327.78</v>
      </c>
      <c r="BL145">
        <v>1164.9000000000001</v>
      </c>
      <c r="BM145">
        <v>1374.68</v>
      </c>
    </row>
    <row r="146" spans="1:68" s="58" customFormat="1">
      <c r="A146" s="55"/>
      <c r="B146" s="56" t="s">
        <v>596</v>
      </c>
      <c r="C146" s="56" t="s">
        <v>597</v>
      </c>
      <c r="D146" s="57"/>
      <c r="E146" s="57"/>
      <c r="F146" s="57"/>
      <c r="G146" s="57"/>
      <c r="H146" s="58">
        <v>8</v>
      </c>
      <c r="I146" s="58" t="s">
        <v>514</v>
      </c>
    </row>
    <row r="147" spans="1:68">
      <c r="A147" s="30"/>
      <c r="B147" s="31" t="s">
        <v>598</v>
      </c>
      <c r="C147" s="31" t="s">
        <v>599</v>
      </c>
      <c r="D147" s="35" t="s">
        <v>600</v>
      </c>
      <c r="E147" s="35" t="s">
        <v>76</v>
      </c>
      <c r="F147" s="35">
        <v>170016</v>
      </c>
      <c r="G147" s="35" t="s">
        <v>601</v>
      </c>
      <c r="H147">
        <v>8</v>
      </c>
      <c r="I147" t="s">
        <v>514</v>
      </c>
      <c r="K147">
        <v>80.58</v>
      </c>
      <c r="L147">
        <v>13.23</v>
      </c>
      <c r="M147">
        <v>0.89</v>
      </c>
      <c r="N147">
        <v>0</v>
      </c>
      <c r="O147">
        <v>0</v>
      </c>
      <c r="P147">
        <v>0.01</v>
      </c>
      <c r="Q147">
        <v>0.11</v>
      </c>
      <c r="R147">
        <v>1.54</v>
      </c>
      <c r="S147">
        <v>0.79</v>
      </c>
      <c r="T147">
        <v>202</v>
      </c>
      <c r="U147">
        <v>1783</v>
      </c>
      <c r="V147">
        <v>13.5</v>
      </c>
      <c r="W147">
        <v>0</v>
      </c>
      <c r="X147">
        <v>1.2</v>
      </c>
      <c r="Y147">
        <v>4.8499999999999996</v>
      </c>
      <c r="AA147">
        <v>12.55</v>
      </c>
      <c r="AI147">
        <v>199</v>
      </c>
      <c r="AJ147">
        <v>0.52</v>
      </c>
      <c r="AK147">
        <v>1.1000000000000001</v>
      </c>
      <c r="AL147">
        <v>66.77</v>
      </c>
      <c r="AN147">
        <v>208</v>
      </c>
      <c r="AO147">
        <v>286</v>
      </c>
      <c r="AQ147">
        <v>2.4900000000000002</v>
      </c>
      <c r="AR147">
        <v>0.21</v>
      </c>
      <c r="AS147">
        <v>0.14000000000000001</v>
      </c>
      <c r="AT147">
        <v>0.26</v>
      </c>
      <c r="AU147">
        <v>52.91</v>
      </c>
      <c r="AV147">
        <v>510.68</v>
      </c>
      <c r="AW147">
        <v>493.48</v>
      </c>
      <c r="AX147">
        <v>686.64</v>
      </c>
      <c r="AY147">
        <v>902.29</v>
      </c>
      <c r="AZ147">
        <v>657.53</v>
      </c>
      <c r="BA147">
        <v>1755.62</v>
      </c>
      <c r="BB147">
        <v>521.26</v>
      </c>
      <c r="BC147">
        <v>453.79</v>
      </c>
      <c r="BD147">
        <v>123.04</v>
      </c>
      <c r="BE147">
        <v>523.91</v>
      </c>
      <c r="BF147">
        <v>386.32</v>
      </c>
      <c r="BG147">
        <v>697.22</v>
      </c>
      <c r="BH147">
        <v>268.57</v>
      </c>
      <c r="BI147">
        <v>1210.55</v>
      </c>
      <c r="BJ147">
        <v>1113.97</v>
      </c>
      <c r="BK147">
        <v>1022.68</v>
      </c>
      <c r="BL147">
        <v>502.74</v>
      </c>
      <c r="BM147">
        <v>683.99</v>
      </c>
    </row>
    <row r="148" spans="1:68">
      <c r="A148" s="30"/>
      <c r="B148" s="31" t="s">
        <v>602</v>
      </c>
      <c r="C148" s="31" t="s">
        <v>603</v>
      </c>
      <c r="D148" s="35" t="s">
        <v>604</v>
      </c>
      <c r="E148" s="35" t="s">
        <v>76</v>
      </c>
      <c r="F148" s="35">
        <v>170009</v>
      </c>
      <c r="G148" s="35" t="s">
        <v>605</v>
      </c>
      <c r="H148">
        <v>8</v>
      </c>
      <c r="I148" t="s">
        <v>606</v>
      </c>
      <c r="K148">
        <v>67.930000000000007</v>
      </c>
      <c r="L148">
        <v>19.010000000000002</v>
      </c>
      <c r="M148">
        <v>11.71</v>
      </c>
      <c r="P148">
        <v>0.12</v>
      </c>
      <c r="Q148">
        <v>0.08</v>
      </c>
      <c r="R148">
        <v>3.72</v>
      </c>
      <c r="S148">
        <v>0.82</v>
      </c>
      <c r="T148">
        <v>0.45</v>
      </c>
      <c r="U148">
        <v>10.17</v>
      </c>
      <c r="X148">
        <v>0.9</v>
      </c>
      <c r="Y148">
        <v>0.55000000000000004</v>
      </c>
      <c r="AA148">
        <v>20.12</v>
      </c>
      <c r="AI148">
        <v>22.66</v>
      </c>
      <c r="AJ148">
        <v>0.23</v>
      </c>
      <c r="AK148">
        <v>1.08</v>
      </c>
      <c r="AL148">
        <v>24</v>
      </c>
      <c r="AN148">
        <v>234.75</v>
      </c>
      <c r="AO148">
        <v>325.25</v>
      </c>
      <c r="AQ148">
        <v>1.82</v>
      </c>
      <c r="AR148">
        <v>0.56000000000000005</v>
      </c>
      <c r="AS148">
        <v>0.68</v>
      </c>
      <c r="AT148">
        <v>0.37</v>
      </c>
      <c r="AU148">
        <v>75.3</v>
      </c>
      <c r="AV148">
        <v>895.73</v>
      </c>
      <c r="AW148">
        <v>599.21</v>
      </c>
      <c r="AX148">
        <v>1474.51</v>
      </c>
      <c r="AY148">
        <v>1689.29</v>
      </c>
      <c r="AZ148">
        <v>1180.8399999999999</v>
      </c>
      <c r="BA148">
        <v>1738.24</v>
      </c>
      <c r="BB148">
        <v>1373.77</v>
      </c>
      <c r="BC148">
        <v>1007.4</v>
      </c>
      <c r="BD148">
        <v>258.98</v>
      </c>
      <c r="BE148">
        <v>988.39</v>
      </c>
      <c r="BF148">
        <v>495.62</v>
      </c>
      <c r="BG148">
        <v>2969.92</v>
      </c>
      <c r="BH148">
        <v>831.58</v>
      </c>
      <c r="BI148">
        <v>214.31</v>
      </c>
      <c r="BJ148">
        <v>865.79</v>
      </c>
      <c r="BK148">
        <v>941.82</v>
      </c>
      <c r="BL148">
        <v>906.66</v>
      </c>
      <c r="BM148">
        <v>756.02</v>
      </c>
    </row>
    <row r="149" spans="1:68">
      <c r="A149" s="30"/>
      <c r="B149" s="31" t="s">
        <v>607</v>
      </c>
      <c r="C149" s="31" t="s">
        <v>608</v>
      </c>
      <c r="D149" s="35" t="s">
        <v>609</v>
      </c>
      <c r="E149" s="35" t="s">
        <v>76</v>
      </c>
      <c r="F149" s="35">
        <v>100011</v>
      </c>
      <c r="G149" s="35" t="s">
        <v>610</v>
      </c>
      <c r="H149">
        <v>7</v>
      </c>
      <c r="I149" t="s">
        <v>606</v>
      </c>
      <c r="J149">
        <v>119</v>
      </c>
      <c r="K149">
        <v>73.599999999999994</v>
      </c>
      <c r="L149">
        <v>21.5</v>
      </c>
      <c r="M149">
        <v>3.5</v>
      </c>
      <c r="N149">
        <v>0</v>
      </c>
      <c r="O149">
        <v>0</v>
      </c>
      <c r="P149">
        <v>0.06</v>
      </c>
      <c r="Q149">
        <v>0.14000000000000001</v>
      </c>
      <c r="R149">
        <v>5.33</v>
      </c>
      <c r="S149">
        <v>1.01</v>
      </c>
      <c r="T149">
        <v>0.31</v>
      </c>
      <c r="U149">
        <v>2</v>
      </c>
      <c r="W149">
        <v>0</v>
      </c>
      <c r="X149">
        <v>0.35</v>
      </c>
      <c r="Y149">
        <v>0.06</v>
      </c>
      <c r="AA149">
        <v>6</v>
      </c>
      <c r="AB149">
        <v>6</v>
      </c>
      <c r="AD149">
        <v>0</v>
      </c>
      <c r="AI149">
        <v>15</v>
      </c>
      <c r="AJ149">
        <v>0.25</v>
      </c>
      <c r="AK149">
        <v>2.8</v>
      </c>
      <c r="AL149">
        <v>29</v>
      </c>
      <c r="AN149">
        <v>191</v>
      </c>
      <c r="AO149">
        <v>377</v>
      </c>
      <c r="AQ149">
        <v>3.39</v>
      </c>
      <c r="AR149">
        <v>0.08</v>
      </c>
      <c r="AS149">
        <v>0.05</v>
      </c>
      <c r="AT149">
        <v>0.01</v>
      </c>
      <c r="AU149">
        <v>85.16</v>
      </c>
      <c r="AV149">
        <v>1028.7</v>
      </c>
      <c r="AW149">
        <v>710.87</v>
      </c>
      <c r="AX149">
        <v>1403.45</v>
      </c>
      <c r="AY149">
        <v>1650.12</v>
      </c>
      <c r="AZ149">
        <v>1099.18</v>
      </c>
      <c r="BA149">
        <v>1927.28</v>
      </c>
      <c r="BB149">
        <v>1498.32</v>
      </c>
      <c r="BC149">
        <v>995.49</v>
      </c>
      <c r="BD149">
        <v>298.17</v>
      </c>
      <c r="BE149">
        <v>926.37</v>
      </c>
      <c r="BF149">
        <v>509.61</v>
      </c>
      <c r="BG149">
        <v>2914.64</v>
      </c>
      <c r="BH149">
        <v>1173.72</v>
      </c>
      <c r="BI149">
        <v>296.14</v>
      </c>
      <c r="BJ149">
        <v>880.97</v>
      </c>
      <c r="BK149">
        <v>908.75</v>
      </c>
      <c r="BL149">
        <v>881.64</v>
      </c>
      <c r="BM149">
        <v>834.89</v>
      </c>
    </row>
    <row r="150" spans="1:68">
      <c r="A150" s="30"/>
      <c r="B150" s="31" t="s">
        <v>611</v>
      </c>
      <c r="C150" s="31" t="s">
        <v>612</v>
      </c>
      <c r="D150" s="35" t="s">
        <v>613</v>
      </c>
      <c r="E150" s="35" t="s">
        <v>76</v>
      </c>
      <c r="F150" s="35">
        <v>100002</v>
      </c>
      <c r="G150" s="35" t="s">
        <v>614</v>
      </c>
      <c r="H150">
        <v>7</v>
      </c>
      <c r="I150" t="s">
        <v>606</v>
      </c>
      <c r="J150">
        <v>106</v>
      </c>
      <c r="K150">
        <v>75.3</v>
      </c>
      <c r="L150">
        <v>19.7</v>
      </c>
      <c r="M150">
        <v>2.2999999999999998</v>
      </c>
      <c r="N150">
        <v>0</v>
      </c>
      <c r="O150">
        <v>0</v>
      </c>
      <c r="P150">
        <v>0.03</v>
      </c>
      <c r="Q150">
        <v>0.06</v>
      </c>
      <c r="R150">
        <v>6.2</v>
      </c>
      <c r="S150">
        <v>1.1399999999999999</v>
      </c>
      <c r="T150">
        <v>0.32</v>
      </c>
      <c r="U150">
        <v>7</v>
      </c>
      <c r="V150">
        <v>3.3</v>
      </c>
      <c r="W150">
        <v>0</v>
      </c>
      <c r="X150">
        <v>0.32</v>
      </c>
      <c r="Y150">
        <v>0.28999999999999998</v>
      </c>
      <c r="AA150">
        <v>18</v>
      </c>
      <c r="AB150">
        <v>18</v>
      </c>
      <c r="AD150">
        <v>0</v>
      </c>
      <c r="AI150">
        <v>5</v>
      </c>
      <c r="AJ150">
        <v>0.14000000000000001</v>
      </c>
      <c r="AK150">
        <v>1.9</v>
      </c>
      <c r="AL150">
        <v>18</v>
      </c>
      <c r="AN150">
        <v>151</v>
      </c>
      <c r="AO150">
        <v>375</v>
      </c>
      <c r="AQ150">
        <v>3.33</v>
      </c>
      <c r="AR150">
        <v>0.87</v>
      </c>
      <c r="AS150">
        <v>0.82</v>
      </c>
      <c r="AT150">
        <v>0.25</v>
      </c>
      <c r="AU150">
        <v>103.05</v>
      </c>
      <c r="AV150">
        <v>726</v>
      </c>
      <c r="AW150">
        <v>956</v>
      </c>
      <c r="AX150">
        <v>1625</v>
      </c>
      <c r="AY150">
        <v>1721</v>
      </c>
      <c r="AZ150">
        <v>535</v>
      </c>
      <c r="BA150">
        <v>143</v>
      </c>
      <c r="BB150">
        <v>832</v>
      </c>
      <c r="BC150">
        <v>899</v>
      </c>
      <c r="BD150">
        <v>220</v>
      </c>
      <c r="BE150">
        <v>1051</v>
      </c>
      <c r="BF150">
        <v>1243</v>
      </c>
      <c r="BG150">
        <v>1243</v>
      </c>
      <c r="BH150">
        <v>1816</v>
      </c>
      <c r="BI150">
        <v>2963</v>
      </c>
      <c r="BJ150">
        <v>1051</v>
      </c>
      <c r="BK150">
        <v>832</v>
      </c>
      <c r="BL150">
        <v>832</v>
      </c>
      <c r="BM150">
        <v>698</v>
      </c>
    </row>
    <row r="151" spans="1:68">
      <c r="A151" s="30"/>
      <c r="B151" s="31" t="s">
        <v>615</v>
      </c>
      <c r="C151" s="31" t="s">
        <v>612</v>
      </c>
      <c r="D151" s="35" t="s">
        <v>613</v>
      </c>
      <c r="E151" s="35" t="s">
        <v>76</v>
      </c>
      <c r="F151" s="35">
        <v>100003</v>
      </c>
      <c r="G151" s="35" t="s">
        <v>616</v>
      </c>
      <c r="H151">
        <v>7</v>
      </c>
      <c r="I151" t="s">
        <v>606</v>
      </c>
      <c r="J151">
        <v>207</v>
      </c>
      <c r="K151">
        <v>65.400000000000006</v>
      </c>
      <c r="L151">
        <v>19.7</v>
      </c>
      <c r="M151">
        <v>14.2</v>
      </c>
      <c r="N151">
        <v>0</v>
      </c>
      <c r="O151">
        <v>0</v>
      </c>
      <c r="P151">
        <v>0.05</v>
      </c>
      <c r="Q151">
        <v>0.2</v>
      </c>
      <c r="R151">
        <v>5.6</v>
      </c>
      <c r="S151">
        <v>1.1399999999999999</v>
      </c>
      <c r="T151">
        <v>0.32</v>
      </c>
      <c r="U151">
        <v>9.0399999999999991</v>
      </c>
      <c r="V151">
        <v>2.1</v>
      </c>
      <c r="W151">
        <v>0</v>
      </c>
      <c r="X151">
        <v>0.6</v>
      </c>
      <c r="Y151">
        <v>0.35</v>
      </c>
      <c r="AA151">
        <v>15</v>
      </c>
      <c r="AB151">
        <v>15</v>
      </c>
      <c r="AI151">
        <v>5</v>
      </c>
      <c r="AJ151">
        <v>7.0000000000000007E-2</v>
      </c>
      <c r="AK151">
        <v>2.2000000000000002</v>
      </c>
      <c r="AL151">
        <v>22</v>
      </c>
      <c r="AN151">
        <v>170</v>
      </c>
      <c r="AO151">
        <v>309</v>
      </c>
      <c r="AQ151">
        <v>4.5999999999999996</v>
      </c>
      <c r="AR151">
        <v>7.05</v>
      </c>
      <c r="AS151">
        <v>6.23</v>
      </c>
      <c r="AT151">
        <v>1.01</v>
      </c>
      <c r="AU151">
        <v>66.36</v>
      </c>
      <c r="AV151">
        <v>660</v>
      </c>
      <c r="AW151">
        <v>950</v>
      </c>
      <c r="AX151">
        <v>1500</v>
      </c>
      <c r="AY151">
        <v>1600</v>
      </c>
      <c r="AZ151">
        <v>470</v>
      </c>
      <c r="BA151">
        <v>140</v>
      </c>
      <c r="BB151">
        <v>760</v>
      </c>
      <c r="BC151">
        <v>820</v>
      </c>
      <c r="BD151">
        <v>220</v>
      </c>
      <c r="BE151">
        <v>1000</v>
      </c>
      <c r="BF151">
        <v>1100</v>
      </c>
      <c r="BG151">
        <v>1200</v>
      </c>
      <c r="BH151">
        <v>1700</v>
      </c>
      <c r="BI151">
        <v>2800</v>
      </c>
      <c r="BJ151">
        <v>1100</v>
      </c>
      <c r="BK151">
        <v>880</v>
      </c>
      <c r="BL151">
        <v>790</v>
      </c>
      <c r="BM151">
        <v>630</v>
      </c>
    </row>
    <row r="152" spans="1:68">
      <c r="A152" s="30"/>
      <c r="B152" s="31" t="s">
        <v>617</v>
      </c>
      <c r="C152" s="31" t="s">
        <v>618</v>
      </c>
      <c r="D152" s="35" t="s">
        <v>619</v>
      </c>
      <c r="E152" s="35" t="s">
        <v>76</v>
      </c>
      <c r="F152" s="35">
        <v>100009</v>
      </c>
      <c r="G152" s="35" t="s">
        <v>620</v>
      </c>
      <c r="H152">
        <v>7</v>
      </c>
      <c r="I152" t="s">
        <v>606</v>
      </c>
      <c r="J152">
        <v>130</v>
      </c>
      <c r="K152">
        <v>72.3</v>
      </c>
      <c r="L152">
        <v>21.6</v>
      </c>
      <c r="M152">
        <v>4.8</v>
      </c>
      <c r="N152">
        <v>0</v>
      </c>
      <c r="O152">
        <v>0</v>
      </c>
      <c r="P152">
        <v>0.36</v>
      </c>
      <c r="Q152">
        <v>0.45</v>
      </c>
      <c r="R152">
        <v>4.3499999999999996</v>
      </c>
      <c r="S152">
        <v>0.74</v>
      </c>
      <c r="T152">
        <v>0.34</v>
      </c>
      <c r="U152">
        <v>25</v>
      </c>
      <c r="V152">
        <v>1.1399999999999999</v>
      </c>
      <c r="W152">
        <v>0</v>
      </c>
      <c r="X152">
        <v>0.92</v>
      </c>
      <c r="Y152">
        <v>0.02</v>
      </c>
      <c r="AA152">
        <v>24</v>
      </c>
      <c r="AB152">
        <v>24</v>
      </c>
      <c r="AC152">
        <v>0</v>
      </c>
      <c r="AD152">
        <v>0</v>
      </c>
      <c r="AI152">
        <v>4</v>
      </c>
      <c r="AJ152">
        <v>0.25</v>
      </c>
      <c r="AK152">
        <v>2.4</v>
      </c>
      <c r="AL152">
        <v>19</v>
      </c>
      <c r="AN152">
        <v>235</v>
      </c>
      <c r="AO152">
        <v>271</v>
      </c>
      <c r="AQ152">
        <v>1.9</v>
      </c>
      <c r="AR152">
        <v>0.35</v>
      </c>
      <c r="AS152">
        <v>2.2200000000000002</v>
      </c>
      <c r="AT152">
        <v>0.3</v>
      </c>
      <c r="AU152">
        <v>81.760000000000005</v>
      </c>
      <c r="AV152">
        <v>1012.62</v>
      </c>
      <c r="AW152">
        <v>621.67999999999995</v>
      </c>
      <c r="AX152">
        <v>1394.02</v>
      </c>
      <c r="AY152">
        <v>1594.25</v>
      </c>
      <c r="AZ152">
        <v>1228.1099999999999</v>
      </c>
      <c r="BA152">
        <v>1775.42</v>
      </c>
      <c r="BB152">
        <v>1420.72</v>
      </c>
      <c r="BC152">
        <v>970.66</v>
      </c>
      <c r="BD152">
        <v>293.68</v>
      </c>
      <c r="BE152">
        <v>1018.34</v>
      </c>
      <c r="BF152">
        <v>505.36</v>
      </c>
      <c r="BG152">
        <v>2858.59</v>
      </c>
      <c r="BH152">
        <v>915.36</v>
      </c>
      <c r="BI152">
        <v>217.4</v>
      </c>
      <c r="BJ152">
        <v>852.43</v>
      </c>
      <c r="BK152">
        <v>1041.22</v>
      </c>
      <c r="BL152">
        <v>844.8</v>
      </c>
      <c r="BM152">
        <v>875.31</v>
      </c>
    </row>
    <row r="153" spans="1:68">
      <c r="A153" s="30"/>
      <c r="B153" s="31" t="s">
        <v>621</v>
      </c>
      <c r="C153" s="31" t="s">
        <v>622</v>
      </c>
      <c r="D153" s="35" t="s">
        <v>623</v>
      </c>
      <c r="E153" s="35" t="s">
        <v>76</v>
      </c>
      <c r="F153" s="35">
        <v>100014</v>
      </c>
      <c r="G153" s="35" t="s">
        <v>624</v>
      </c>
      <c r="H153">
        <v>7</v>
      </c>
      <c r="I153" t="s">
        <v>606</v>
      </c>
      <c r="J153">
        <v>137</v>
      </c>
      <c r="K153">
        <v>70.400000000000006</v>
      </c>
      <c r="L153">
        <v>23.3</v>
      </c>
      <c r="M153">
        <v>4.9000000000000004</v>
      </c>
      <c r="N153">
        <v>0</v>
      </c>
      <c r="O153">
        <v>0</v>
      </c>
      <c r="P153">
        <v>0.26</v>
      </c>
      <c r="Q153">
        <v>0.26</v>
      </c>
      <c r="R153">
        <v>7.97</v>
      </c>
      <c r="S153">
        <v>0.79</v>
      </c>
      <c r="T153">
        <v>0.57999999999999996</v>
      </c>
      <c r="U153">
        <v>4</v>
      </c>
      <c r="W153">
        <v>5.6</v>
      </c>
      <c r="X153">
        <v>1.21</v>
      </c>
      <c r="AA153">
        <v>18.43</v>
      </c>
      <c r="AB153">
        <v>18.43</v>
      </c>
      <c r="AI153">
        <v>12</v>
      </c>
      <c r="AJ153">
        <v>0.47</v>
      </c>
      <c r="AK153">
        <v>2.52</v>
      </c>
      <c r="AL153">
        <v>30.49</v>
      </c>
      <c r="AN153">
        <v>290</v>
      </c>
      <c r="AO153">
        <v>283.14999999999998</v>
      </c>
      <c r="AQ153">
        <v>2.94</v>
      </c>
      <c r="AR153">
        <v>1.83</v>
      </c>
      <c r="AS153">
        <v>2.59</v>
      </c>
      <c r="AT153">
        <v>1.28</v>
      </c>
      <c r="AU153">
        <v>107</v>
      </c>
      <c r="AV153">
        <v>875.47</v>
      </c>
      <c r="AW153">
        <v>443.12</v>
      </c>
      <c r="AX153">
        <v>1295.27</v>
      </c>
      <c r="AY153">
        <v>1492.61</v>
      </c>
      <c r="AZ153">
        <v>1132.01</v>
      </c>
      <c r="BA153">
        <v>1605.63</v>
      </c>
      <c r="BB153">
        <v>1182.25</v>
      </c>
      <c r="BC153">
        <v>947.23</v>
      </c>
      <c r="BD153">
        <v>290.63</v>
      </c>
      <c r="BE153">
        <v>809.09</v>
      </c>
      <c r="BF153">
        <v>541.79</v>
      </c>
      <c r="BG153">
        <v>2579.77</v>
      </c>
      <c r="BH153">
        <v>855.74</v>
      </c>
      <c r="BI153">
        <v>208.1</v>
      </c>
      <c r="BJ153">
        <v>742.72</v>
      </c>
      <c r="BK153">
        <v>956.2</v>
      </c>
      <c r="BL153">
        <v>751.69</v>
      </c>
      <c r="BM153">
        <v>649.42999999999995</v>
      </c>
    </row>
    <row r="154" spans="1:68">
      <c r="A154" s="30"/>
      <c r="B154" s="31" t="s">
        <v>625</v>
      </c>
      <c r="C154" s="31" t="s">
        <v>626</v>
      </c>
      <c r="D154" s="35" t="s">
        <v>604</v>
      </c>
      <c r="E154" s="35" t="s">
        <v>76</v>
      </c>
      <c r="F154" s="35">
        <v>100008</v>
      </c>
      <c r="G154" s="35" t="s">
        <v>627</v>
      </c>
      <c r="H154">
        <v>7</v>
      </c>
      <c r="I154" t="s">
        <v>628</v>
      </c>
      <c r="J154">
        <v>114</v>
      </c>
      <c r="K154">
        <v>76.459999999999994</v>
      </c>
      <c r="L154">
        <v>16.920000000000002</v>
      </c>
      <c r="M154">
        <v>4.83</v>
      </c>
      <c r="N154">
        <v>0.73</v>
      </c>
      <c r="O154">
        <v>0</v>
      </c>
      <c r="P154">
        <v>0.31</v>
      </c>
      <c r="Q154">
        <v>1.78</v>
      </c>
      <c r="R154">
        <v>9.73</v>
      </c>
      <c r="S154">
        <v>6.39</v>
      </c>
      <c r="T154">
        <v>0.85</v>
      </c>
      <c r="U154">
        <v>588</v>
      </c>
      <c r="V154">
        <v>35</v>
      </c>
      <c r="W154">
        <v>17.899999999999999</v>
      </c>
      <c r="X154">
        <v>2.6</v>
      </c>
      <c r="Y154">
        <v>0.7</v>
      </c>
      <c r="AA154">
        <v>3290</v>
      </c>
      <c r="AB154">
        <v>3295.58</v>
      </c>
      <c r="AC154">
        <v>11</v>
      </c>
      <c r="AD154">
        <v>56</v>
      </c>
      <c r="AI154">
        <v>18.350000000000001</v>
      </c>
      <c r="AJ154">
        <v>0.28999999999999998</v>
      </c>
      <c r="AK154">
        <v>8.99</v>
      </c>
      <c r="AL154">
        <v>19</v>
      </c>
      <c r="AN154">
        <v>297</v>
      </c>
      <c r="AO154">
        <v>230</v>
      </c>
      <c r="AQ154">
        <v>2.5</v>
      </c>
      <c r="AR154">
        <v>1.33</v>
      </c>
      <c r="AS154">
        <v>0.68</v>
      </c>
      <c r="AT154">
        <v>1.01</v>
      </c>
      <c r="AU154">
        <v>268</v>
      </c>
      <c r="AV154">
        <v>1039.67</v>
      </c>
      <c r="AW154">
        <v>690.24</v>
      </c>
      <c r="AX154">
        <v>1768.74</v>
      </c>
      <c r="AY154">
        <v>2141.9</v>
      </c>
      <c r="AZ154">
        <v>1320.08</v>
      </c>
      <c r="BA154">
        <v>2012.48</v>
      </c>
      <c r="BB154">
        <v>1421.46</v>
      </c>
      <c r="BC154">
        <v>1358.91</v>
      </c>
      <c r="BD154">
        <v>327.86</v>
      </c>
      <c r="BE154">
        <v>1255.3699999999999</v>
      </c>
      <c r="BF154">
        <v>545.72</v>
      </c>
      <c r="BG154">
        <v>2748.02</v>
      </c>
      <c r="BH154">
        <v>1003.01</v>
      </c>
      <c r="BI154">
        <v>310.61</v>
      </c>
      <c r="BJ154">
        <v>972.81</v>
      </c>
      <c r="BK154">
        <v>1102.23</v>
      </c>
      <c r="BL154">
        <v>957.71</v>
      </c>
      <c r="BM154">
        <v>821.82</v>
      </c>
    </row>
    <row r="155" spans="1:68">
      <c r="A155" s="30"/>
      <c r="B155" s="31" t="s">
        <v>629</v>
      </c>
      <c r="C155" s="31" t="s">
        <v>630</v>
      </c>
      <c r="D155" s="37"/>
      <c r="E155" s="35" t="s">
        <v>82</v>
      </c>
      <c r="F155" s="35" t="s">
        <v>631</v>
      </c>
      <c r="G155" s="35" t="s">
        <v>632</v>
      </c>
      <c r="H155">
        <v>6</v>
      </c>
      <c r="I155" t="s">
        <v>628</v>
      </c>
      <c r="J155">
        <v>125.48</v>
      </c>
      <c r="K155">
        <v>78.12</v>
      </c>
      <c r="L155">
        <v>12.92</v>
      </c>
      <c r="M155">
        <v>8.26</v>
      </c>
      <c r="N155" t="s">
        <v>85</v>
      </c>
      <c r="O155" t="s">
        <v>85</v>
      </c>
      <c r="P155">
        <v>0.01</v>
      </c>
      <c r="Q155">
        <v>0.11</v>
      </c>
      <c r="R155">
        <v>0.64</v>
      </c>
      <c r="S155">
        <v>0.53</v>
      </c>
      <c r="T155">
        <v>0.21</v>
      </c>
      <c r="U155">
        <v>1.87</v>
      </c>
      <c r="W155" t="s">
        <v>85</v>
      </c>
      <c r="Y155">
        <v>0.19</v>
      </c>
      <c r="Z155" t="s">
        <v>85</v>
      </c>
      <c r="AA155">
        <v>2.62</v>
      </c>
      <c r="AC155" t="s">
        <v>85</v>
      </c>
      <c r="AD155" t="s">
        <v>85</v>
      </c>
      <c r="AE155" t="s">
        <v>85</v>
      </c>
      <c r="AF155" t="s">
        <v>85</v>
      </c>
      <c r="AG155" t="s">
        <v>85</v>
      </c>
      <c r="AH155" t="s">
        <v>85</v>
      </c>
      <c r="AI155">
        <v>27.52</v>
      </c>
      <c r="AJ155">
        <v>0.06</v>
      </c>
      <c r="AK155">
        <v>2.21</v>
      </c>
      <c r="AL155">
        <v>7.14</v>
      </c>
      <c r="AM155">
        <v>0.05</v>
      </c>
      <c r="AN155">
        <v>55.9</v>
      </c>
      <c r="AO155">
        <v>130</v>
      </c>
      <c r="AP155">
        <v>26.09</v>
      </c>
      <c r="AQ155">
        <v>1.1200000000000001</v>
      </c>
      <c r="AR155">
        <v>4.4450000000000003</v>
      </c>
      <c r="AS155">
        <v>2.504</v>
      </c>
      <c r="AT155">
        <v>0.61899999999999999</v>
      </c>
      <c r="AU155">
        <v>176</v>
      </c>
      <c r="AV155">
        <v>4.55</v>
      </c>
      <c r="AW155">
        <v>3.9</v>
      </c>
      <c r="AX155">
        <v>7.01</v>
      </c>
      <c r="AY155">
        <v>7.5</v>
      </c>
      <c r="AZ155">
        <v>5.75</v>
      </c>
      <c r="BA155">
        <v>8.2799999999999994</v>
      </c>
      <c r="BB155">
        <v>7.42</v>
      </c>
      <c r="BC155">
        <v>4.4400000000000004</v>
      </c>
      <c r="BD155">
        <v>1.47</v>
      </c>
      <c r="BE155">
        <v>4.1399999999999997</v>
      </c>
      <c r="BF155">
        <v>2.31</v>
      </c>
      <c r="BG155">
        <v>12.78</v>
      </c>
      <c r="BH155">
        <v>9.2899999999999991</v>
      </c>
      <c r="BI155">
        <v>1.44</v>
      </c>
      <c r="BJ155">
        <v>5.3</v>
      </c>
      <c r="BK155">
        <v>3.5</v>
      </c>
      <c r="BL155">
        <v>4.6100000000000003</v>
      </c>
      <c r="BM155">
        <v>3.13</v>
      </c>
      <c r="BN155" t="s">
        <v>85</v>
      </c>
      <c r="BO155" t="s">
        <v>85</v>
      </c>
      <c r="BP155" t="s">
        <v>85</v>
      </c>
    </row>
    <row r="156" spans="1:68">
      <c r="A156" s="30"/>
      <c r="B156" s="31" t="s">
        <v>633</v>
      </c>
      <c r="C156" s="31" t="s">
        <v>630</v>
      </c>
      <c r="D156" s="37"/>
      <c r="E156" s="35" t="s">
        <v>82</v>
      </c>
      <c r="F156" s="35" t="s">
        <v>634</v>
      </c>
      <c r="G156" s="31" t="s">
        <v>633</v>
      </c>
      <c r="H156">
        <v>6</v>
      </c>
      <c r="I156" t="s">
        <v>628</v>
      </c>
      <c r="J156">
        <v>140.30000000000001</v>
      </c>
      <c r="K156">
        <v>75.42</v>
      </c>
      <c r="L156">
        <v>14.96</v>
      </c>
      <c r="M156">
        <v>8.98</v>
      </c>
      <c r="N156" t="s">
        <v>85</v>
      </c>
      <c r="O156" t="s">
        <v>85</v>
      </c>
      <c r="P156">
        <v>0.08</v>
      </c>
      <c r="Q156">
        <v>0.1</v>
      </c>
      <c r="R156">
        <v>0.9</v>
      </c>
      <c r="S156">
        <v>3.02</v>
      </c>
      <c r="T156">
        <v>0.19</v>
      </c>
      <c r="U156">
        <v>7.84</v>
      </c>
      <c r="W156" t="s">
        <v>85</v>
      </c>
      <c r="Y156">
        <v>0.2</v>
      </c>
      <c r="Z156" t="s">
        <v>85</v>
      </c>
      <c r="AA156">
        <v>1.1299999999999999</v>
      </c>
      <c r="AC156" t="s">
        <v>85</v>
      </c>
      <c r="AD156" t="s">
        <v>85</v>
      </c>
      <c r="AE156" t="s">
        <v>85</v>
      </c>
      <c r="AF156" t="s">
        <v>85</v>
      </c>
      <c r="AG156" t="s">
        <v>85</v>
      </c>
      <c r="AH156" t="s">
        <v>85</v>
      </c>
      <c r="AI156">
        <v>16.05</v>
      </c>
      <c r="AJ156">
        <v>0.11</v>
      </c>
      <c r="AK156">
        <v>2.83</v>
      </c>
      <c r="AL156">
        <v>9.7799999999999994</v>
      </c>
      <c r="AM156">
        <v>0.05</v>
      </c>
      <c r="AN156">
        <v>124</v>
      </c>
      <c r="AO156">
        <v>140</v>
      </c>
      <c r="AP156">
        <v>26.44</v>
      </c>
      <c r="AQ156">
        <v>1.36</v>
      </c>
      <c r="AR156">
        <v>4.109</v>
      </c>
      <c r="AS156">
        <v>3.1739999999999999</v>
      </c>
      <c r="AT156">
        <v>0.89200000000000002</v>
      </c>
      <c r="AU156">
        <v>180</v>
      </c>
      <c r="AV156">
        <v>4.9800000000000004</v>
      </c>
      <c r="AW156">
        <v>4.08</v>
      </c>
      <c r="AX156">
        <v>7.74</v>
      </c>
      <c r="AY156">
        <v>7.93</v>
      </c>
      <c r="AZ156">
        <v>6.7</v>
      </c>
      <c r="BA156">
        <v>8.07</v>
      </c>
      <c r="BB156">
        <v>7.99</v>
      </c>
      <c r="BC156">
        <v>4.7300000000000004</v>
      </c>
      <c r="BD156">
        <v>1.27</v>
      </c>
      <c r="BE156">
        <v>3.5</v>
      </c>
      <c r="BF156">
        <v>2.25</v>
      </c>
      <c r="BG156">
        <v>13.19</v>
      </c>
      <c r="BH156">
        <v>9.15</v>
      </c>
      <c r="BI156">
        <v>1.26</v>
      </c>
      <c r="BJ156">
        <v>5.32</v>
      </c>
      <c r="BK156">
        <v>3.62</v>
      </c>
      <c r="BL156">
        <v>4.97</v>
      </c>
      <c r="BM156">
        <v>2.92</v>
      </c>
      <c r="BN156" t="s">
        <v>85</v>
      </c>
      <c r="BO156" t="s">
        <v>85</v>
      </c>
      <c r="BP156" t="s">
        <v>85</v>
      </c>
    </row>
    <row r="157" spans="1:68">
      <c r="A157" s="30"/>
      <c r="B157" s="31" t="s">
        <v>635</v>
      </c>
      <c r="C157" s="31" t="s">
        <v>636</v>
      </c>
      <c r="D157" s="37" t="s">
        <v>604</v>
      </c>
      <c r="E157" s="52" t="s">
        <v>103</v>
      </c>
      <c r="F157" s="51" t="s">
        <v>637</v>
      </c>
      <c r="G157" s="35" t="s">
        <v>638</v>
      </c>
      <c r="H157">
        <v>6</v>
      </c>
      <c r="I157" t="s">
        <v>606</v>
      </c>
    </row>
    <row r="158" spans="1:68" ht="27.2">
      <c r="A158" s="30"/>
      <c r="B158" s="31" t="s">
        <v>639</v>
      </c>
      <c r="C158" s="33" t="s">
        <v>640</v>
      </c>
      <c r="D158" s="37" t="s">
        <v>604</v>
      </c>
      <c r="E158" s="35" t="s">
        <v>76</v>
      </c>
      <c r="F158" s="35">
        <v>110001</v>
      </c>
      <c r="G158" s="35" t="s">
        <v>641</v>
      </c>
      <c r="H158">
        <v>7</v>
      </c>
      <c r="I158" t="s">
        <v>642</v>
      </c>
      <c r="J158">
        <v>139</v>
      </c>
      <c r="K158">
        <v>72.31</v>
      </c>
      <c r="L158">
        <v>14.49</v>
      </c>
      <c r="M158">
        <v>9</v>
      </c>
      <c r="O158">
        <v>0</v>
      </c>
      <c r="P158">
        <v>0.18</v>
      </c>
      <c r="Q158">
        <v>0.4</v>
      </c>
      <c r="R158">
        <v>0.1</v>
      </c>
      <c r="S158">
        <v>1.47</v>
      </c>
      <c r="T158">
        <v>0.15</v>
      </c>
      <c r="U158">
        <v>50</v>
      </c>
      <c r="V158">
        <v>2</v>
      </c>
      <c r="W158">
        <v>0</v>
      </c>
      <c r="X158">
        <v>4.67</v>
      </c>
      <c r="Y158">
        <v>0.83</v>
      </c>
      <c r="AA158">
        <v>165.25</v>
      </c>
      <c r="AB158">
        <v>165.25</v>
      </c>
      <c r="AC158">
        <v>0</v>
      </c>
      <c r="AD158">
        <v>0</v>
      </c>
      <c r="AI158">
        <v>29</v>
      </c>
      <c r="AJ158">
        <v>0.3</v>
      </c>
      <c r="AK158">
        <v>1.54</v>
      </c>
      <c r="AL158">
        <v>20.88</v>
      </c>
      <c r="AN158">
        <v>220</v>
      </c>
      <c r="AO158">
        <v>110.43</v>
      </c>
      <c r="AQ158">
        <v>2.36</v>
      </c>
      <c r="AR158">
        <v>2.7</v>
      </c>
      <c r="AS158">
        <v>3.5</v>
      </c>
      <c r="AT158">
        <v>1.21</v>
      </c>
      <c r="AU158">
        <v>309.38</v>
      </c>
      <c r="AV158">
        <v>198</v>
      </c>
      <c r="AW158">
        <v>913</v>
      </c>
      <c r="AX158">
        <v>1050</v>
      </c>
      <c r="AY158">
        <v>620</v>
      </c>
      <c r="AZ158">
        <v>455</v>
      </c>
      <c r="BA158">
        <v>382</v>
      </c>
      <c r="BB158">
        <v>1233</v>
      </c>
      <c r="BC158">
        <v>442</v>
      </c>
      <c r="BD158">
        <v>220</v>
      </c>
      <c r="BE158">
        <v>912</v>
      </c>
      <c r="BF158">
        <v>1295</v>
      </c>
      <c r="BG158">
        <v>644</v>
      </c>
      <c r="BH158">
        <v>1577</v>
      </c>
      <c r="BI158">
        <v>2024</v>
      </c>
      <c r="BJ158">
        <v>602</v>
      </c>
      <c r="BK158">
        <v>505</v>
      </c>
      <c r="BL158">
        <v>1103</v>
      </c>
      <c r="BM158">
        <v>334</v>
      </c>
    </row>
    <row r="159" spans="1:68" ht="27.2">
      <c r="A159" s="30"/>
      <c r="B159" s="31" t="s">
        <v>643</v>
      </c>
      <c r="C159" s="33" t="s">
        <v>644</v>
      </c>
      <c r="D159" s="35" t="s">
        <v>619</v>
      </c>
      <c r="E159" s="35" t="s">
        <v>76</v>
      </c>
      <c r="F159" s="35">
        <v>110004</v>
      </c>
      <c r="G159" s="35" t="s">
        <v>645</v>
      </c>
      <c r="H159">
        <v>9</v>
      </c>
      <c r="I159" t="s">
        <v>642</v>
      </c>
      <c r="J159">
        <v>188</v>
      </c>
      <c r="K159">
        <v>69.7</v>
      </c>
      <c r="L159">
        <v>13.48</v>
      </c>
      <c r="M159">
        <v>14.29</v>
      </c>
      <c r="N159">
        <v>1.44</v>
      </c>
      <c r="O159">
        <v>0</v>
      </c>
      <c r="P159">
        <v>0.12</v>
      </c>
      <c r="Q159">
        <v>0.26</v>
      </c>
      <c r="R159">
        <v>0.2</v>
      </c>
      <c r="S159">
        <v>0.51</v>
      </c>
      <c r="T159">
        <v>0.25</v>
      </c>
      <c r="U159">
        <v>80</v>
      </c>
      <c r="V159">
        <v>5.4</v>
      </c>
      <c r="W159">
        <v>0</v>
      </c>
      <c r="X159">
        <v>2.67</v>
      </c>
      <c r="Y159">
        <v>1.39</v>
      </c>
      <c r="AA159">
        <v>360</v>
      </c>
      <c r="AB159">
        <v>361.73</v>
      </c>
      <c r="AC159">
        <v>0</v>
      </c>
      <c r="AD159">
        <v>14.53</v>
      </c>
      <c r="AI159">
        <v>65</v>
      </c>
      <c r="AJ159">
        <v>0.06</v>
      </c>
      <c r="AK159">
        <v>2.42</v>
      </c>
      <c r="AL159">
        <v>10.66</v>
      </c>
      <c r="AN159">
        <v>220</v>
      </c>
      <c r="AO159">
        <v>222</v>
      </c>
      <c r="AQ159">
        <v>1.41</v>
      </c>
      <c r="AR159">
        <v>3.83</v>
      </c>
      <c r="AS159">
        <v>6.73</v>
      </c>
      <c r="AT159">
        <v>1.24</v>
      </c>
      <c r="AU159">
        <v>884</v>
      </c>
      <c r="AV159">
        <v>348</v>
      </c>
      <c r="AW159">
        <v>632</v>
      </c>
      <c r="AX159">
        <v>1158</v>
      </c>
      <c r="AY159">
        <v>990</v>
      </c>
      <c r="AZ159">
        <v>600</v>
      </c>
      <c r="BA159">
        <v>305</v>
      </c>
      <c r="BB159">
        <v>885</v>
      </c>
      <c r="BC159">
        <v>779</v>
      </c>
      <c r="BD159">
        <v>284</v>
      </c>
      <c r="BE159">
        <v>927</v>
      </c>
      <c r="BF159">
        <v>674</v>
      </c>
      <c r="BG159">
        <v>800</v>
      </c>
      <c r="BH159">
        <v>821</v>
      </c>
      <c r="BI159">
        <v>1896</v>
      </c>
      <c r="BJ159">
        <v>453</v>
      </c>
      <c r="BK159">
        <v>495</v>
      </c>
      <c r="BL159">
        <v>1011</v>
      </c>
      <c r="BM159">
        <v>653</v>
      </c>
    </row>
    <row r="160" spans="1:68" ht="27.2">
      <c r="A160" s="30"/>
      <c r="B160" s="33" t="s">
        <v>646</v>
      </c>
      <c r="C160" s="33" t="s">
        <v>647</v>
      </c>
      <c r="D160" s="35" t="s">
        <v>613</v>
      </c>
      <c r="E160" s="52" t="s">
        <v>122</v>
      </c>
      <c r="F160" s="35">
        <v>2259793</v>
      </c>
      <c r="G160" s="35" t="s">
        <v>648</v>
      </c>
      <c r="H160">
        <v>9</v>
      </c>
      <c r="I160" t="s">
        <v>649</v>
      </c>
    </row>
    <row r="161" spans="1:68" ht="27.2">
      <c r="A161" s="30"/>
      <c r="B161" s="33" t="s">
        <v>650</v>
      </c>
      <c r="C161" s="33" t="s">
        <v>651</v>
      </c>
      <c r="D161" s="35" t="s">
        <v>613</v>
      </c>
      <c r="E161" s="35" t="s">
        <v>76</v>
      </c>
      <c r="F161" s="35">
        <v>120003</v>
      </c>
      <c r="G161" s="35" t="s">
        <v>652</v>
      </c>
      <c r="H161">
        <v>5</v>
      </c>
      <c r="I161" t="s">
        <v>649</v>
      </c>
      <c r="J161">
        <v>94</v>
      </c>
      <c r="K161">
        <v>80.599999999999994</v>
      </c>
      <c r="L161">
        <v>3.16</v>
      </c>
      <c r="M161">
        <v>4</v>
      </c>
      <c r="N161">
        <v>11.44</v>
      </c>
      <c r="O161">
        <v>0</v>
      </c>
      <c r="P161">
        <v>0.05</v>
      </c>
      <c r="Q161">
        <v>0.16</v>
      </c>
      <c r="R161">
        <v>0.2</v>
      </c>
      <c r="T161">
        <v>0.05</v>
      </c>
      <c r="U161">
        <v>8.5</v>
      </c>
      <c r="V161">
        <v>0.25</v>
      </c>
      <c r="W161">
        <v>1</v>
      </c>
      <c r="Y161">
        <v>0.08</v>
      </c>
      <c r="AA161">
        <v>31</v>
      </c>
      <c r="AB161">
        <v>32.18</v>
      </c>
      <c r="AI161">
        <v>103</v>
      </c>
      <c r="AJ161">
        <v>0.05</v>
      </c>
      <c r="AK161">
        <v>0.09</v>
      </c>
      <c r="AL161">
        <v>13</v>
      </c>
      <c r="AN161">
        <v>90</v>
      </c>
      <c r="AO161">
        <v>131.16</v>
      </c>
      <c r="AQ161">
        <v>0.45</v>
      </c>
      <c r="AU161">
        <v>11.57</v>
      </c>
    </row>
    <row r="162" spans="1:68">
      <c r="A162" s="30"/>
      <c r="B162" s="33" t="s">
        <v>653</v>
      </c>
      <c r="C162" s="33" t="s">
        <v>654</v>
      </c>
      <c r="D162" s="35" t="s">
        <v>613</v>
      </c>
      <c r="E162" s="35" t="s">
        <v>76</v>
      </c>
      <c r="F162" s="35">
        <v>120007</v>
      </c>
      <c r="G162" s="35" t="s">
        <v>655</v>
      </c>
      <c r="H162">
        <v>5</v>
      </c>
      <c r="I162" t="s">
        <v>649</v>
      </c>
      <c r="J162">
        <v>30</v>
      </c>
      <c r="K162">
        <v>92.1</v>
      </c>
      <c r="L162">
        <v>3.08</v>
      </c>
      <c r="M162">
        <v>0.1</v>
      </c>
      <c r="N162">
        <v>4.08</v>
      </c>
      <c r="O162">
        <v>0</v>
      </c>
      <c r="P162">
        <v>0.06</v>
      </c>
      <c r="Q162">
        <v>0.28000000000000003</v>
      </c>
      <c r="R162">
        <v>0.2</v>
      </c>
      <c r="T162">
        <v>0.05</v>
      </c>
      <c r="U162">
        <v>8.5</v>
      </c>
      <c r="V162">
        <v>0.49</v>
      </c>
      <c r="W162">
        <v>1</v>
      </c>
      <c r="Y162">
        <v>0.01</v>
      </c>
      <c r="AA162">
        <v>0</v>
      </c>
      <c r="AB162">
        <v>0</v>
      </c>
      <c r="AD162">
        <v>0</v>
      </c>
      <c r="AI162">
        <v>103</v>
      </c>
      <c r="AJ162">
        <v>0.05</v>
      </c>
      <c r="AK162">
        <v>0.09</v>
      </c>
      <c r="AL162">
        <v>13</v>
      </c>
      <c r="AN162">
        <v>90</v>
      </c>
      <c r="AO162">
        <v>131.16</v>
      </c>
      <c r="AQ162">
        <v>0.45</v>
      </c>
      <c r="AR162">
        <v>0.05</v>
      </c>
      <c r="AS162">
        <v>0.03</v>
      </c>
      <c r="AT162">
        <v>0</v>
      </c>
    </row>
    <row r="163" spans="1:68">
      <c r="A163" s="30"/>
      <c r="B163" s="33" t="s">
        <v>656</v>
      </c>
      <c r="C163" s="33" t="s">
        <v>654</v>
      </c>
      <c r="D163" s="35" t="s">
        <v>613</v>
      </c>
      <c r="E163" s="35" t="s">
        <v>76</v>
      </c>
      <c r="F163" s="35">
        <v>120008</v>
      </c>
      <c r="G163" s="35" t="s">
        <v>657</v>
      </c>
      <c r="H163">
        <v>5</v>
      </c>
      <c r="I163" t="s">
        <v>649</v>
      </c>
      <c r="J163">
        <v>63</v>
      </c>
      <c r="K163">
        <v>88.27</v>
      </c>
      <c r="L163">
        <v>3.08</v>
      </c>
      <c r="M163">
        <v>3.74</v>
      </c>
      <c r="N163">
        <v>4.2699999999999996</v>
      </c>
      <c r="O163">
        <v>0</v>
      </c>
      <c r="P163">
        <v>0.06</v>
      </c>
      <c r="Q163">
        <v>0.28000000000000003</v>
      </c>
      <c r="R163">
        <v>0.2</v>
      </c>
      <c r="S163">
        <v>0.34</v>
      </c>
      <c r="T163">
        <v>0.05</v>
      </c>
      <c r="U163">
        <v>8.5</v>
      </c>
      <c r="V163">
        <v>0.25</v>
      </c>
      <c r="W163">
        <v>2</v>
      </c>
      <c r="X163">
        <v>1.07</v>
      </c>
      <c r="Y163">
        <v>0.08</v>
      </c>
      <c r="AA163">
        <v>30.18</v>
      </c>
      <c r="AB163">
        <v>31.54</v>
      </c>
      <c r="AD163">
        <v>13.67</v>
      </c>
      <c r="AE163">
        <v>9.6199999999999992</v>
      </c>
      <c r="AH163">
        <v>5.01</v>
      </c>
      <c r="AI163">
        <v>103</v>
      </c>
      <c r="AJ163">
        <v>0.05</v>
      </c>
      <c r="AK163">
        <v>0.09</v>
      </c>
      <c r="AL163">
        <v>13</v>
      </c>
      <c r="AN163">
        <v>90</v>
      </c>
      <c r="AO163">
        <v>131.16</v>
      </c>
      <c r="AQ163">
        <v>0.45</v>
      </c>
      <c r="AR163">
        <v>1.94</v>
      </c>
      <c r="AS163">
        <v>0.94</v>
      </c>
      <c r="AT163">
        <v>0.15</v>
      </c>
      <c r="AU163">
        <v>14.96</v>
      </c>
      <c r="AV163">
        <v>77</v>
      </c>
      <c r="AW163">
        <v>131</v>
      </c>
      <c r="AX163">
        <v>267</v>
      </c>
      <c r="AY163">
        <v>225</v>
      </c>
      <c r="AZ163">
        <v>69</v>
      </c>
      <c r="BA163">
        <v>21</v>
      </c>
      <c r="BB163">
        <v>136</v>
      </c>
      <c r="BC163">
        <v>124</v>
      </c>
      <c r="BD163">
        <v>33</v>
      </c>
      <c r="BE163">
        <v>187</v>
      </c>
      <c r="BF163">
        <v>157</v>
      </c>
      <c r="BG163">
        <v>105</v>
      </c>
      <c r="BH163">
        <v>211</v>
      </c>
      <c r="BI163">
        <v>713</v>
      </c>
      <c r="BJ163">
        <v>62</v>
      </c>
      <c r="BK163">
        <v>264</v>
      </c>
      <c r="BL163">
        <v>161</v>
      </c>
      <c r="BM163">
        <v>140</v>
      </c>
    </row>
    <row r="164" spans="1:68">
      <c r="A164" s="30"/>
      <c r="B164" s="31" t="s">
        <v>658</v>
      </c>
      <c r="C164" s="33"/>
      <c r="D164" s="38"/>
      <c r="E164" s="35" t="s">
        <v>76</v>
      </c>
      <c r="F164" s="35" t="s">
        <v>659</v>
      </c>
      <c r="G164" s="35" t="s">
        <v>660</v>
      </c>
      <c r="H164">
        <v>5</v>
      </c>
      <c r="I164" t="s">
        <v>628</v>
      </c>
      <c r="J164">
        <v>130</v>
      </c>
      <c r="K164">
        <v>70.81</v>
      </c>
      <c r="L164">
        <v>20.36</v>
      </c>
      <c r="M164">
        <v>3.63</v>
      </c>
      <c r="N164">
        <v>3.89</v>
      </c>
      <c r="O164">
        <v>0</v>
      </c>
      <c r="P164">
        <v>0.19</v>
      </c>
      <c r="Q164">
        <v>2.76</v>
      </c>
      <c r="R164">
        <v>13.18</v>
      </c>
      <c r="S164">
        <v>9.32</v>
      </c>
      <c r="T164">
        <v>1.08</v>
      </c>
      <c r="U164">
        <v>290</v>
      </c>
      <c r="W164">
        <v>1.3</v>
      </c>
      <c r="X164">
        <v>1.2</v>
      </c>
      <c r="Y164">
        <v>0.38</v>
      </c>
      <c r="AA164">
        <v>4948</v>
      </c>
      <c r="AB164">
        <v>4968.33</v>
      </c>
      <c r="AC164">
        <v>11</v>
      </c>
      <c r="AD164">
        <v>232</v>
      </c>
      <c r="AI164">
        <v>4.05</v>
      </c>
      <c r="AJ164">
        <v>1.5</v>
      </c>
      <c r="AK164">
        <v>3.5</v>
      </c>
      <c r="AL164">
        <v>18</v>
      </c>
      <c r="AN164">
        <v>387</v>
      </c>
      <c r="AO164">
        <v>313</v>
      </c>
      <c r="AQ164">
        <v>3.71</v>
      </c>
      <c r="AR164">
        <v>1.23</v>
      </c>
      <c r="AS164">
        <v>0.48</v>
      </c>
      <c r="AT164">
        <v>0.47</v>
      </c>
      <c r="AU164">
        <v>275</v>
      </c>
      <c r="AV164">
        <v>629</v>
      </c>
      <c r="AW164">
        <v>967</v>
      </c>
      <c r="AX164">
        <v>1910</v>
      </c>
      <c r="AY164">
        <v>1607</v>
      </c>
      <c r="AZ164">
        <v>543</v>
      </c>
      <c r="BA164">
        <v>376</v>
      </c>
      <c r="BB164">
        <v>1084</v>
      </c>
      <c r="BC164">
        <v>869</v>
      </c>
      <c r="BD164">
        <v>263</v>
      </c>
      <c r="BE164">
        <v>1260</v>
      </c>
      <c r="BF164">
        <v>1164</v>
      </c>
      <c r="BG164">
        <v>1241</v>
      </c>
      <c r="BH164">
        <v>1927</v>
      </c>
      <c r="BI164">
        <v>2612</v>
      </c>
      <c r="BJ164">
        <v>1164</v>
      </c>
      <c r="BK164">
        <v>961</v>
      </c>
      <c r="BL164">
        <v>905</v>
      </c>
      <c r="BM164">
        <v>807</v>
      </c>
    </row>
    <row r="165" spans="1:68">
      <c r="A165" s="30"/>
      <c r="B165" s="33" t="s">
        <v>661</v>
      </c>
      <c r="C165" s="33"/>
      <c r="D165" s="38"/>
      <c r="E165" s="35" t="s">
        <v>76</v>
      </c>
      <c r="F165" s="35">
        <v>80006</v>
      </c>
      <c r="G165" s="35" t="s">
        <v>662</v>
      </c>
      <c r="H165">
        <v>6</v>
      </c>
      <c r="I165" t="s">
        <v>628</v>
      </c>
      <c r="J165">
        <v>81</v>
      </c>
      <c r="K165">
        <v>76.8</v>
      </c>
      <c r="L165">
        <v>1.4</v>
      </c>
      <c r="M165">
        <v>0.2</v>
      </c>
      <c r="N165">
        <v>15.7</v>
      </c>
      <c r="O165">
        <v>5.2</v>
      </c>
      <c r="P165">
        <v>0.11</v>
      </c>
      <c r="Q165">
        <v>7.0000000000000007E-2</v>
      </c>
      <c r="R165">
        <v>0.6</v>
      </c>
      <c r="T165">
        <v>0.22</v>
      </c>
      <c r="W165">
        <v>5</v>
      </c>
      <c r="X165">
        <v>0</v>
      </c>
      <c r="Y165">
        <v>0</v>
      </c>
      <c r="AA165">
        <v>0</v>
      </c>
      <c r="AB165">
        <v>1.1100000000000001</v>
      </c>
      <c r="AD165">
        <v>29</v>
      </c>
      <c r="AI165">
        <v>10</v>
      </c>
      <c r="AK165">
        <v>0.6</v>
      </c>
      <c r="AN165">
        <v>10</v>
      </c>
      <c r="AO165">
        <v>495</v>
      </c>
    </row>
    <row r="166" spans="1:68">
      <c r="A166" s="30"/>
      <c r="B166" s="31" t="s">
        <v>663</v>
      </c>
      <c r="C166" s="31" t="s">
        <v>664</v>
      </c>
      <c r="D166" s="35" t="s">
        <v>665</v>
      </c>
      <c r="E166" s="35" t="s">
        <v>76</v>
      </c>
      <c r="F166" s="35">
        <v>100012</v>
      </c>
      <c r="G166" s="35" t="s">
        <v>666</v>
      </c>
      <c r="H166">
        <v>6</v>
      </c>
      <c r="I166" t="s">
        <v>606</v>
      </c>
      <c r="J166">
        <v>196</v>
      </c>
      <c r="K166">
        <v>71.5</v>
      </c>
      <c r="L166">
        <v>18.5</v>
      </c>
      <c r="M166">
        <v>13.5</v>
      </c>
      <c r="N166">
        <v>0</v>
      </c>
      <c r="O166">
        <v>0</v>
      </c>
      <c r="P166">
        <v>0.18</v>
      </c>
      <c r="Q166">
        <v>0.14000000000000001</v>
      </c>
      <c r="R166">
        <v>2.69</v>
      </c>
      <c r="S166">
        <v>1</v>
      </c>
      <c r="T166">
        <v>0.13</v>
      </c>
      <c r="U166">
        <v>5.8</v>
      </c>
      <c r="V166">
        <v>1.2</v>
      </c>
      <c r="W166">
        <v>0</v>
      </c>
      <c r="X166">
        <v>0.2</v>
      </c>
      <c r="Y166">
        <v>0.31</v>
      </c>
      <c r="AA166">
        <v>9</v>
      </c>
      <c r="AB166">
        <v>9</v>
      </c>
      <c r="AI166">
        <v>12.5</v>
      </c>
      <c r="AJ166">
        <v>0.08</v>
      </c>
      <c r="AK166">
        <v>2.17</v>
      </c>
      <c r="AL166">
        <v>18.59</v>
      </c>
      <c r="AN166">
        <v>150</v>
      </c>
      <c r="AO166">
        <v>136.25</v>
      </c>
      <c r="AQ166">
        <v>3.92</v>
      </c>
      <c r="AR166">
        <v>6.55</v>
      </c>
      <c r="AS166">
        <v>5.09</v>
      </c>
      <c r="AT166">
        <v>0.62</v>
      </c>
      <c r="AU166">
        <v>78</v>
      </c>
      <c r="AV166">
        <v>970.37</v>
      </c>
      <c r="AW166">
        <v>663.94</v>
      </c>
      <c r="AX166">
        <v>1344.29</v>
      </c>
      <c r="AY166">
        <v>1434.88</v>
      </c>
      <c r="AZ166">
        <v>983.14</v>
      </c>
      <c r="BA166">
        <v>1734.02</v>
      </c>
      <c r="BB166">
        <v>1364.96</v>
      </c>
      <c r="BC166">
        <v>912</v>
      </c>
      <c r="BD166">
        <v>266.91000000000003</v>
      </c>
      <c r="BE166">
        <v>828.7</v>
      </c>
      <c r="BF166">
        <v>465.73</v>
      </c>
      <c r="BG166">
        <v>2644.19</v>
      </c>
      <c r="BH166">
        <v>1004.42</v>
      </c>
      <c r="BI166">
        <v>257.79000000000002</v>
      </c>
      <c r="BJ166">
        <v>781.28</v>
      </c>
      <c r="BK166">
        <v>791.62</v>
      </c>
      <c r="BL166">
        <v>804.99</v>
      </c>
      <c r="BM166">
        <v>716.83</v>
      </c>
    </row>
    <row r="167" spans="1:68" s="58" customFormat="1">
      <c r="A167" s="55"/>
      <c r="B167" s="56" t="s">
        <v>667</v>
      </c>
      <c r="C167" s="56" t="s">
        <v>668</v>
      </c>
      <c r="D167" s="57" t="s">
        <v>669</v>
      </c>
      <c r="E167" s="57"/>
      <c r="F167" s="57"/>
      <c r="G167" s="57"/>
      <c r="H167" s="58">
        <v>7</v>
      </c>
      <c r="I167" s="58" t="s">
        <v>606</v>
      </c>
    </row>
    <row r="168" spans="1:68">
      <c r="A168" s="30"/>
      <c r="B168" s="31" t="s">
        <v>670</v>
      </c>
      <c r="C168" s="31" t="s">
        <v>671</v>
      </c>
      <c r="D168" s="35" t="s">
        <v>672</v>
      </c>
      <c r="E168" s="35" t="s">
        <v>76</v>
      </c>
      <c r="F168" s="35">
        <v>100005</v>
      </c>
      <c r="G168" s="35" t="s">
        <v>673</v>
      </c>
      <c r="H168">
        <v>7</v>
      </c>
      <c r="I168" t="s">
        <v>606</v>
      </c>
      <c r="J168">
        <v>95</v>
      </c>
      <c r="K168">
        <v>78.7</v>
      </c>
      <c r="L168">
        <v>19.399999999999999</v>
      </c>
      <c r="M168">
        <v>1.9</v>
      </c>
      <c r="N168">
        <v>0</v>
      </c>
      <c r="O168">
        <v>0</v>
      </c>
      <c r="P168">
        <v>0.04</v>
      </c>
      <c r="Q168">
        <v>0.2</v>
      </c>
      <c r="R168">
        <v>5.97</v>
      </c>
      <c r="T168">
        <v>0.53</v>
      </c>
      <c r="U168">
        <v>8</v>
      </c>
      <c r="W168">
        <v>0</v>
      </c>
      <c r="X168">
        <v>0.08</v>
      </c>
      <c r="Y168">
        <v>0.05</v>
      </c>
      <c r="AA168">
        <v>0</v>
      </c>
      <c r="AB168">
        <v>0</v>
      </c>
      <c r="AD168">
        <v>0</v>
      </c>
      <c r="AI168">
        <v>12</v>
      </c>
      <c r="AJ168">
        <v>0.15</v>
      </c>
      <c r="AK168">
        <v>1.61</v>
      </c>
      <c r="AL168">
        <v>32</v>
      </c>
      <c r="AN168">
        <v>189</v>
      </c>
      <c r="AO168">
        <v>297</v>
      </c>
      <c r="AQ168">
        <v>1.93</v>
      </c>
    </row>
    <row r="169" spans="1:68">
      <c r="A169" s="30"/>
      <c r="B169" s="31" t="s">
        <v>674</v>
      </c>
      <c r="C169" s="31" t="s">
        <v>675</v>
      </c>
      <c r="E169" s="53" t="s">
        <v>103</v>
      </c>
      <c r="F169" s="48">
        <v>35021</v>
      </c>
      <c r="G169" s="35" t="s">
        <v>676</v>
      </c>
      <c r="H169">
        <v>7</v>
      </c>
      <c r="I169" t="s">
        <v>606</v>
      </c>
    </row>
    <row r="170" spans="1:68">
      <c r="A170" s="30"/>
      <c r="B170" s="31" t="s">
        <v>677</v>
      </c>
      <c r="C170" s="31" t="s">
        <v>678</v>
      </c>
      <c r="E170" s="35" t="s">
        <v>82</v>
      </c>
      <c r="F170" s="35" t="s">
        <v>679</v>
      </c>
      <c r="G170" s="35" t="s">
        <v>680</v>
      </c>
      <c r="H170">
        <v>7</v>
      </c>
      <c r="I170" t="s">
        <v>628</v>
      </c>
      <c r="J170">
        <v>127.39</v>
      </c>
      <c r="K170">
        <v>76.739999999999995</v>
      </c>
      <c r="L170">
        <v>13.82</v>
      </c>
      <c r="M170">
        <v>8.06</v>
      </c>
      <c r="N170" t="s">
        <v>85</v>
      </c>
      <c r="O170" t="s">
        <v>85</v>
      </c>
      <c r="P170">
        <v>0.13</v>
      </c>
      <c r="Q170">
        <v>0.17</v>
      </c>
      <c r="R170">
        <v>2.04</v>
      </c>
      <c r="S170">
        <v>1.52</v>
      </c>
      <c r="T170">
        <v>0.28000000000000003</v>
      </c>
      <c r="U170">
        <v>1.3</v>
      </c>
      <c r="W170" t="s">
        <v>85</v>
      </c>
      <c r="Y170">
        <v>0.08</v>
      </c>
      <c r="Z170" t="s">
        <v>85</v>
      </c>
      <c r="AA170">
        <v>1.98</v>
      </c>
      <c r="AC170" t="s">
        <v>85</v>
      </c>
      <c r="AD170" t="s">
        <v>85</v>
      </c>
      <c r="AE170" t="s">
        <v>85</v>
      </c>
      <c r="AF170" t="s">
        <v>85</v>
      </c>
      <c r="AG170" t="s">
        <v>85</v>
      </c>
      <c r="AH170" t="s">
        <v>85</v>
      </c>
      <c r="AI170">
        <v>10.61</v>
      </c>
      <c r="AJ170">
        <v>0.3</v>
      </c>
      <c r="AK170">
        <v>1.63</v>
      </c>
      <c r="AL170">
        <v>13.94</v>
      </c>
      <c r="AM170">
        <v>0.04</v>
      </c>
      <c r="AN170">
        <v>296</v>
      </c>
      <c r="AO170">
        <v>296</v>
      </c>
      <c r="AP170">
        <v>21.7</v>
      </c>
      <c r="AQ170">
        <v>1.08</v>
      </c>
      <c r="AR170">
        <v>2.1379999999999999</v>
      </c>
      <c r="AS170">
        <v>1.4470000000000001</v>
      </c>
      <c r="AT170">
        <v>0.93899999999999995</v>
      </c>
      <c r="AU170">
        <v>1340</v>
      </c>
      <c r="AV170">
        <v>5.29</v>
      </c>
      <c r="AW170">
        <v>2.98</v>
      </c>
      <c r="AX170">
        <v>5.21</v>
      </c>
      <c r="AY170">
        <v>8.24</v>
      </c>
      <c r="AZ170">
        <v>6.01</v>
      </c>
      <c r="BA170">
        <v>8.4700000000000006</v>
      </c>
      <c r="BB170">
        <v>6.61</v>
      </c>
      <c r="BC170">
        <v>5.29</v>
      </c>
      <c r="BD170">
        <v>1.36</v>
      </c>
      <c r="BE170">
        <v>4.7</v>
      </c>
      <c r="BF170">
        <v>3.05</v>
      </c>
      <c r="BG170">
        <v>13.68</v>
      </c>
      <c r="BH170">
        <v>5.72</v>
      </c>
      <c r="BI170">
        <v>1.29</v>
      </c>
      <c r="BJ170">
        <v>4.2</v>
      </c>
      <c r="BK170">
        <v>4.82</v>
      </c>
      <c r="BL170">
        <v>5.29</v>
      </c>
      <c r="BM170">
        <v>4.68</v>
      </c>
      <c r="BN170" t="s">
        <v>85</v>
      </c>
      <c r="BO170" t="s">
        <v>85</v>
      </c>
      <c r="BP170" t="s">
        <v>85</v>
      </c>
    </row>
    <row r="171" spans="1:68">
      <c r="A171" s="30"/>
      <c r="B171" s="31" t="s">
        <v>681</v>
      </c>
      <c r="C171" s="31" t="s">
        <v>682</v>
      </c>
      <c r="D171" s="35" t="s">
        <v>683</v>
      </c>
      <c r="E171" s="52" t="s">
        <v>156</v>
      </c>
      <c r="F171" s="35">
        <v>400</v>
      </c>
      <c r="G171" s="35" t="s">
        <v>681</v>
      </c>
      <c r="H171">
        <v>6</v>
      </c>
      <c r="I171" t="s">
        <v>606</v>
      </c>
      <c r="J171">
        <v>97</v>
      </c>
      <c r="K171">
        <v>79.400000000000006</v>
      </c>
      <c r="L171">
        <v>16.5</v>
      </c>
      <c r="M171">
        <v>1.5</v>
      </c>
      <c r="N171">
        <v>1.5</v>
      </c>
      <c r="AI171">
        <v>3</v>
      </c>
      <c r="AN171">
        <v>233</v>
      </c>
    </row>
    <row r="172" spans="1:68">
      <c r="A172" s="30"/>
      <c r="B172" s="31" t="s">
        <v>684</v>
      </c>
      <c r="C172" s="31" t="s">
        <v>685</v>
      </c>
      <c r="D172" s="35" t="s">
        <v>686</v>
      </c>
      <c r="E172" s="35" t="s">
        <v>76</v>
      </c>
      <c r="F172" s="35">
        <v>100015</v>
      </c>
      <c r="G172" s="35" t="s">
        <v>687</v>
      </c>
      <c r="H172">
        <v>7</v>
      </c>
      <c r="I172" t="s">
        <v>606</v>
      </c>
      <c r="J172">
        <v>114</v>
      </c>
      <c r="K172">
        <v>77.400000000000006</v>
      </c>
      <c r="L172">
        <v>18.7</v>
      </c>
      <c r="M172">
        <v>4.4000000000000004</v>
      </c>
      <c r="N172">
        <v>0</v>
      </c>
      <c r="O172">
        <v>0</v>
      </c>
      <c r="P172">
        <v>0.53</v>
      </c>
      <c r="Q172">
        <v>0.16</v>
      </c>
      <c r="R172">
        <v>2.71</v>
      </c>
      <c r="S172">
        <v>0.79</v>
      </c>
      <c r="T172">
        <v>0.31</v>
      </c>
      <c r="U172">
        <v>1.07</v>
      </c>
      <c r="V172">
        <v>1</v>
      </c>
      <c r="W172">
        <v>0</v>
      </c>
      <c r="X172">
        <v>7.8</v>
      </c>
      <c r="AA172">
        <v>0</v>
      </c>
      <c r="AB172">
        <v>0</v>
      </c>
      <c r="AI172">
        <v>30</v>
      </c>
      <c r="AJ172">
        <v>7.0000000000000007E-2</v>
      </c>
      <c r="AK172">
        <v>2.2000000000000002</v>
      </c>
      <c r="AL172">
        <v>17.82</v>
      </c>
      <c r="AN172">
        <v>200</v>
      </c>
      <c r="AO172">
        <v>260.93</v>
      </c>
      <c r="AQ172">
        <v>2.57</v>
      </c>
      <c r="AR172">
        <v>1.76</v>
      </c>
      <c r="AS172">
        <v>1.98</v>
      </c>
      <c r="AT172">
        <v>0.33</v>
      </c>
      <c r="AU172">
        <v>65</v>
      </c>
      <c r="AV172">
        <v>805.21</v>
      </c>
      <c r="AW172">
        <v>691.18</v>
      </c>
      <c r="AX172">
        <v>998.46</v>
      </c>
      <c r="AY172">
        <v>1406.73</v>
      </c>
      <c r="AZ172">
        <v>1049.82</v>
      </c>
      <c r="BA172">
        <v>1645.25</v>
      </c>
      <c r="BB172">
        <v>1202.1600000000001</v>
      </c>
      <c r="BC172">
        <v>785.19</v>
      </c>
      <c r="BD172">
        <v>228.94</v>
      </c>
      <c r="BE172">
        <v>764.3</v>
      </c>
      <c r="BF172">
        <v>502.28</v>
      </c>
      <c r="BG172">
        <v>2400.84</v>
      </c>
      <c r="BH172">
        <v>946.23</v>
      </c>
      <c r="BI172">
        <v>240.26</v>
      </c>
      <c r="BJ172">
        <v>958.42</v>
      </c>
      <c r="BK172">
        <v>779.1</v>
      </c>
      <c r="BL172">
        <v>785.19</v>
      </c>
      <c r="BM172">
        <v>582.36</v>
      </c>
    </row>
    <row r="173" spans="1:68">
      <c r="A173" s="30"/>
      <c r="B173" s="31" t="s">
        <v>688</v>
      </c>
      <c r="C173" s="31" t="s">
        <v>689</v>
      </c>
      <c r="D173" s="35" t="s">
        <v>690</v>
      </c>
      <c r="E173" s="35" t="s">
        <v>82</v>
      </c>
      <c r="F173" s="48" t="s">
        <v>691</v>
      </c>
      <c r="G173" s="35" t="s">
        <v>692</v>
      </c>
      <c r="H173">
        <v>7</v>
      </c>
      <c r="I173" t="s">
        <v>642</v>
      </c>
      <c r="J173">
        <v>151.77000000000001</v>
      </c>
      <c r="K173">
        <v>75.11</v>
      </c>
      <c r="L173">
        <v>12.39</v>
      </c>
      <c r="M173">
        <v>11.46</v>
      </c>
      <c r="N173" t="s">
        <v>85</v>
      </c>
      <c r="O173" t="s">
        <v>85</v>
      </c>
      <c r="P173">
        <v>0.15</v>
      </c>
      <c r="Q173">
        <v>0.11</v>
      </c>
      <c r="R173">
        <v>0.12</v>
      </c>
      <c r="S173">
        <v>0.93</v>
      </c>
      <c r="T173">
        <v>0.17</v>
      </c>
      <c r="U173">
        <v>54.86</v>
      </c>
      <c r="W173" t="s">
        <v>85</v>
      </c>
      <c r="Y173">
        <v>0.98</v>
      </c>
      <c r="Z173" t="s">
        <v>85</v>
      </c>
      <c r="AA173">
        <v>151</v>
      </c>
      <c r="AC173" t="s">
        <v>85</v>
      </c>
      <c r="AD173">
        <v>12.96</v>
      </c>
      <c r="AE173">
        <v>14.83</v>
      </c>
      <c r="AF173" t="s">
        <v>85</v>
      </c>
      <c r="AG173">
        <v>3.57</v>
      </c>
      <c r="AH173">
        <v>28.48</v>
      </c>
      <c r="AI173">
        <v>60.67</v>
      </c>
      <c r="AJ173">
        <v>0.09</v>
      </c>
      <c r="AK173">
        <v>2.5499999999999998</v>
      </c>
      <c r="AL173">
        <v>11</v>
      </c>
      <c r="AM173">
        <v>0.03</v>
      </c>
      <c r="AN173">
        <v>236</v>
      </c>
      <c r="AO173">
        <v>119</v>
      </c>
      <c r="AP173">
        <v>50.63</v>
      </c>
      <c r="AQ173">
        <v>1.51</v>
      </c>
      <c r="AR173">
        <v>2.7879999999999998</v>
      </c>
      <c r="AS173">
        <v>4.21</v>
      </c>
      <c r="AT173">
        <v>2.399</v>
      </c>
      <c r="AU173">
        <v>833</v>
      </c>
      <c r="AV173">
        <v>4.8600000000000003</v>
      </c>
      <c r="AW173">
        <v>2.4</v>
      </c>
      <c r="AX173">
        <v>7.11</v>
      </c>
      <c r="AY173">
        <v>7.96</v>
      </c>
      <c r="AZ173">
        <v>6.18</v>
      </c>
      <c r="BA173">
        <v>10.79</v>
      </c>
      <c r="BB173">
        <v>6.03</v>
      </c>
      <c r="BC173">
        <v>6.5</v>
      </c>
      <c r="BD173" t="s">
        <v>85</v>
      </c>
      <c r="BE173">
        <v>5.73</v>
      </c>
      <c r="BF173">
        <v>2.64</v>
      </c>
      <c r="BG173">
        <v>13.77</v>
      </c>
      <c r="BH173">
        <v>4.1399999999999997</v>
      </c>
      <c r="BI173">
        <v>1.85</v>
      </c>
      <c r="BJ173">
        <v>3.36</v>
      </c>
      <c r="BK173">
        <v>5.77</v>
      </c>
      <c r="BL173">
        <v>6.43</v>
      </c>
      <c r="BM173">
        <v>3.73</v>
      </c>
      <c r="BN173" t="s">
        <v>85</v>
      </c>
      <c r="BO173" t="s">
        <v>85</v>
      </c>
      <c r="BP173" t="s">
        <v>85</v>
      </c>
    </row>
    <row r="174" spans="1:68" s="58" customFormat="1">
      <c r="A174" s="55"/>
      <c r="B174" s="56" t="s">
        <v>693</v>
      </c>
      <c r="C174" s="56" t="s">
        <v>694</v>
      </c>
      <c r="D174" s="57" t="s">
        <v>695</v>
      </c>
      <c r="E174" s="57"/>
      <c r="F174" s="57"/>
      <c r="G174" s="57"/>
      <c r="H174" s="58">
        <v>9</v>
      </c>
      <c r="I174" s="58" t="s">
        <v>642</v>
      </c>
    </row>
    <row r="175" spans="1:68">
      <c r="A175" s="30"/>
      <c r="B175" s="31" t="s">
        <v>696</v>
      </c>
      <c r="C175" s="31" t="s">
        <v>697</v>
      </c>
      <c r="D175" s="35" t="s">
        <v>698</v>
      </c>
      <c r="E175" s="35" t="s">
        <v>76</v>
      </c>
      <c r="F175" s="35">
        <v>80013</v>
      </c>
      <c r="G175" s="35" t="s">
        <v>699</v>
      </c>
      <c r="H175">
        <v>9</v>
      </c>
      <c r="I175" t="s">
        <v>291</v>
      </c>
      <c r="J175">
        <v>40</v>
      </c>
      <c r="K175">
        <v>88.1</v>
      </c>
      <c r="L175">
        <v>1.3</v>
      </c>
      <c r="M175">
        <v>0.2</v>
      </c>
      <c r="N175">
        <v>6.68</v>
      </c>
      <c r="O175">
        <v>3.12</v>
      </c>
      <c r="P175">
        <v>0.06</v>
      </c>
      <c r="Q175">
        <v>0.05</v>
      </c>
      <c r="R175">
        <v>0.4</v>
      </c>
      <c r="S175">
        <v>0.26</v>
      </c>
      <c r="T175">
        <v>0.06</v>
      </c>
      <c r="U175">
        <v>5</v>
      </c>
      <c r="V175">
        <v>0</v>
      </c>
      <c r="W175">
        <v>5</v>
      </c>
      <c r="X175">
        <v>0.72</v>
      </c>
      <c r="Y175">
        <v>0.11</v>
      </c>
      <c r="AA175">
        <v>0</v>
      </c>
      <c r="AB175">
        <v>7.08</v>
      </c>
      <c r="AC175">
        <v>0</v>
      </c>
      <c r="AD175">
        <v>85</v>
      </c>
      <c r="AE175">
        <v>19</v>
      </c>
      <c r="AH175">
        <v>2.0099999999999998</v>
      </c>
      <c r="AI175">
        <v>80</v>
      </c>
      <c r="AJ175">
        <v>7.0000000000000007E-2</v>
      </c>
      <c r="AK175">
        <v>1.1000000000000001</v>
      </c>
      <c r="AL175">
        <v>17</v>
      </c>
      <c r="AN175">
        <v>31</v>
      </c>
      <c r="AO175">
        <v>232</v>
      </c>
      <c r="AQ175">
        <v>0.15</v>
      </c>
      <c r="AR175">
        <v>0.09</v>
      </c>
      <c r="AS175">
        <v>0.04</v>
      </c>
      <c r="AT175">
        <v>0.1</v>
      </c>
      <c r="AV175">
        <v>23.55</v>
      </c>
      <c r="AW175">
        <v>98.25</v>
      </c>
      <c r="AX175">
        <v>117.74</v>
      </c>
      <c r="AY175">
        <v>64.760000000000005</v>
      </c>
      <c r="AZ175">
        <v>18.27</v>
      </c>
      <c r="BA175">
        <v>34.1</v>
      </c>
      <c r="BB175">
        <v>68.209999999999994</v>
      </c>
      <c r="BC175">
        <v>86.07</v>
      </c>
      <c r="BD175">
        <v>17.260000000000002</v>
      </c>
      <c r="BE175">
        <v>108.4</v>
      </c>
      <c r="BF175">
        <v>116.52</v>
      </c>
      <c r="BG175">
        <v>41.01</v>
      </c>
      <c r="BH175">
        <v>424.27</v>
      </c>
      <c r="BI175">
        <v>393.01</v>
      </c>
      <c r="BJ175">
        <v>95.61</v>
      </c>
      <c r="BK175">
        <v>99.27</v>
      </c>
      <c r="BL175">
        <v>93.99</v>
      </c>
      <c r="BM175">
        <v>56.84</v>
      </c>
      <c r="BO175">
        <v>48.59</v>
      </c>
    </row>
    <row r="176" spans="1:68">
      <c r="A176" s="30"/>
      <c r="B176" s="31" t="s">
        <v>700</v>
      </c>
      <c r="C176" s="31" t="s">
        <v>701</v>
      </c>
      <c r="D176" s="35" t="s">
        <v>702</v>
      </c>
      <c r="E176" s="35" t="s">
        <v>76</v>
      </c>
      <c r="F176" s="35">
        <v>80007</v>
      </c>
      <c r="G176" s="35" t="s">
        <v>703</v>
      </c>
      <c r="H176">
        <v>14</v>
      </c>
      <c r="I176" t="s">
        <v>291</v>
      </c>
      <c r="J176">
        <v>41</v>
      </c>
      <c r="K176">
        <v>88.7</v>
      </c>
      <c r="L176">
        <v>0.54</v>
      </c>
      <c r="M176">
        <v>0.72</v>
      </c>
      <c r="N176">
        <v>6.71</v>
      </c>
      <c r="O176">
        <v>2.8</v>
      </c>
      <c r="P176">
        <v>0.12</v>
      </c>
      <c r="Q176">
        <v>0.04</v>
      </c>
      <c r="R176">
        <v>0.37</v>
      </c>
      <c r="S176">
        <v>0.26</v>
      </c>
      <c r="T176">
        <v>0.02</v>
      </c>
      <c r="U176">
        <v>12</v>
      </c>
      <c r="V176">
        <v>0</v>
      </c>
      <c r="W176">
        <v>49.4</v>
      </c>
      <c r="X176">
        <v>0.96</v>
      </c>
      <c r="Y176">
        <v>0.15</v>
      </c>
      <c r="AA176">
        <v>0</v>
      </c>
      <c r="AB176">
        <v>6.68</v>
      </c>
      <c r="AC176">
        <v>52</v>
      </c>
      <c r="AD176">
        <v>54.17</v>
      </c>
      <c r="AE176">
        <v>26.8</v>
      </c>
      <c r="AH176">
        <v>2.6</v>
      </c>
      <c r="AI176">
        <v>9.5</v>
      </c>
      <c r="AJ176">
        <v>0.12</v>
      </c>
      <c r="AK176">
        <v>0.82</v>
      </c>
      <c r="AL176">
        <v>19</v>
      </c>
      <c r="AN176">
        <v>23</v>
      </c>
      <c r="AO176">
        <v>127.8</v>
      </c>
      <c r="AQ176">
        <v>0.38</v>
      </c>
      <c r="AR176">
        <v>0.02</v>
      </c>
      <c r="AS176">
        <v>0.03</v>
      </c>
      <c r="AT176">
        <v>0.19</v>
      </c>
      <c r="AV176">
        <v>20.54</v>
      </c>
      <c r="AW176">
        <v>22.12</v>
      </c>
      <c r="AX176">
        <v>44.79</v>
      </c>
      <c r="AY176">
        <v>41.87</v>
      </c>
      <c r="AZ176">
        <v>7.19</v>
      </c>
      <c r="BA176">
        <v>5.85</v>
      </c>
      <c r="BB176">
        <v>32.15</v>
      </c>
      <c r="BC176">
        <v>30.73</v>
      </c>
      <c r="BD176">
        <v>6.87</v>
      </c>
      <c r="BE176">
        <v>33.26</v>
      </c>
      <c r="BF176">
        <v>48.19</v>
      </c>
      <c r="BG176">
        <v>42.42</v>
      </c>
      <c r="BH176">
        <v>137.46</v>
      </c>
      <c r="BI176">
        <v>146.55000000000001</v>
      </c>
      <c r="BJ176">
        <v>35.159999999999997</v>
      </c>
      <c r="BK176">
        <v>26.47</v>
      </c>
      <c r="BL176">
        <v>36.89</v>
      </c>
      <c r="BM176">
        <v>30.73</v>
      </c>
      <c r="BO176">
        <v>3.8</v>
      </c>
    </row>
    <row r="177" spans="1:68">
      <c r="A177" s="30">
        <v>32001</v>
      </c>
      <c r="B177" s="31" t="s">
        <v>704</v>
      </c>
      <c r="C177" s="33" t="s">
        <v>705</v>
      </c>
      <c r="D177" s="35" t="s">
        <v>706</v>
      </c>
      <c r="E177" s="35" t="s">
        <v>76</v>
      </c>
      <c r="F177" s="35">
        <v>80022</v>
      </c>
      <c r="G177" s="35" t="s">
        <v>707</v>
      </c>
      <c r="H177">
        <v>14</v>
      </c>
      <c r="I177" t="s">
        <v>291</v>
      </c>
      <c r="J177">
        <v>56</v>
      </c>
      <c r="K177">
        <v>86</v>
      </c>
      <c r="L177">
        <v>0.82</v>
      </c>
      <c r="M177">
        <v>1</v>
      </c>
      <c r="N177">
        <v>10.18</v>
      </c>
      <c r="O177">
        <v>1.3</v>
      </c>
      <c r="P177">
        <v>0.02</v>
      </c>
      <c r="Q177">
        <v>0.03</v>
      </c>
      <c r="R177">
        <v>0.14000000000000001</v>
      </c>
      <c r="S177">
        <v>0.12</v>
      </c>
      <c r="T177">
        <v>0.05</v>
      </c>
      <c r="U177">
        <v>17</v>
      </c>
      <c r="V177">
        <v>0</v>
      </c>
      <c r="W177">
        <v>45.89</v>
      </c>
      <c r="X177">
        <v>0</v>
      </c>
      <c r="Y177">
        <v>0.8</v>
      </c>
      <c r="AA177">
        <v>0</v>
      </c>
      <c r="AB177">
        <v>3.75</v>
      </c>
      <c r="AC177">
        <v>3.33</v>
      </c>
      <c r="AD177">
        <v>10</v>
      </c>
      <c r="AE177">
        <v>9.68</v>
      </c>
      <c r="AH177">
        <v>1.72</v>
      </c>
      <c r="AI177">
        <v>65</v>
      </c>
      <c r="AJ177">
        <v>0.06</v>
      </c>
      <c r="AK177">
        <v>0.3</v>
      </c>
      <c r="AL177">
        <v>11</v>
      </c>
      <c r="AN177">
        <v>10</v>
      </c>
      <c r="AO177">
        <v>377</v>
      </c>
      <c r="AQ177">
        <v>7.0000000000000007E-2</v>
      </c>
      <c r="AR177">
        <v>0.2</v>
      </c>
      <c r="AS177">
        <v>0.05</v>
      </c>
      <c r="AT177">
        <v>0.35</v>
      </c>
      <c r="AV177">
        <v>8.16</v>
      </c>
      <c r="AW177">
        <v>11.15</v>
      </c>
      <c r="AX177">
        <v>10.29</v>
      </c>
      <c r="AY177">
        <v>20.79</v>
      </c>
      <c r="AZ177">
        <v>4.51</v>
      </c>
      <c r="BA177">
        <v>5.25</v>
      </c>
      <c r="BB177">
        <v>14.51</v>
      </c>
      <c r="BC177">
        <v>6.93</v>
      </c>
      <c r="BD177">
        <v>1.85</v>
      </c>
      <c r="BE177">
        <v>11.89</v>
      </c>
      <c r="BF177">
        <v>21.4</v>
      </c>
      <c r="BG177">
        <v>17.55</v>
      </c>
      <c r="BH177">
        <v>84.26</v>
      </c>
      <c r="BI177">
        <v>61.91</v>
      </c>
      <c r="BJ177">
        <v>8.32</v>
      </c>
      <c r="BK177">
        <v>31.16</v>
      </c>
      <c r="BL177">
        <v>15.83</v>
      </c>
      <c r="BM177">
        <v>5.54</v>
      </c>
    </row>
    <row r="178" spans="1:68" ht="27.2">
      <c r="A178" s="30"/>
      <c r="B178" s="31" t="s">
        <v>708</v>
      </c>
      <c r="C178" s="33" t="s">
        <v>709</v>
      </c>
      <c r="D178" s="38" t="s">
        <v>710</v>
      </c>
      <c r="E178" s="35" t="s">
        <v>76</v>
      </c>
      <c r="F178" s="35" t="s">
        <v>711</v>
      </c>
      <c r="G178" s="35" t="s">
        <v>712</v>
      </c>
      <c r="H178">
        <v>14</v>
      </c>
      <c r="I178" t="s">
        <v>713</v>
      </c>
      <c r="J178">
        <v>70</v>
      </c>
      <c r="K178">
        <v>81.7</v>
      </c>
      <c r="L178">
        <v>0.93</v>
      </c>
      <c r="M178">
        <v>0.5</v>
      </c>
      <c r="N178">
        <v>14.72</v>
      </c>
      <c r="O178">
        <v>1.6</v>
      </c>
      <c r="P178">
        <v>0.03</v>
      </c>
      <c r="Q178">
        <v>0.04</v>
      </c>
      <c r="R178">
        <v>0.5</v>
      </c>
      <c r="S178">
        <v>0.11</v>
      </c>
      <c r="T178">
        <v>0.13</v>
      </c>
      <c r="U178">
        <v>71</v>
      </c>
      <c r="V178">
        <v>0</v>
      </c>
      <c r="W178">
        <v>34.700000000000003</v>
      </c>
      <c r="X178">
        <v>3.73</v>
      </c>
      <c r="Y178">
        <v>1.1200000000000001</v>
      </c>
      <c r="AA178">
        <v>0</v>
      </c>
      <c r="AB178">
        <v>292.05</v>
      </c>
      <c r="AD178">
        <v>3510</v>
      </c>
      <c r="AI178">
        <v>14</v>
      </c>
      <c r="AJ178">
        <v>0.17</v>
      </c>
      <c r="AK178">
        <v>0.5</v>
      </c>
      <c r="AL178">
        <v>15</v>
      </c>
      <c r="AN178">
        <v>20.350000000000001</v>
      </c>
      <c r="AO178">
        <v>205</v>
      </c>
      <c r="AQ178">
        <v>0.87</v>
      </c>
      <c r="AR178">
        <v>0.18</v>
      </c>
      <c r="AS178">
        <v>0.16</v>
      </c>
      <c r="AT178">
        <v>0.11</v>
      </c>
      <c r="AV178">
        <v>12.3</v>
      </c>
      <c r="AW178">
        <v>22.22</v>
      </c>
      <c r="AX178">
        <v>46.49</v>
      </c>
      <c r="AY178">
        <v>21</v>
      </c>
      <c r="AZ178">
        <v>8.75</v>
      </c>
      <c r="BA178">
        <v>5.03</v>
      </c>
      <c r="BB178">
        <v>20</v>
      </c>
      <c r="BC178">
        <v>29.16</v>
      </c>
      <c r="BD178">
        <v>6.83</v>
      </c>
      <c r="BE178">
        <v>31.79</v>
      </c>
      <c r="BF178">
        <v>49.85</v>
      </c>
      <c r="BG178">
        <v>23.84</v>
      </c>
      <c r="BH178">
        <v>67.650000000000006</v>
      </c>
      <c r="BI178">
        <v>80.900000000000006</v>
      </c>
      <c r="BJ178">
        <v>31.75</v>
      </c>
      <c r="BK178">
        <v>21.33</v>
      </c>
      <c r="BL178">
        <v>25.4</v>
      </c>
      <c r="BM178">
        <v>13.6</v>
      </c>
      <c r="BO178">
        <v>81.61</v>
      </c>
      <c r="BP178">
        <v>3</v>
      </c>
    </row>
    <row r="179" spans="1:68">
      <c r="A179" s="30">
        <v>31007</v>
      </c>
      <c r="B179" s="31" t="s">
        <v>714</v>
      </c>
      <c r="C179" s="31" t="s">
        <v>715</v>
      </c>
      <c r="D179" s="35" t="s">
        <v>716</v>
      </c>
      <c r="E179" s="35"/>
      <c r="F179" s="35"/>
      <c r="G179" s="35"/>
      <c r="H179">
        <v>12</v>
      </c>
      <c r="I179" t="s">
        <v>291</v>
      </c>
    </row>
    <row r="180" spans="1:68" ht="27.2">
      <c r="A180" s="30"/>
      <c r="B180" s="31" t="s">
        <v>717</v>
      </c>
      <c r="C180" s="33" t="s">
        <v>718</v>
      </c>
      <c r="D180" s="35" t="s">
        <v>719</v>
      </c>
      <c r="E180" s="35" t="s">
        <v>76</v>
      </c>
      <c r="F180" s="35">
        <v>80011</v>
      </c>
      <c r="G180" s="35" t="s">
        <v>720</v>
      </c>
      <c r="H180">
        <v>14</v>
      </c>
      <c r="I180" t="s">
        <v>291</v>
      </c>
      <c r="J180">
        <v>64</v>
      </c>
      <c r="K180">
        <v>80.86</v>
      </c>
      <c r="L180">
        <v>3.07</v>
      </c>
      <c r="M180">
        <v>0.39</v>
      </c>
      <c r="N180">
        <v>10.33</v>
      </c>
      <c r="O180">
        <v>3.54</v>
      </c>
      <c r="P180">
        <v>0.8</v>
      </c>
      <c r="Q180">
        <v>0.03</v>
      </c>
      <c r="R180">
        <v>0.55000000000000004</v>
      </c>
      <c r="S180">
        <v>0.22</v>
      </c>
      <c r="T180">
        <v>0.17</v>
      </c>
      <c r="U180">
        <v>6.51</v>
      </c>
      <c r="W180">
        <v>12.75</v>
      </c>
      <c r="X180">
        <v>26.62</v>
      </c>
      <c r="Y180">
        <v>7.0000000000000007E-2</v>
      </c>
      <c r="AA180">
        <v>0</v>
      </c>
      <c r="AI180">
        <v>73.7</v>
      </c>
      <c r="AJ180">
        <v>0.24</v>
      </c>
      <c r="AK180">
        <v>0.71</v>
      </c>
      <c r="AL180">
        <v>40</v>
      </c>
      <c r="AN180">
        <v>64</v>
      </c>
      <c r="AO180">
        <v>359.9</v>
      </c>
      <c r="AQ180">
        <v>0.37</v>
      </c>
      <c r="AR180">
        <v>0.88</v>
      </c>
      <c r="AS180">
        <v>0.6</v>
      </c>
      <c r="AT180">
        <v>0.14000000000000001</v>
      </c>
      <c r="AV180">
        <v>37.68</v>
      </c>
      <c r="AW180">
        <v>123.4</v>
      </c>
      <c r="AX180">
        <v>99.54</v>
      </c>
      <c r="AY180">
        <v>71.59</v>
      </c>
      <c r="AZ180">
        <v>26.69</v>
      </c>
      <c r="BA180">
        <v>12.87</v>
      </c>
      <c r="BB180">
        <v>93.57</v>
      </c>
      <c r="BC180">
        <v>63.11</v>
      </c>
      <c r="BD180">
        <v>26.69</v>
      </c>
      <c r="BE180">
        <v>116.81</v>
      </c>
      <c r="BF180">
        <v>173.01</v>
      </c>
      <c r="BG180">
        <v>236.76</v>
      </c>
      <c r="BH180">
        <v>986.59</v>
      </c>
      <c r="BI180">
        <v>491.41</v>
      </c>
      <c r="BJ180">
        <v>91.69</v>
      </c>
      <c r="BK180">
        <v>131.88</v>
      </c>
      <c r="BL180">
        <v>133.76</v>
      </c>
      <c r="BM180">
        <v>78.81</v>
      </c>
      <c r="BO180">
        <v>101</v>
      </c>
    </row>
    <row r="181" spans="1:68" ht="27.2">
      <c r="A181" s="30"/>
      <c r="B181" s="31" t="s">
        <v>721</v>
      </c>
      <c r="C181" s="33" t="s">
        <v>722</v>
      </c>
      <c r="D181" s="35" t="s">
        <v>723</v>
      </c>
      <c r="E181" s="35" t="s">
        <v>76</v>
      </c>
      <c r="F181" s="35">
        <v>80021</v>
      </c>
      <c r="G181" s="35" t="s">
        <v>724</v>
      </c>
      <c r="H181">
        <v>14</v>
      </c>
      <c r="I181" t="s">
        <v>291</v>
      </c>
      <c r="J181">
        <v>60</v>
      </c>
      <c r="K181">
        <v>84.3</v>
      </c>
      <c r="L181">
        <v>1.88</v>
      </c>
      <c r="M181">
        <v>0.2</v>
      </c>
      <c r="N181">
        <v>12.62</v>
      </c>
      <c r="P181">
        <v>0.02</v>
      </c>
      <c r="Q181">
        <v>0.06</v>
      </c>
      <c r="R181">
        <v>0.8</v>
      </c>
      <c r="S181">
        <v>0.14000000000000001</v>
      </c>
      <c r="T181">
        <v>0.08</v>
      </c>
      <c r="V181">
        <v>0</v>
      </c>
      <c r="W181">
        <v>66.099999999999994</v>
      </c>
      <c r="X181">
        <v>16.8</v>
      </c>
      <c r="AA181">
        <v>0</v>
      </c>
      <c r="AB181">
        <v>2</v>
      </c>
      <c r="AC181">
        <v>0</v>
      </c>
      <c r="AD181">
        <v>24</v>
      </c>
      <c r="AE181">
        <v>10.7</v>
      </c>
      <c r="AH181">
        <v>1.6</v>
      </c>
      <c r="AI181">
        <v>14</v>
      </c>
      <c r="AJ181">
        <v>0.15</v>
      </c>
      <c r="AK181">
        <v>0.8</v>
      </c>
      <c r="AL181">
        <v>24.5</v>
      </c>
      <c r="AN181">
        <v>33</v>
      </c>
      <c r="AO181">
        <v>353.5</v>
      </c>
      <c r="AQ181">
        <v>0.32</v>
      </c>
      <c r="AR181">
        <v>0.12</v>
      </c>
      <c r="AS181">
        <v>0.13</v>
      </c>
      <c r="AT181">
        <v>0.04</v>
      </c>
      <c r="AV181">
        <v>24.66</v>
      </c>
      <c r="AW181">
        <v>54.81</v>
      </c>
      <c r="AX181">
        <v>48.11</v>
      </c>
      <c r="AY181">
        <v>20.100000000000001</v>
      </c>
      <c r="AZ181">
        <v>14.2</v>
      </c>
      <c r="BA181">
        <v>20.64</v>
      </c>
      <c r="BB181">
        <v>46.5</v>
      </c>
      <c r="BC181">
        <v>31.49</v>
      </c>
      <c r="BD181">
        <v>11.79</v>
      </c>
      <c r="BE181">
        <v>62.58</v>
      </c>
      <c r="BF181">
        <v>61.91</v>
      </c>
      <c r="BG181">
        <v>73.83</v>
      </c>
      <c r="BH181">
        <v>426.66</v>
      </c>
      <c r="BI181">
        <v>232.22</v>
      </c>
      <c r="BJ181">
        <v>41.54</v>
      </c>
      <c r="BK181">
        <v>33.770000000000003</v>
      </c>
      <c r="BL181">
        <v>51.72</v>
      </c>
      <c r="BM181">
        <v>46.36</v>
      </c>
      <c r="BO181">
        <v>85.6</v>
      </c>
    </row>
    <row r="182" spans="1:68" ht="27.2">
      <c r="A182" s="30">
        <v>32010</v>
      </c>
      <c r="B182" s="31" t="s">
        <v>725</v>
      </c>
      <c r="C182" s="33" t="s">
        <v>726</v>
      </c>
      <c r="D182" s="35" t="s">
        <v>727</v>
      </c>
      <c r="E182" s="35" t="s">
        <v>76</v>
      </c>
      <c r="F182" s="35">
        <v>80041</v>
      </c>
      <c r="G182" s="35" t="s">
        <v>728</v>
      </c>
      <c r="H182">
        <v>14</v>
      </c>
      <c r="I182" t="s">
        <v>291</v>
      </c>
      <c r="J182">
        <v>270</v>
      </c>
      <c r="K182">
        <v>27.89</v>
      </c>
      <c r="L182">
        <v>3.24</v>
      </c>
      <c r="M182">
        <v>0.43</v>
      </c>
      <c r="N182">
        <v>60.76</v>
      </c>
      <c r="O182">
        <v>5.0999999999999996</v>
      </c>
      <c r="P182">
        <v>0.35</v>
      </c>
      <c r="Q182">
        <v>0.12</v>
      </c>
      <c r="R182">
        <v>1.56</v>
      </c>
      <c r="S182">
        <v>0.17</v>
      </c>
      <c r="T182">
        <v>7.0000000000000007E-2</v>
      </c>
      <c r="U182">
        <v>14.5</v>
      </c>
      <c r="V182">
        <v>0</v>
      </c>
      <c r="W182">
        <v>11.2</v>
      </c>
      <c r="X182">
        <v>25.58</v>
      </c>
      <c r="Y182">
        <v>0.09</v>
      </c>
      <c r="AA182">
        <v>0</v>
      </c>
      <c r="AB182">
        <v>1.33</v>
      </c>
      <c r="AC182">
        <v>0</v>
      </c>
      <c r="AD182">
        <v>16</v>
      </c>
      <c r="AE182">
        <v>28.4</v>
      </c>
      <c r="AH182">
        <v>11.61</v>
      </c>
      <c r="AI182">
        <v>127</v>
      </c>
      <c r="AJ182">
        <v>0.09</v>
      </c>
      <c r="AK182">
        <v>3.95</v>
      </c>
      <c r="AL182">
        <v>86.43</v>
      </c>
      <c r="AN182">
        <v>119.5</v>
      </c>
      <c r="AO182">
        <v>700.09</v>
      </c>
      <c r="AQ182">
        <v>0.11</v>
      </c>
      <c r="AR182">
        <v>0.03</v>
      </c>
      <c r="AS182">
        <v>0.03</v>
      </c>
      <c r="AT182">
        <v>0.02</v>
      </c>
      <c r="AV182">
        <v>75.34</v>
      </c>
      <c r="AW182">
        <v>95.78</v>
      </c>
      <c r="AX182">
        <v>162.94</v>
      </c>
      <c r="AY182">
        <v>151.26</v>
      </c>
      <c r="AZ182">
        <v>24.53</v>
      </c>
      <c r="BA182">
        <v>20.73</v>
      </c>
      <c r="BB182">
        <v>159.43</v>
      </c>
      <c r="BC182">
        <v>95.19</v>
      </c>
      <c r="BD182">
        <v>24.82</v>
      </c>
      <c r="BE182">
        <v>117.38</v>
      </c>
      <c r="BF182">
        <v>126.73</v>
      </c>
      <c r="BG182">
        <v>91.98</v>
      </c>
      <c r="BH182">
        <v>358.58</v>
      </c>
      <c r="BI182">
        <v>443.55</v>
      </c>
      <c r="BJ182">
        <v>117.09</v>
      </c>
      <c r="BK182">
        <v>147.16999999999999</v>
      </c>
      <c r="BL182">
        <v>102.49</v>
      </c>
      <c r="BM182">
        <v>100.16</v>
      </c>
      <c r="BO182">
        <v>3.07</v>
      </c>
    </row>
    <row r="183" spans="1:68">
      <c r="A183" s="30">
        <v>32701</v>
      </c>
      <c r="B183" s="31" t="s">
        <v>729</v>
      </c>
      <c r="C183" s="30" t="s">
        <v>730</v>
      </c>
      <c r="D183" s="35" t="s">
        <v>731</v>
      </c>
      <c r="E183" s="35" t="s">
        <v>76</v>
      </c>
      <c r="F183" s="35">
        <v>170015</v>
      </c>
      <c r="G183" s="35" t="s">
        <v>732</v>
      </c>
      <c r="H183">
        <v>14</v>
      </c>
      <c r="I183" t="s">
        <v>291</v>
      </c>
      <c r="J183">
        <v>301.14999999999998</v>
      </c>
      <c r="K183">
        <v>20.6</v>
      </c>
      <c r="L183">
        <v>2.67</v>
      </c>
      <c r="M183">
        <v>0.35</v>
      </c>
      <c r="N183">
        <v>70.040000000000006</v>
      </c>
      <c r="O183">
        <v>4.24</v>
      </c>
      <c r="P183">
        <v>0.09</v>
      </c>
      <c r="Q183">
        <v>0.22</v>
      </c>
      <c r="R183">
        <v>0.56000000000000005</v>
      </c>
      <c r="S183">
        <v>0.2</v>
      </c>
      <c r="T183">
        <v>0.17</v>
      </c>
      <c r="U183">
        <v>36.49</v>
      </c>
      <c r="V183">
        <v>0</v>
      </c>
      <c r="W183">
        <v>1.95</v>
      </c>
      <c r="X183">
        <v>6.82</v>
      </c>
      <c r="Y183">
        <v>0.02</v>
      </c>
      <c r="AA183">
        <v>0</v>
      </c>
      <c r="AB183">
        <v>0</v>
      </c>
      <c r="AD183">
        <v>3.12</v>
      </c>
      <c r="AE183">
        <v>18.72</v>
      </c>
      <c r="AH183">
        <v>2.86</v>
      </c>
      <c r="AI183">
        <v>62.54</v>
      </c>
      <c r="AJ183">
        <v>0.43</v>
      </c>
      <c r="AK183">
        <v>5.54</v>
      </c>
      <c r="AL183">
        <v>31.04</v>
      </c>
      <c r="AN183">
        <v>85.46</v>
      </c>
      <c r="AO183">
        <v>1009</v>
      </c>
      <c r="AQ183">
        <v>0.24</v>
      </c>
      <c r="AR183">
        <v>0.38</v>
      </c>
      <c r="AS183">
        <v>0.4</v>
      </c>
      <c r="AT183">
        <v>0.14000000000000001</v>
      </c>
      <c r="AV183">
        <v>27.13</v>
      </c>
      <c r="AW183">
        <v>20.52</v>
      </c>
      <c r="AX183">
        <v>48.29</v>
      </c>
      <c r="AY183">
        <v>31.66</v>
      </c>
      <c r="AZ183">
        <v>9.11</v>
      </c>
      <c r="BA183">
        <v>7.41</v>
      </c>
      <c r="BB183">
        <v>26.38</v>
      </c>
      <c r="BC183">
        <v>33.58</v>
      </c>
      <c r="BD183">
        <v>8.9</v>
      </c>
      <c r="BE183">
        <v>30.43</v>
      </c>
      <c r="BF183">
        <v>68.86</v>
      </c>
      <c r="BG183">
        <v>144.82</v>
      </c>
      <c r="BH183">
        <v>72.75</v>
      </c>
      <c r="BI183">
        <v>114.65</v>
      </c>
      <c r="BJ183">
        <v>37.520000000000003</v>
      </c>
      <c r="BK183">
        <v>95.46</v>
      </c>
      <c r="BL183">
        <v>50.48</v>
      </c>
      <c r="BM183">
        <v>20.04</v>
      </c>
      <c r="BO183">
        <v>20.23</v>
      </c>
    </row>
    <row r="184" spans="1:68">
      <c r="A184" s="30">
        <v>32002</v>
      </c>
      <c r="B184" s="31" t="s">
        <v>733</v>
      </c>
      <c r="C184" s="30" t="s">
        <v>734</v>
      </c>
      <c r="D184" s="37" t="s">
        <v>735</v>
      </c>
      <c r="E184" s="35" t="s">
        <v>76</v>
      </c>
      <c r="F184" s="35" t="s">
        <v>736</v>
      </c>
      <c r="G184" s="35" t="s">
        <v>737</v>
      </c>
      <c r="H184">
        <v>14</v>
      </c>
      <c r="I184" t="s">
        <v>291</v>
      </c>
      <c r="J184">
        <v>43</v>
      </c>
      <c r="K184">
        <v>88.74</v>
      </c>
      <c r="L184">
        <v>0.82</v>
      </c>
      <c r="M184">
        <v>0.39</v>
      </c>
      <c r="N184">
        <v>8.33</v>
      </c>
      <c r="O184">
        <v>1.4</v>
      </c>
      <c r="P184">
        <v>0.11</v>
      </c>
      <c r="Q184">
        <v>0.04</v>
      </c>
      <c r="R184">
        <v>0.3</v>
      </c>
      <c r="T184">
        <v>0.09</v>
      </c>
      <c r="U184">
        <v>12.1</v>
      </c>
      <c r="W184">
        <v>20.94</v>
      </c>
      <c r="X184">
        <v>0</v>
      </c>
      <c r="Y184">
        <v>0.1</v>
      </c>
      <c r="AA184">
        <v>0</v>
      </c>
      <c r="AI184">
        <v>20.41</v>
      </c>
      <c r="AJ184">
        <v>0.24</v>
      </c>
      <c r="AK184">
        <v>1.6</v>
      </c>
      <c r="AL184">
        <v>12</v>
      </c>
      <c r="AN184">
        <v>6.82</v>
      </c>
      <c r="AO184">
        <v>122.22</v>
      </c>
      <c r="AQ184">
        <v>0.6</v>
      </c>
      <c r="BP184">
        <v>5</v>
      </c>
    </row>
    <row r="185" spans="1:68">
      <c r="A185" s="30">
        <v>32030</v>
      </c>
      <c r="B185" s="31" t="s">
        <v>738</v>
      </c>
      <c r="C185" s="30" t="s">
        <v>739</v>
      </c>
      <c r="D185" s="35" t="s">
        <v>710</v>
      </c>
      <c r="E185" s="35" t="s">
        <v>76</v>
      </c>
      <c r="F185" s="35">
        <v>170003</v>
      </c>
      <c r="G185" s="35" t="s">
        <v>740</v>
      </c>
      <c r="H185">
        <v>14</v>
      </c>
      <c r="I185" t="s">
        <v>291</v>
      </c>
      <c r="J185">
        <v>49</v>
      </c>
      <c r="K185">
        <v>85.14</v>
      </c>
      <c r="L185">
        <v>0.69</v>
      </c>
      <c r="M185">
        <v>0.08</v>
      </c>
      <c r="N185">
        <v>10.59</v>
      </c>
      <c r="O185">
        <v>1.68</v>
      </c>
      <c r="P185">
        <v>0.02</v>
      </c>
      <c r="Q185">
        <v>0.02</v>
      </c>
      <c r="R185">
        <v>0.26</v>
      </c>
      <c r="S185">
        <v>0.13</v>
      </c>
      <c r="T185">
        <v>0.13</v>
      </c>
      <c r="U185">
        <v>25.86</v>
      </c>
      <c r="W185">
        <v>90.24</v>
      </c>
      <c r="X185">
        <v>7.68</v>
      </c>
      <c r="Y185">
        <v>0.91</v>
      </c>
      <c r="AA185">
        <v>0</v>
      </c>
      <c r="AD185">
        <v>72.37</v>
      </c>
      <c r="AI185">
        <v>27</v>
      </c>
      <c r="AJ185">
        <v>0.08</v>
      </c>
      <c r="AK185">
        <v>0.4</v>
      </c>
      <c r="AL185">
        <v>17.54</v>
      </c>
      <c r="AN185">
        <v>14.92</v>
      </c>
      <c r="AO185">
        <v>147</v>
      </c>
      <c r="AQ185">
        <v>0.09</v>
      </c>
      <c r="AR185">
        <v>0.03</v>
      </c>
      <c r="AS185">
        <v>0.01</v>
      </c>
      <c r="AT185">
        <v>0.03</v>
      </c>
      <c r="AV185">
        <v>19.53</v>
      </c>
      <c r="AW185">
        <v>30.64</v>
      </c>
      <c r="AX185">
        <v>54.51</v>
      </c>
      <c r="AY185">
        <v>36.85</v>
      </c>
      <c r="AZ185">
        <v>9.4499999999999993</v>
      </c>
      <c r="BA185">
        <v>4.9000000000000004</v>
      </c>
      <c r="BB185">
        <v>25.88</v>
      </c>
      <c r="BC185">
        <v>28.91</v>
      </c>
      <c r="BD185">
        <v>7.31</v>
      </c>
      <c r="BE185">
        <v>39.950000000000003</v>
      </c>
      <c r="BF185">
        <v>63.62</v>
      </c>
      <c r="BG185">
        <v>36.85</v>
      </c>
      <c r="BH185">
        <v>70.59</v>
      </c>
      <c r="BI185">
        <v>98.19</v>
      </c>
      <c r="BJ185">
        <v>37.47</v>
      </c>
      <c r="BK185">
        <v>36.85</v>
      </c>
      <c r="BL185">
        <v>34.43</v>
      </c>
      <c r="BM185">
        <v>23.39</v>
      </c>
      <c r="BO185">
        <v>15.26</v>
      </c>
    </row>
    <row r="186" spans="1:68">
      <c r="A186" s="30">
        <v>32003</v>
      </c>
      <c r="B186" s="31" t="s">
        <v>741</v>
      </c>
      <c r="C186" s="30" t="s">
        <v>742</v>
      </c>
      <c r="D186" s="35" t="s">
        <v>743</v>
      </c>
      <c r="E186" s="35" t="s">
        <v>76</v>
      </c>
      <c r="F186" s="35">
        <v>80042</v>
      </c>
      <c r="G186" s="35" t="s">
        <v>744</v>
      </c>
      <c r="H186">
        <v>14</v>
      </c>
      <c r="I186" t="s">
        <v>291</v>
      </c>
      <c r="J186">
        <v>22</v>
      </c>
      <c r="K186">
        <v>94.22</v>
      </c>
      <c r="L186">
        <v>0.47</v>
      </c>
      <c r="M186">
        <v>0.2</v>
      </c>
      <c r="N186">
        <v>4.38</v>
      </c>
      <c r="O186">
        <v>0.4</v>
      </c>
      <c r="P186">
        <v>0.02</v>
      </c>
      <c r="Q186">
        <v>0.04</v>
      </c>
      <c r="R186">
        <v>0.18</v>
      </c>
      <c r="S186">
        <v>0.19</v>
      </c>
      <c r="T186">
        <v>0.05</v>
      </c>
      <c r="U186">
        <v>3</v>
      </c>
      <c r="V186">
        <v>0</v>
      </c>
      <c r="W186">
        <v>23.95</v>
      </c>
      <c r="X186">
        <v>0.56000000000000005</v>
      </c>
      <c r="Y186">
        <v>0.05</v>
      </c>
      <c r="AA186">
        <v>0</v>
      </c>
      <c r="AB186">
        <v>29.31</v>
      </c>
      <c r="AC186">
        <v>0</v>
      </c>
      <c r="AD186">
        <v>299.73</v>
      </c>
      <c r="AE186">
        <v>947.5</v>
      </c>
      <c r="AH186">
        <v>24.66</v>
      </c>
      <c r="AI186">
        <v>12.44</v>
      </c>
      <c r="AJ186">
        <v>0.12</v>
      </c>
      <c r="AK186">
        <v>0.39</v>
      </c>
      <c r="AL186">
        <v>11.01</v>
      </c>
      <c r="AN186">
        <v>12</v>
      </c>
      <c r="AO186">
        <v>106.75</v>
      </c>
      <c r="AQ186">
        <v>0.15</v>
      </c>
      <c r="AR186">
        <v>0.05</v>
      </c>
      <c r="AS186">
        <v>0.02</v>
      </c>
      <c r="AT186">
        <v>7.0000000000000007E-2</v>
      </c>
      <c r="AV186">
        <v>15.29</v>
      </c>
      <c r="AW186">
        <v>20.32</v>
      </c>
      <c r="AX186">
        <v>17.760000000000002</v>
      </c>
      <c r="AY186">
        <v>18.649999999999999</v>
      </c>
      <c r="AZ186">
        <v>5.12</v>
      </c>
      <c r="BA186">
        <v>4.79</v>
      </c>
      <c r="BB186">
        <v>15.68</v>
      </c>
      <c r="BC186">
        <v>26.51</v>
      </c>
      <c r="BD186">
        <v>6.78</v>
      </c>
      <c r="BE186">
        <v>21.36</v>
      </c>
      <c r="BF186">
        <v>23.5</v>
      </c>
      <c r="BG186">
        <v>47.78</v>
      </c>
      <c r="BH186">
        <v>97.46</v>
      </c>
      <c r="BI186">
        <v>84.94</v>
      </c>
      <c r="BJ186">
        <v>12.32</v>
      </c>
      <c r="BK186">
        <v>23.53</v>
      </c>
      <c r="BL186">
        <v>17.79</v>
      </c>
      <c r="BM186">
        <v>11.19</v>
      </c>
      <c r="BO186">
        <v>10</v>
      </c>
      <c r="BP186">
        <v>11</v>
      </c>
    </row>
    <row r="187" spans="1:68">
      <c r="A187" s="30">
        <v>31002</v>
      </c>
      <c r="B187" s="31" t="s">
        <v>745</v>
      </c>
      <c r="C187" s="30" t="s">
        <v>746</v>
      </c>
      <c r="D187" s="34" t="s">
        <v>200</v>
      </c>
      <c r="E187" s="35" t="s">
        <v>76</v>
      </c>
      <c r="F187" s="35">
        <v>80017</v>
      </c>
      <c r="G187" s="35" t="s">
        <v>747</v>
      </c>
      <c r="H187">
        <v>14</v>
      </c>
      <c r="I187" t="s">
        <v>291</v>
      </c>
      <c r="J187">
        <v>74</v>
      </c>
      <c r="K187">
        <v>76.989999999999995</v>
      </c>
      <c r="L187">
        <v>1.2</v>
      </c>
      <c r="M187">
        <v>0.2</v>
      </c>
      <c r="N187">
        <v>13.29</v>
      </c>
      <c r="O187">
        <v>7.24</v>
      </c>
      <c r="P187">
        <v>0.11</v>
      </c>
      <c r="Q187">
        <v>0.05</v>
      </c>
      <c r="R187">
        <v>0.92</v>
      </c>
      <c r="S187">
        <v>0.16</v>
      </c>
      <c r="T187">
        <v>0.31</v>
      </c>
      <c r="U187">
        <v>24</v>
      </c>
      <c r="V187">
        <v>0</v>
      </c>
      <c r="W187">
        <v>3.43</v>
      </c>
      <c r="X187">
        <v>10.87</v>
      </c>
      <c r="Y187">
        <v>0.11</v>
      </c>
      <c r="AA187">
        <v>0</v>
      </c>
      <c r="AB187">
        <v>2</v>
      </c>
      <c r="AD187">
        <v>28.18</v>
      </c>
      <c r="AE187">
        <v>19.3</v>
      </c>
      <c r="AH187">
        <v>2.42</v>
      </c>
      <c r="AI187">
        <v>13.15</v>
      </c>
      <c r="AJ187">
        <v>0.03</v>
      </c>
      <c r="AK187">
        <v>0.32</v>
      </c>
      <c r="AL187">
        <v>42.42</v>
      </c>
      <c r="AN187">
        <v>41</v>
      </c>
      <c r="AO187">
        <v>267.98</v>
      </c>
      <c r="AQ187">
        <v>0.59</v>
      </c>
      <c r="AR187">
        <v>0.04</v>
      </c>
      <c r="AS187">
        <v>0.04</v>
      </c>
      <c r="AT187">
        <v>0.04</v>
      </c>
      <c r="AV187">
        <v>44.66</v>
      </c>
      <c r="AW187">
        <v>95.63</v>
      </c>
      <c r="AX187">
        <v>185.22</v>
      </c>
      <c r="AY187">
        <v>90.97</v>
      </c>
      <c r="AZ187">
        <v>14.8</v>
      </c>
      <c r="BA187">
        <v>13.7</v>
      </c>
      <c r="BB187">
        <v>123.03</v>
      </c>
      <c r="BC187">
        <v>119.19</v>
      </c>
      <c r="BD187">
        <v>16.989999999999998</v>
      </c>
      <c r="BE187">
        <v>141.93</v>
      </c>
      <c r="BF187">
        <v>168.78</v>
      </c>
      <c r="BG187">
        <v>88.23</v>
      </c>
      <c r="BH187">
        <v>719.8</v>
      </c>
      <c r="BI187">
        <v>253.18</v>
      </c>
      <c r="BJ187">
        <v>147.96</v>
      </c>
      <c r="BK187">
        <v>121.11</v>
      </c>
      <c r="BL187">
        <v>147.69</v>
      </c>
      <c r="BM187">
        <v>88.23</v>
      </c>
      <c r="BO187">
        <v>52.94</v>
      </c>
      <c r="BP187">
        <v>10</v>
      </c>
    </row>
    <row r="188" spans="1:68">
      <c r="A188" s="30">
        <v>32004</v>
      </c>
      <c r="B188" s="31" t="s">
        <v>748</v>
      </c>
      <c r="C188" s="30" t="s">
        <v>749</v>
      </c>
      <c r="D188" s="35" t="s">
        <v>750</v>
      </c>
      <c r="E188" s="35" t="s">
        <v>76</v>
      </c>
      <c r="F188" s="35">
        <v>60006</v>
      </c>
      <c r="G188" s="35" t="s">
        <v>751</v>
      </c>
      <c r="H188">
        <v>14</v>
      </c>
      <c r="I188" t="s">
        <v>291</v>
      </c>
      <c r="J188">
        <v>389</v>
      </c>
      <c r="K188">
        <v>42.9</v>
      </c>
      <c r="L188">
        <v>3.33</v>
      </c>
      <c r="M188">
        <v>36.67</v>
      </c>
      <c r="N188">
        <v>6.91</v>
      </c>
      <c r="O188">
        <v>9.17</v>
      </c>
      <c r="P188">
        <v>0.05</v>
      </c>
      <c r="Q188">
        <v>0.04</v>
      </c>
      <c r="R188">
        <v>0.5</v>
      </c>
      <c r="S188">
        <v>0.21</v>
      </c>
      <c r="T188">
        <v>0.05</v>
      </c>
      <c r="U188">
        <v>22.88</v>
      </c>
      <c r="V188">
        <v>0</v>
      </c>
      <c r="W188">
        <v>3.26</v>
      </c>
      <c r="X188">
        <v>0</v>
      </c>
      <c r="Y188">
        <v>0.73</v>
      </c>
      <c r="AA188">
        <v>0</v>
      </c>
      <c r="AB188">
        <v>0</v>
      </c>
      <c r="AC188">
        <v>0</v>
      </c>
      <c r="AD188">
        <v>0</v>
      </c>
      <c r="AE188">
        <v>122</v>
      </c>
      <c r="AH188">
        <v>4.84</v>
      </c>
      <c r="AI188">
        <v>15.72</v>
      </c>
      <c r="AJ188">
        <v>0.31</v>
      </c>
      <c r="AK188">
        <v>2.17</v>
      </c>
      <c r="AL188">
        <v>37</v>
      </c>
      <c r="AN188">
        <v>116.8</v>
      </c>
      <c r="AO188">
        <v>424</v>
      </c>
      <c r="AQ188">
        <v>0.74</v>
      </c>
      <c r="AR188">
        <v>28.05</v>
      </c>
      <c r="AS188">
        <v>2.4500000000000002</v>
      </c>
      <c r="AT188">
        <v>0.64</v>
      </c>
      <c r="AV188">
        <v>92.16</v>
      </c>
      <c r="AW188">
        <v>167.81</v>
      </c>
      <c r="AX188">
        <v>266.11</v>
      </c>
      <c r="AY188">
        <v>156.66999999999999</v>
      </c>
      <c r="AZ188">
        <v>84.1</v>
      </c>
      <c r="BA188">
        <v>56.45</v>
      </c>
      <c r="BB188">
        <v>173.18</v>
      </c>
      <c r="BC188">
        <v>124.8</v>
      </c>
      <c r="BD188">
        <v>46.08</v>
      </c>
      <c r="BE188">
        <v>223.87</v>
      </c>
      <c r="BF188">
        <v>202.37</v>
      </c>
      <c r="BG188">
        <v>532.61</v>
      </c>
      <c r="BH188">
        <v>369.41</v>
      </c>
      <c r="BI188">
        <v>734.21</v>
      </c>
      <c r="BJ188">
        <v>177.79</v>
      </c>
      <c r="BK188">
        <v>177.02</v>
      </c>
      <c r="BL188">
        <v>204.67</v>
      </c>
      <c r="BM188">
        <v>122.88</v>
      </c>
      <c r="BO188">
        <v>136</v>
      </c>
    </row>
    <row r="189" spans="1:68">
      <c r="A189" s="30">
        <v>32005</v>
      </c>
      <c r="B189" s="31" t="s">
        <v>752</v>
      </c>
      <c r="C189" s="31" t="s">
        <v>753</v>
      </c>
      <c r="D189" s="35" t="s">
        <v>754</v>
      </c>
      <c r="E189" s="35" t="s">
        <v>76</v>
      </c>
      <c r="F189" s="35">
        <v>30035</v>
      </c>
      <c r="G189" s="35" t="s">
        <v>755</v>
      </c>
      <c r="H189">
        <v>14</v>
      </c>
      <c r="I189" t="s">
        <v>197</v>
      </c>
      <c r="J189">
        <v>26</v>
      </c>
      <c r="K189">
        <v>92.14</v>
      </c>
      <c r="L189">
        <v>1.1399999999999999</v>
      </c>
      <c r="M189">
        <v>0.2</v>
      </c>
      <c r="N189">
        <v>4.07</v>
      </c>
      <c r="O189">
        <v>1.8</v>
      </c>
      <c r="P189">
        <v>0.04</v>
      </c>
      <c r="Q189">
        <v>0.02</v>
      </c>
      <c r="R189">
        <v>0.4</v>
      </c>
      <c r="T189">
        <v>0.09</v>
      </c>
      <c r="U189">
        <v>14.5</v>
      </c>
      <c r="W189">
        <v>24.7</v>
      </c>
      <c r="X189">
        <v>0.59</v>
      </c>
      <c r="Y189">
        <v>0.03</v>
      </c>
      <c r="AA189">
        <v>0</v>
      </c>
      <c r="AB189">
        <v>0</v>
      </c>
      <c r="AC189">
        <v>0</v>
      </c>
      <c r="AD189">
        <v>0</v>
      </c>
      <c r="AI189">
        <v>31.5</v>
      </c>
      <c r="AJ189">
        <v>0.05</v>
      </c>
      <c r="AK189">
        <v>0.42</v>
      </c>
      <c r="AL189">
        <v>9.5</v>
      </c>
      <c r="AN189">
        <v>34</v>
      </c>
      <c r="AO189">
        <v>235.5</v>
      </c>
      <c r="AQ189">
        <v>0.52</v>
      </c>
    </row>
    <row r="190" spans="1:68">
      <c r="A190" s="30">
        <v>32006</v>
      </c>
      <c r="B190" s="31" t="s">
        <v>756</v>
      </c>
      <c r="C190" s="30" t="s">
        <v>757</v>
      </c>
      <c r="D190" s="35" t="s">
        <v>758</v>
      </c>
      <c r="E190" s="35" t="s">
        <v>76</v>
      </c>
      <c r="F190" s="35">
        <v>80004</v>
      </c>
      <c r="G190" s="35" t="s">
        <v>759</v>
      </c>
      <c r="H190">
        <v>2</v>
      </c>
      <c r="I190" t="s">
        <v>291</v>
      </c>
      <c r="J190">
        <v>95</v>
      </c>
      <c r="K190">
        <v>75.22</v>
      </c>
      <c r="L190">
        <v>1.26</v>
      </c>
      <c r="M190">
        <v>0.84</v>
      </c>
      <c r="N190">
        <v>19.239999999999998</v>
      </c>
      <c r="O190">
        <v>2.6</v>
      </c>
      <c r="P190">
        <v>0.05</v>
      </c>
      <c r="Q190">
        <v>0.08</v>
      </c>
      <c r="R190">
        <v>0.7</v>
      </c>
      <c r="S190">
        <v>0.36</v>
      </c>
      <c r="T190">
        <v>0.1</v>
      </c>
      <c r="U190">
        <v>20</v>
      </c>
      <c r="V190">
        <v>0</v>
      </c>
      <c r="W190">
        <v>1.03</v>
      </c>
      <c r="X190">
        <v>0.19</v>
      </c>
      <c r="Y190">
        <v>0.75</v>
      </c>
      <c r="AA190">
        <v>0</v>
      </c>
      <c r="AB190">
        <v>1.79</v>
      </c>
      <c r="AC190">
        <v>3.57</v>
      </c>
      <c r="AD190">
        <v>21.44</v>
      </c>
      <c r="AE190">
        <v>26.9</v>
      </c>
      <c r="AH190">
        <v>2.33</v>
      </c>
      <c r="AI190">
        <v>11.34</v>
      </c>
      <c r="AJ190">
        <v>0.09</v>
      </c>
      <c r="AK190">
        <v>0.28999999999999998</v>
      </c>
      <c r="AL190">
        <v>22.96</v>
      </c>
      <c r="AN190">
        <v>36</v>
      </c>
      <c r="AO190">
        <v>410.68</v>
      </c>
      <c r="AQ190">
        <v>0.24</v>
      </c>
      <c r="AR190">
        <v>0.11</v>
      </c>
      <c r="AS190">
        <v>0.02</v>
      </c>
      <c r="AT190">
        <v>0.13</v>
      </c>
      <c r="AV190">
        <v>71.959999999999994</v>
      </c>
      <c r="AW190">
        <v>45.39</v>
      </c>
      <c r="AX190">
        <v>101.23</v>
      </c>
      <c r="AY190">
        <v>52.89</v>
      </c>
      <c r="AZ190">
        <v>13.41</v>
      </c>
      <c r="BA190">
        <v>7.01</v>
      </c>
      <c r="BB190">
        <v>52.64</v>
      </c>
      <c r="BC190">
        <v>50.31</v>
      </c>
      <c r="BD190">
        <v>12.18</v>
      </c>
      <c r="BE190">
        <v>74.42</v>
      </c>
      <c r="BF190">
        <v>87.08</v>
      </c>
      <c r="BG190">
        <v>45.51</v>
      </c>
      <c r="BH190">
        <v>160.76</v>
      </c>
      <c r="BI190">
        <v>186.59</v>
      </c>
      <c r="BJ190">
        <v>58.92</v>
      </c>
      <c r="BK190">
        <v>44.9</v>
      </c>
      <c r="BL190">
        <v>57.81</v>
      </c>
      <c r="BM190">
        <v>26.32</v>
      </c>
      <c r="BO190">
        <v>13.98</v>
      </c>
      <c r="BP190">
        <v>3</v>
      </c>
    </row>
    <row r="191" spans="1:68">
      <c r="A191" s="30">
        <v>32007</v>
      </c>
      <c r="B191" s="31" t="s">
        <v>760</v>
      </c>
      <c r="C191" s="30" t="s">
        <v>761</v>
      </c>
      <c r="D191" s="35" t="s">
        <v>762</v>
      </c>
      <c r="E191" s="35" t="s">
        <v>76</v>
      </c>
      <c r="F191" s="35">
        <v>80012</v>
      </c>
      <c r="G191" s="35" t="s">
        <v>763</v>
      </c>
      <c r="H191">
        <v>14</v>
      </c>
      <c r="I191" t="s">
        <v>291</v>
      </c>
      <c r="J191">
        <v>44</v>
      </c>
      <c r="K191">
        <v>86.69</v>
      </c>
      <c r="L191">
        <v>0.8</v>
      </c>
      <c r="M191">
        <v>0.11</v>
      </c>
      <c r="N191">
        <v>8.3000000000000007</v>
      </c>
      <c r="O191">
        <v>3.4</v>
      </c>
      <c r="P191">
        <v>0.02</v>
      </c>
      <c r="Q191">
        <v>0.08</v>
      </c>
      <c r="R191">
        <v>0.2</v>
      </c>
      <c r="S191">
        <v>0.35</v>
      </c>
      <c r="T191">
        <v>0.27</v>
      </c>
      <c r="U191">
        <v>7.86</v>
      </c>
      <c r="V191">
        <v>0</v>
      </c>
      <c r="W191">
        <v>453.35</v>
      </c>
      <c r="X191">
        <v>0.27</v>
      </c>
      <c r="Y191">
        <v>0.12</v>
      </c>
      <c r="AA191">
        <v>0</v>
      </c>
      <c r="AB191">
        <v>0.75</v>
      </c>
      <c r="AC191">
        <v>0</v>
      </c>
      <c r="AD191">
        <v>9</v>
      </c>
      <c r="AE191">
        <v>38.700000000000003</v>
      </c>
      <c r="AH191">
        <v>2.86</v>
      </c>
      <c r="AI191">
        <v>32.020000000000003</v>
      </c>
      <c r="AJ191">
        <v>0.12</v>
      </c>
      <c r="AK191">
        <v>0.94</v>
      </c>
      <c r="AL191">
        <v>28</v>
      </c>
      <c r="AN191">
        <v>25</v>
      </c>
      <c r="AO191">
        <v>225</v>
      </c>
      <c r="AQ191">
        <v>0.3</v>
      </c>
      <c r="AR191">
        <v>0.04</v>
      </c>
      <c r="AS191">
        <v>0.02</v>
      </c>
      <c r="AT191">
        <v>0.08</v>
      </c>
      <c r="AV191">
        <v>8.16</v>
      </c>
      <c r="AW191">
        <v>6.6</v>
      </c>
      <c r="AX191">
        <v>14.45</v>
      </c>
      <c r="AY191">
        <v>13.8</v>
      </c>
      <c r="AZ191">
        <v>2.48</v>
      </c>
      <c r="BA191">
        <v>2.0699999999999998</v>
      </c>
      <c r="BB191">
        <v>16.489999999999998</v>
      </c>
      <c r="BC191">
        <v>11.22</v>
      </c>
      <c r="BD191">
        <v>2.5499999999999998</v>
      </c>
      <c r="BE191">
        <v>10.17</v>
      </c>
      <c r="BF191">
        <v>22</v>
      </c>
      <c r="BG191">
        <v>13.16</v>
      </c>
      <c r="BH191">
        <v>50.66</v>
      </c>
      <c r="BI191">
        <v>81.260000000000005</v>
      </c>
      <c r="BJ191">
        <v>17.03</v>
      </c>
      <c r="BK191">
        <v>15.23</v>
      </c>
      <c r="BL191">
        <v>16.829999999999998</v>
      </c>
      <c r="BM191">
        <v>8.84</v>
      </c>
      <c r="BO191">
        <v>8</v>
      </c>
      <c r="BP191">
        <v>296</v>
      </c>
    </row>
    <row r="192" spans="1:68">
      <c r="A192" s="30">
        <v>32008</v>
      </c>
      <c r="B192" s="31" t="s">
        <v>764</v>
      </c>
      <c r="C192" s="30" t="s">
        <v>765</v>
      </c>
      <c r="D192" s="35" t="s">
        <v>766</v>
      </c>
      <c r="E192" s="35" t="s">
        <v>76</v>
      </c>
      <c r="F192" s="35">
        <v>80024</v>
      </c>
      <c r="G192" s="35" t="s">
        <v>767</v>
      </c>
      <c r="H192">
        <v>14</v>
      </c>
      <c r="I192" t="s">
        <v>291</v>
      </c>
      <c r="J192">
        <v>62</v>
      </c>
      <c r="K192">
        <v>81.790000000000006</v>
      </c>
      <c r="L192">
        <v>1.42</v>
      </c>
      <c r="M192">
        <v>0.48</v>
      </c>
      <c r="N192">
        <v>10.18</v>
      </c>
      <c r="O192">
        <v>5.51</v>
      </c>
      <c r="P192">
        <v>0.02</v>
      </c>
      <c r="Q192">
        <v>0.06</v>
      </c>
      <c r="R192">
        <v>0.6</v>
      </c>
      <c r="S192">
        <v>0.19</v>
      </c>
      <c r="T192">
        <v>7.0000000000000007E-2</v>
      </c>
      <c r="U192">
        <v>15.69</v>
      </c>
      <c r="V192">
        <v>0</v>
      </c>
      <c r="W192">
        <v>11.03</v>
      </c>
      <c r="X192">
        <v>0.33</v>
      </c>
      <c r="Y192">
        <v>0.06</v>
      </c>
      <c r="AA192">
        <v>0</v>
      </c>
      <c r="AB192">
        <v>0</v>
      </c>
      <c r="AC192">
        <v>0</v>
      </c>
      <c r="AD192">
        <v>1.47</v>
      </c>
      <c r="AE192">
        <v>27.33</v>
      </c>
      <c r="AH192">
        <v>1.61</v>
      </c>
      <c r="AI192">
        <v>10.6</v>
      </c>
      <c r="AJ192">
        <v>0.2</v>
      </c>
      <c r="AK192">
        <v>0.46</v>
      </c>
      <c r="AL192">
        <v>14.58</v>
      </c>
      <c r="AN192">
        <v>17.39</v>
      </c>
      <c r="AO192">
        <v>130.69999999999999</v>
      </c>
      <c r="AQ192">
        <v>0.27</v>
      </c>
      <c r="AR192">
        <v>0.09</v>
      </c>
      <c r="AS192">
        <v>0.05</v>
      </c>
      <c r="AT192">
        <v>0.79</v>
      </c>
      <c r="AV192">
        <v>18.22</v>
      </c>
      <c r="AW192">
        <v>46.83</v>
      </c>
      <c r="AX192">
        <v>79.989999999999995</v>
      </c>
      <c r="AY192">
        <v>49.01</v>
      </c>
      <c r="AZ192">
        <v>14.45</v>
      </c>
      <c r="BA192">
        <v>12.08</v>
      </c>
      <c r="BB192">
        <v>53.36</v>
      </c>
      <c r="BC192">
        <v>46.93</v>
      </c>
      <c r="BD192">
        <v>7.33</v>
      </c>
      <c r="BE192">
        <v>59.9</v>
      </c>
      <c r="BF192">
        <v>104.54</v>
      </c>
      <c r="BG192">
        <v>22.18</v>
      </c>
      <c r="BH192">
        <v>115.34</v>
      </c>
      <c r="BI192">
        <v>159.09</v>
      </c>
      <c r="BJ192">
        <v>55.04</v>
      </c>
      <c r="BK192">
        <v>56.63</v>
      </c>
      <c r="BL192">
        <v>51.08</v>
      </c>
      <c r="BM192">
        <v>28.91</v>
      </c>
      <c r="BO192">
        <v>2.57</v>
      </c>
      <c r="BP192">
        <v>19</v>
      </c>
    </row>
    <row r="193" spans="1:68">
      <c r="A193" s="30">
        <v>32702</v>
      </c>
      <c r="B193" s="31" t="s">
        <v>768</v>
      </c>
      <c r="C193" s="30" t="s">
        <v>769</v>
      </c>
      <c r="D193" s="35" t="s">
        <v>136</v>
      </c>
      <c r="E193" s="35" t="s">
        <v>76</v>
      </c>
      <c r="F193" s="35">
        <v>80009</v>
      </c>
      <c r="G193" s="35" t="s">
        <v>770</v>
      </c>
      <c r="H193">
        <v>14</v>
      </c>
      <c r="I193" t="s">
        <v>291</v>
      </c>
      <c r="J193">
        <v>320</v>
      </c>
      <c r="K193">
        <v>14.8</v>
      </c>
      <c r="L193">
        <v>2.1</v>
      </c>
      <c r="M193">
        <v>0.49</v>
      </c>
      <c r="N193">
        <v>72.8</v>
      </c>
      <c r="O193">
        <v>8.1999999999999993</v>
      </c>
      <c r="P193">
        <v>0.03</v>
      </c>
      <c r="Q193">
        <v>0.03</v>
      </c>
      <c r="S193">
        <v>0.78</v>
      </c>
      <c r="T193">
        <v>0.12</v>
      </c>
      <c r="U193">
        <v>19</v>
      </c>
      <c r="V193">
        <v>0</v>
      </c>
      <c r="W193">
        <v>7.9</v>
      </c>
      <c r="X193">
        <v>1.37</v>
      </c>
      <c r="Y193">
        <v>0.02</v>
      </c>
      <c r="AA193">
        <v>0</v>
      </c>
      <c r="AB193">
        <v>227</v>
      </c>
      <c r="AD193">
        <v>2729</v>
      </c>
      <c r="AE193">
        <v>283</v>
      </c>
      <c r="AH193">
        <v>6.89</v>
      </c>
      <c r="AI193">
        <v>55</v>
      </c>
      <c r="AJ193">
        <v>0.34</v>
      </c>
      <c r="AK193">
        <v>1.5</v>
      </c>
      <c r="AL193">
        <v>50</v>
      </c>
      <c r="AN193">
        <v>56</v>
      </c>
      <c r="AO193">
        <v>613</v>
      </c>
      <c r="AQ193">
        <v>0.71</v>
      </c>
      <c r="AR193">
        <v>0.11</v>
      </c>
      <c r="AS193">
        <v>0.03</v>
      </c>
      <c r="AT193">
        <v>0.15</v>
      </c>
      <c r="AV193">
        <v>47.19</v>
      </c>
      <c r="AW193">
        <v>60.14</v>
      </c>
      <c r="AX193">
        <v>125.84</v>
      </c>
      <c r="AY193">
        <v>63.53</v>
      </c>
      <c r="AZ193">
        <v>27.59</v>
      </c>
      <c r="BA193">
        <v>31.34</v>
      </c>
      <c r="BB193">
        <v>83.61</v>
      </c>
      <c r="BC193">
        <v>84.7</v>
      </c>
      <c r="BD193">
        <v>32.43</v>
      </c>
      <c r="BE193">
        <v>74.42</v>
      </c>
      <c r="BF193">
        <v>168.92</v>
      </c>
      <c r="BG193">
        <v>96.56</v>
      </c>
      <c r="BH193">
        <v>272.01</v>
      </c>
      <c r="BI193">
        <v>370.38</v>
      </c>
      <c r="BJ193">
        <v>146.88999999999999</v>
      </c>
      <c r="BK193">
        <v>137.94</v>
      </c>
      <c r="BL193">
        <v>120.27</v>
      </c>
      <c r="BM193">
        <v>50.22</v>
      </c>
      <c r="BO193">
        <v>130</v>
      </c>
    </row>
    <row r="194" spans="1:68">
      <c r="A194" s="30">
        <v>32009</v>
      </c>
      <c r="B194" s="31" t="s">
        <v>771</v>
      </c>
      <c r="C194" s="30" t="s">
        <v>772</v>
      </c>
      <c r="D194" s="35" t="s">
        <v>773</v>
      </c>
      <c r="E194" s="35" t="s">
        <v>76</v>
      </c>
      <c r="F194" s="35">
        <v>80039</v>
      </c>
      <c r="G194" s="35" t="s">
        <v>774</v>
      </c>
      <c r="H194">
        <v>14</v>
      </c>
      <c r="I194" t="s">
        <v>291</v>
      </c>
      <c r="J194">
        <v>67</v>
      </c>
      <c r="K194">
        <v>80.900000000000006</v>
      </c>
      <c r="L194">
        <v>1.6</v>
      </c>
      <c r="M194">
        <v>0.2</v>
      </c>
      <c r="N194">
        <v>12.7</v>
      </c>
      <c r="O194">
        <v>4</v>
      </c>
      <c r="P194">
        <v>0.02</v>
      </c>
      <c r="Q194">
        <v>0.1</v>
      </c>
      <c r="R194">
        <v>0.3</v>
      </c>
      <c r="S194">
        <v>0.42</v>
      </c>
      <c r="T194">
        <v>0.11</v>
      </c>
      <c r="U194">
        <v>38</v>
      </c>
      <c r="V194">
        <v>0</v>
      </c>
      <c r="W194">
        <v>26</v>
      </c>
      <c r="X194">
        <v>3.32</v>
      </c>
      <c r="Y194">
        <v>0.6</v>
      </c>
      <c r="AA194">
        <v>0</v>
      </c>
      <c r="AB194">
        <v>2.75</v>
      </c>
      <c r="AC194">
        <v>26</v>
      </c>
      <c r="AD194">
        <v>20</v>
      </c>
      <c r="AE194">
        <v>27.87</v>
      </c>
      <c r="AH194">
        <v>2.5099999999999998</v>
      </c>
      <c r="AI194">
        <v>21</v>
      </c>
      <c r="AJ194">
        <v>0.34</v>
      </c>
      <c r="AK194">
        <v>0.3</v>
      </c>
      <c r="AL194">
        <v>44</v>
      </c>
      <c r="AN194">
        <v>70</v>
      </c>
      <c r="AO194">
        <v>133</v>
      </c>
      <c r="AQ194">
        <v>0.82</v>
      </c>
      <c r="AR194">
        <v>0.43</v>
      </c>
      <c r="AS194">
        <v>0.04</v>
      </c>
      <c r="AT194">
        <v>0.04</v>
      </c>
      <c r="AV194">
        <v>25.8</v>
      </c>
      <c r="AW194">
        <v>22.21</v>
      </c>
      <c r="AX194">
        <v>64.77</v>
      </c>
      <c r="AY194">
        <v>15.3</v>
      </c>
      <c r="AZ194">
        <v>8.11</v>
      </c>
      <c r="BA194">
        <v>11.84</v>
      </c>
      <c r="BB194">
        <v>42.29</v>
      </c>
      <c r="BC194">
        <v>34.450000000000003</v>
      </c>
      <c r="BD194">
        <v>6.12</v>
      </c>
      <c r="BE194">
        <v>31.92</v>
      </c>
      <c r="BF194">
        <v>63.84</v>
      </c>
      <c r="BG194">
        <v>111.06</v>
      </c>
      <c r="BH194">
        <v>113.05</v>
      </c>
      <c r="BI194">
        <v>363.49</v>
      </c>
      <c r="BJ194">
        <v>47.22</v>
      </c>
      <c r="BK194">
        <v>46.02</v>
      </c>
      <c r="BL194">
        <v>64.239999999999995</v>
      </c>
      <c r="BM194">
        <v>24.34</v>
      </c>
      <c r="BO194">
        <v>45.71</v>
      </c>
      <c r="BP194">
        <v>14</v>
      </c>
    </row>
    <row r="195" spans="1:68">
      <c r="A195" s="30">
        <v>32011</v>
      </c>
      <c r="B195" s="31" t="s">
        <v>775</v>
      </c>
      <c r="C195" s="30" t="s">
        <v>776</v>
      </c>
      <c r="D195" s="35" t="s">
        <v>777</v>
      </c>
      <c r="E195" s="35" t="s">
        <v>76</v>
      </c>
      <c r="F195" s="35">
        <v>170013</v>
      </c>
      <c r="G195" s="35" t="s">
        <v>778</v>
      </c>
      <c r="H195">
        <v>14</v>
      </c>
      <c r="I195" t="s">
        <v>291</v>
      </c>
      <c r="J195">
        <v>95.6</v>
      </c>
      <c r="K195">
        <v>73.34</v>
      </c>
      <c r="L195">
        <v>0.86</v>
      </c>
      <c r="M195">
        <v>0.37</v>
      </c>
      <c r="N195">
        <v>21.46</v>
      </c>
      <c r="O195">
        <v>3.02</v>
      </c>
      <c r="P195">
        <v>0.02</v>
      </c>
      <c r="Q195">
        <v>0.02</v>
      </c>
      <c r="R195">
        <v>0.74</v>
      </c>
      <c r="S195">
        <v>0.52</v>
      </c>
      <c r="T195">
        <v>0.13</v>
      </c>
      <c r="U195">
        <v>9.8000000000000007</v>
      </c>
      <c r="V195">
        <v>0</v>
      </c>
      <c r="W195">
        <v>5.26</v>
      </c>
      <c r="X195">
        <v>1.2</v>
      </c>
      <c r="Y195">
        <v>0.09</v>
      </c>
      <c r="AA195">
        <v>0</v>
      </c>
      <c r="AE195">
        <v>8.1199999999999992</v>
      </c>
      <c r="AH195">
        <v>2.5</v>
      </c>
      <c r="AI195">
        <v>37.15</v>
      </c>
      <c r="AJ195">
        <v>0.19</v>
      </c>
      <c r="AK195">
        <v>0.77</v>
      </c>
      <c r="AL195">
        <v>57.43</v>
      </c>
      <c r="AN195">
        <v>62.83</v>
      </c>
      <c r="AO195">
        <v>382</v>
      </c>
      <c r="AQ195">
        <v>0.67</v>
      </c>
      <c r="AR195">
        <v>0.87</v>
      </c>
      <c r="AS195">
        <v>0.11</v>
      </c>
      <c r="AT195">
        <v>0.1</v>
      </c>
      <c r="AV195">
        <v>16</v>
      </c>
      <c r="AW195">
        <v>28.12</v>
      </c>
      <c r="AX195">
        <v>50.31</v>
      </c>
      <c r="AY195">
        <v>32.340000000000003</v>
      </c>
      <c r="AZ195">
        <v>8.43</v>
      </c>
      <c r="BA195">
        <v>10.58</v>
      </c>
      <c r="BB195">
        <v>39.9</v>
      </c>
      <c r="BC195">
        <v>32.25</v>
      </c>
      <c r="BD195">
        <v>9.1199999999999992</v>
      </c>
      <c r="BE195">
        <v>32.68</v>
      </c>
      <c r="BF195">
        <v>53.41</v>
      </c>
      <c r="BG195">
        <v>46.7</v>
      </c>
      <c r="BH195">
        <v>136.05000000000001</v>
      </c>
      <c r="BI195">
        <v>125.04</v>
      </c>
      <c r="BJ195">
        <v>44.81</v>
      </c>
      <c r="BK195">
        <v>31.65</v>
      </c>
      <c r="BL195">
        <v>50.4</v>
      </c>
      <c r="BM195">
        <v>31.13</v>
      </c>
      <c r="BO195">
        <v>25.86</v>
      </c>
    </row>
    <row r="196" spans="1:68">
      <c r="A196" s="30">
        <v>32012</v>
      </c>
      <c r="B196" s="31" t="s">
        <v>779</v>
      </c>
      <c r="C196" s="30" t="s">
        <v>780</v>
      </c>
      <c r="D196" s="35" t="s">
        <v>731</v>
      </c>
      <c r="E196" s="35" t="s">
        <v>76</v>
      </c>
      <c r="F196" s="35">
        <v>80014</v>
      </c>
      <c r="G196" s="35" t="s">
        <v>781</v>
      </c>
      <c r="H196">
        <v>14</v>
      </c>
      <c r="I196" t="s">
        <v>291</v>
      </c>
      <c r="J196">
        <v>94</v>
      </c>
      <c r="K196">
        <v>75.3</v>
      </c>
      <c r="L196">
        <v>0.5</v>
      </c>
      <c r="M196">
        <v>0.62</v>
      </c>
      <c r="N196">
        <v>20.18</v>
      </c>
      <c r="O196">
        <v>2.9</v>
      </c>
      <c r="P196">
        <v>0.1</v>
      </c>
      <c r="Q196">
        <v>0.06</v>
      </c>
      <c r="R196">
        <v>0.23</v>
      </c>
      <c r="S196">
        <v>7.0000000000000007E-2</v>
      </c>
      <c r="T196">
        <v>0.06</v>
      </c>
      <c r="U196">
        <v>7.72</v>
      </c>
      <c r="V196">
        <v>0</v>
      </c>
      <c r="W196">
        <v>29</v>
      </c>
      <c r="X196">
        <v>5.46</v>
      </c>
      <c r="Y196">
        <v>0.4</v>
      </c>
      <c r="AA196">
        <v>0</v>
      </c>
      <c r="AB196">
        <v>2.75</v>
      </c>
      <c r="AD196">
        <v>30.77</v>
      </c>
      <c r="AE196">
        <v>31.3</v>
      </c>
      <c r="AH196">
        <v>4.0599999999999996</v>
      </c>
      <c r="AI196">
        <v>22</v>
      </c>
      <c r="AJ196">
        <v>0.13</v>
      </c>
      <c r="AK196">
        <v>0.5</v>
      </c>
      <c r="AL196">
        <v>82</v>
      </c>
      <c r="AN196">
        <v>30</v>
      </c>
      <c r="AO196">
        <v>191</v>
      </c>
      <c r="AQ196">
        <v>7.0000000000000007E-2</v>
      </c>
      <c r="AR196">
        <v>92.42</v>
      </c>
      <c r="AS196">
        <v>11.1</v>
      </c>
      <c r="AT196">
        <v>119</v>
      </c>
      <c r="AV196">
        <v>20.100000000000001</v>
      </c>
      <c r="AW196">
        <v>16.940000000000001</v>
      </c>
      <c r="AX196">
        <v>48.59</v>
      </c>
      <c r="AY196">
        <v>18.02</v>
      </c>
      <c r="AZ196">
        <v>8.01</v>
      </c>
      <c r="BA196">
        <v>9.6300000000000008</v>
      </c>
      <c r="BB196">
        <v>24.02</v>
      </c>
      <c r="BC196">
        <v>41.04</v>
      </c>
      <c r="BD196">
        <v>5.08</v>
      </c>
      <c r="BE196">
        <v>18.940000000000001</v>
      </c>
      <c r="BF196">
        <v>54.75</v>
      </c>
      <c r="BG196">
        <v>50.67</v>
      </c>
      <c r="BH196">
        <v>80.16</v>
      </c>
      <c r="BI196">
        <v>166.71</v>
      </c>
      <c r="BJ196">
        <v>26.49</v>
      </c>
      <c r="BK196">
        <v>33.03</v>
      </c>
      <c r="BL196">
        <v>35.5</v>
      </c>
      <c r="BM196">
        <v>18.02</v>
      </c>
      <c r="BO196">
        <v>1.27</v>
      </c>
    </row>
    <row r="197" spans="1:68">
      <c r="A197" s="30">
        <v>32013</v>
      </c>
      <c r="B197" s="31" t="s">
        <v>782</v>
      </c>
      <c r="C197" s="30" t="s">
        <v>783</v>
      </c>
      <c r="D197" s="34" t="s">
        <v>784</v>
      </c>
      <c r="E197" s="35" t="s">
        <v>76</v>
      </c>
      <c r="F197" s="35">
        <v>80021</v>
      </c>
      <c r="G197" s="35" t="s">
        <v>724</v>
      </c>
      <c r="H197">
        <v>14</v>
      </c>
      <c r="I197" t="s">
        <v>291</v>
      </c>
      <c r="J197">
        <v>60</v>
      </c>
      <c r="K197">
        <v>84.3</v>
      </c>
      <c r="L197">
        <v>1.88</v>
      </c>
      <c r="M197">
        <v>0.2</v>
      </c>
      <c r="N197">
        <v>12.62</v>
      </c>
      <c r="P197">
        <v>0.02</v>
      </c>
      <c r="Q197">
        <v>0.06</v>
      </c>
      <c r="R197">
        <v>0.8</v>
      </c>
      <c r="S197">
        <v>0.14000000000000001</v>
      </c>
      <c r="T197">
        <v>0.08</v>
      </c>
      <c r="V197">
        <v>0</v>
      </c>
      <c r="W197">
        <v>66.099999999999994</v>
      </c>
      <c r="X197">
        <v>16.8</v>
      </c>
      <c r="AA197">
        <v>0</v>
      </c>
      <c r="AB197">
        <v>2</v>
      </c>
      <c r="AC197">
        <v>0</v>
      </c>
      <c r="AD197">
        <v>24</v>
      </c>
      <c r="AE197">
        <v>10.7</v>
      </c>
      <c r="AH197">
        <v>1.6</v>
      </c>
      <c r="AI197">
        <v>14</v>
      </c>
      <c r="AJ197">
        <v>0.15</v>
      </c>
      <c r="AK197">
        <v>0.8</v>
      </c>
      <c r="AL197">
        <v>24.5</v>
      </c>
      <c r="AN197">
        <v>33</v>
      </c>
      <c r="AO197">
        <v>353.5</v>
      </c>
      <c r="AQ197">
        <v>0.32</v>
      </c>
      <c r="AR197">
        <v>0.12</v>
      </c>
      <c r="AS197">
        <v>0.13</v>
      </c>
      <c r="AT197">
        <v>0.04</v>
      </c>
      <c r="AV197">
        <v>24.66</v>
      </c>
      <c r="AW197">
        <v>54.81</v>
      </c>
      <c r="AX197">
        <v>48.11</v>
      </c>
      <c r="AY197">
        <v>20.100000000000001</v>
      </c>
      <c r="AZ197">
        <v>14.2</v>
      </c>
      <c r="BA197">
        <v>20.64</v>
      </c>
      <c r="BB197">
        <v>46.5</v>
      </c>
      <c r="BC197">
        <v>31.49</v>
      </c>
      <c r="BD197">
        <v>11.79</v>
      </c>
      <c r="BE197">
        <v>62.58</v>
      </c>
      <c r="BF197">
        <v>61.91</v>
      </c>
      <c r="BG197">
        <v>73.83</v>
      </c>
      <c r="BH197">
        <v>426.66</v>
      </c>
      <c r="BI197">
        <v>232.22</v>
      </c>
      <c r="BJ197">
        <v>41.54</v>
      </c>
      <c r="BK197">
        <v>33.770000000000003</v>
      </c>
      <c r="BL197">
        <v>51.72</v>
      </c>
      <c r="BM197">
        <v>46.36</v>
      </c>
      <c r="BO197">
        <v>85.6</v>
      </c>
    </row>
    <row r="198" spans="1:68">
      <c r="B198" s="31" t="s">
        <v>785</v>
      </c>
      <c r="C198" s="30" t="s">
        <v>786</v>
      </c>
      <c r="D198" s="35" t="s">
        <v>787</v>
      </c>
      <c r="E198" s="35" t="s">
        <v>76</v>
      </c>
      <c r="F198" s="35">
        <v>80031</v>
      </c>
      <c r="G198" s="35" t="s">
        <v>788</v>
      </c>
      <c r="H198">
        <v>14</v>
      </c>
      <c r="I198" t="s">
        <v>291</v>
      </c>
      <c r="J198">
        <v>44</v>
      </c>
      <c r="K198">
        <v>87.7</v>
      </c>
      <c r="L198">
        <v>0.68</v>
      </c>
      <c r="M198">
        <v>0.2</v>
      </c>
      <c r="N198">
        <v>8.7200000000000006</v>
      </c>
      <c r="O198">
        <v>2.4</v>
      </c>
      <c r="P198">
        <v>0.04</v>
      </c>
      <c r="Q198">
        <v>0.01</v>
      </c>
      <c r="R198">
        <v>0.4</v>
      </c>
      <c r="S198">
        <v>0.2</v>
      </c>
      <c r="T198">
        <v>0.08</v>
      </c>
      <c r="U198">
        <v>30</v>
      </c>
      <c r="V198">
        <v>0</v>
      </c>
      <c r="W198">
        <v>54</v>
      </c>
      <c r="X198">
        <v>0.34</v>
      </c>
      <c r="Y198">
        <v>0.24</v>
      </c>
      <c r="AA198">
        <v>0</v>
      </c>
      <c r="AB198">
        <v>18.68</v>
      </c>
      <c r="AC198">
        <v>18.329999999999998</v>
      </c>
      <c r="AD198">
        <v>118.33</v>
      </c>
      <c r="AE198">
        <v>13.8</v>
      </c>
      <c r="AG198">
        <v>44.02</v>
      </c>
      <c r="AH198">
        <v>31.88</v>
      </c>
      <c r="AI198">
        <v>23.42</v>
      </c>
      <c r="AJ198">
        <v>0.03</v>
      </c>
      <c r="AK198">
        <v>0.24</v>
      </c>
      <c r="AL198">
        <v>17</v>
      </c>
      <c r="AN198">
        <v>25</v>
      </c>
      <c r="AO198">
        <v>131.94999999999999</v>
      </c>
      <c r="AQ198">
        <v>7.0000000000000007E-2</v>
      </c>
      <c r="AR198">
        <v>0.04</v>
      </c>
      <c r="AS198">
        <v>0.02</v>
      </c>
      <c r="AT198">
        <v>0.05</v>
      </c>
      <c r="AV198">
        <v>4.9000000000000004</v>
      </c>
      <c r="AW198">
        <v>9.73</v>
      </c>
      <c r="AX198">
        <v>14.77</v>
      </c>
      <c r="AY198">
        <v>20.86</v>
      </c>
      <c r="AZ198">
        <v>3.71</v>
      </c>
      <c r="BA198">
        <v>3.36</v>
      </c>
      <c r="BB198">
        <v>12.39</v>
      </c>
      <c r="BC198">
        <v>10.64</v>
      </c>
      <c r="BD198">
        <v>3.78</v>
      </c>
      <c r="BE198">
        <v>14.84</v>
      </c>
      <c r="BF198">
        <v>15.96</v>
      </c>
      <c r="BG198">
        <v>45.57</v>
      </c>
      <c r="BH198">
        <v>93.03</v>
      </c>
      <c r="BI198">
        <v>40.74</v>
      </c>
      <c r="BJ198">
        <v>17.22</v>
      </c>
      <c r="BK198">
        <v>85.19</v>
      </c>
      <c r="BL198">
        <v>23.66</v>
      </c>
      <c r="BM198">
        <v>7.56</v>
      </c>
      <c r="BP198">
        <v>10</v>
      </c>
    </row>
    <row r="199" spans="1:68">
      <c r="A199" s="30">
        <v>31003</v>
      </c>
      <c r="B199" s="31" t="s">
        <v>789</v>
      </c>
      <c r="C199" s="30" t="s">
        <v>786</v>
      </c>
      <c r="D199" s="35" t="s">
        <v>787</v>
      </c>
      <c r="E199" s="35" t="s">
        <v>76</v>
      </c>
      <c r="F199" s="35">
        <v>80032</v>
      </c>
      <c r="G199" s="35" t="s">
        <v>790</v>
      </c>
      <c r="H199">
        <v>14</v>
      </c>
      <c r="I199" t="s">
        <v>291</v>
      </c>
      <c r="J199">
        <v>49</v>
      </c>
      <c r="K199">
        <v>86.3</v>
      </c>
      <c r="L199">
        <v>0.2</v>
      </c>
      <c r="M199">
        <v>0.1</v>
      </c>
      <c r="N199">
        <v>10.7</v>
      </c>
      <c r="O199">
        <v>2.4</v>
      </c>
      <c r="P199">
        <v>0.15</v>
      </c>
      <c r="Q199">
        <v>0.01</v>
      </c>
      <c r="R199">
        <v>0.3</v>
      </c>
      <c r="T199">
        <v>0.08</v>
      </c>
      <c r="U199">
        <v>46.2</v>
      </c>
      <c r="V199">
        <v>0</v>
      </c>
      <c r="W199">
        <v>54</v>
      </c>
      <c r="X199">
        <v>0</v>
      </c>
      <c r="Y199">
        <v>0.18</v>
      </c>
      <c r="AA199">
        <v>0</v>
      </c>
      <c r="AB199">
        <v>11.21</v>
      </c>
      <c r="AC199">
        <v>11</v>
      </c>
      <c r="AD199">
        <v>71</v>
      </c>
      <c r="AI199">
        <v>31</v>
      </c>
      <c r="AJ199">
        <v>0.05</v>
      </c>
      <c r="AK199">
        <v>0.1</v>
      </c>
      <c r="AL199">
        <v>10</v>
      </c>
      <c r="AN199">
        <v>14</v>
      </c>
      <c r="AO199">
        <v>181</v>
      </c>
      <c r="AQ199">
        <v>7.0000000000000007E-2</v>
      </c>
    </row>
    <row r="200" spans="1:68">
      <c r="A200" s="30">
        <v>32014</v>
      </c>
      <c r="B200" s="31" t="s">
        <v>791</v>
      </c>
      <c r="C200" s="30" t="s">
        <v>792</v>
      </c>
      <c r="D200" s="35" t="s">
        <v>793</v>
      </c>
      <c r="E200" s="35" t="s">
        <v>76</v>
      </c>
      <c r="F200" s="35">
        <v>80002</v>
      </c>
      <c r="G200" s="35" t="s">
        <v>794</v>
      </c>
      <c r="H200">
        <v>14</v>
      </c>
      <c r="I200" t="s">
        <v>291</v>
      </c>
      <c r="J200">
        <v>62</v>
      </c>
      <c r="K200">
        <v>83.28</v>
      </c>
      <c r="L200">
        <v>0.34</v>
      </c>
      <c r="M200">
        <v>0.19</v>
      </c>
      <c r="N200">
        <v>13.55</v>
      </c>
      <c r="O200">
        <v>2.4</v>
      </c>
      <c r="P200">
        <v>0.09</v>
      </c>
      <c r="Q200">
        <v>0.03</v>
      </c>
      <c r="R200">
        <v>0.1</v>
      </c>
      <c r="S200">
        <v>0.1</v>
      </c>
      <c r="T200">
        <v>0.04</v>
      </c>
      <c r="U200">
        <v>3</v>
      </c>
      <c r="V200">
        <v>0</v>
      </c>
      <c r="W200">
        <v>4.03</v>
      </c>
      <c r="X200">
        <v>1.96</v>
      </c>
      <c r="Y200">
        <v>0.18</v>
      </c>
      <c r="AA200">
        <v>0</v>
      </c>
      <c r="AB200">
        <v>2.71</v>
      </c>
      <c r="AC200">
        <v>0</v>
      </c>
      <c r="AD200">
        <v>27</v>
      </c>
      <c r="AI200">
        <v>6</v>
      </c>
      <c r="AJ200">
        <v>0.03</v>
      </c>
      <c r="AK200">
        <v>0.12</v>
      </c>
      <c r="AL200">
        <v>5</v>
      </c>
      <c r="AN200">
        <v>11</v>
      </c>
      <c r="AO200">
        <v>107</v>
      </c>
      <c r="AQ200">
        <v>0.04</v>
      </c>
      <c r="AR200">
        <v>0.14000000000000001</v>
      </c>
      <c r="AS200">
        <v>0.05</v>
      </c>
      <c r="AT200">
        <v>0.24</v>
      </c>
      <c r="AV200">
        <v>8.51</v>
      </c>
      <c r="AW200">
        <v>14.32</v>
      </c>
      <c r="AX200">
        <v>19.399999999999999</v>
      </c>
      <c r="AY200">
        <v>10.48</v>
      </c>
      <c r="AZ200">
        <v>4.55</v>
      </c>
      <c r="BA200">
        <v>2.4900000000000002</v>
      </c>
      <c r="BB200">
        <v>12.82</v>
      </c>
      <c r="BC200">
        <v>14.37</v>
      </c>
      <c r="BD200">
        <v>2.91</v>
      </c>
      <c r="BE200">
        <v>13.46</v>
      </c>
      <c r="BF200">
        <v>25.9</v>
      </c>
      <c r="BG200">
        <v>11.22</v>
      </c>
      <c r="BH200">
        <v>79.19</v>
      </c>
      <c r="BI200">
        <v>32.85</v>
      </c>
      <c r="BJ200">
        <v>15.52</v>
      </c>
      <c r="BK200">
        <v>13.08</v>
      </c>
      <c r="BL200">
        <v>19.39</v>
      </c>
      <c r="BM200">
        <v>8.35</v>
      </c>
      <c r="BO200">
        <v>0.55000000000000004</v>
      </c>
      <c r="BP200">
        <v>10</v>
      </c>
    </row>
    <row r="201" spans="1:68">
      <c r="A201" s="30">
        <v>32015</v>
      </c>
      <c r="B201" s="31" t="s">
        <v>795</v>
      </c>
      <c r="C201" s="30" t="s">
        <v>796</v>
      </c>
      <c r="D201" s="34" t="s">
        <v>797</v>
      </c>
      <c r="E201" s="35" t="s">
        <v>76</v>
      </c>
      <c r="F201" s="35">
        <v>80008</v>
      </c>
      <c r="G201" s="35" t="s">
        <v>798</v>
      </c>
      <c r="H201">
        <v>14</v>
      </c>
      <c r="I201" t="s">
        <v>291</v>
      </c>
      <c r="J201">
        <v>85</v>
      </c>
      <c r="K201">
        <v>76.06</v>
      </c>
      <c r="L201">
        <v>1.82</v>
      </c>
      <c r="M201">
        <v>0.26</v>
      </c>
      <c r="N201">
        <v>16.559999999999999</v>
      </c>
      <c r="O201">
        <v>4.4000000000000004</v>
      </c>
      <c r="P201">
        <v>7.0000000000000007E-2</v>
      </c>
      <c r="Q201">
        <v>0.14000000000000001</v>
      </c>
      <c r="R201">
        <v>0.8</v>
      </c>
      <c r="S201">
        <v>0.19</v>
      </c>
      <c r="T201">
        <v>0.2</v>
      </c>
      <c r="U201">
        <v>14</v>
      </c>
      <c r="W201">
        <v>37.950000000000003</v>
      </c>
      <c r="X201">
        <v>0.15</v>
      </c>
      <c r="Y201">
        <v>0.19</v>
      </c>
      <c r="AA201">
        <v>0</v>
      </c>
      <c r="AB201">
        <v>0.33</v>
      </c>
      <c r="AC201">
        <v>0</v>
      </c>
      <c r="AD201">
        <v>4</v>
      </c>
      <c r="AE201">
        <v>12.45</v>
      </c>
      <c r="AH201">
        <v>1.8</v>
      </c>
      <c r="AI201">
        <v>17.149999999999999</v>
      </c>
      <c r="AJ201">
        <v>0.09</v>
      </c>
      <c r="AK201">
        <v>1.02</v>
      </c>
      <c r="AL201">
        <v>25</v>
      </c>
      <c r="AN201">
        <v>47</v>
      </c>
      <c r="AO201">
        <v>366.1</v>
      </c>
      <c r="AQ201">
        <v>0.33</v>
      </c>
      <c r="AR201">
        <v>0.14000000000000001</v>
      </c>
      <c r="AS201">
        <v>0.04</v>
      </c>
      <c r="AT201">
        <v>0.13</v>
      </c>
      <c r="AV201">
        <v>85.05</v>
      </c>
      <c r="AW201">
        <v>36.61</v>
      </c>
      <c r="AX201">
        <v>79.06</v>
      </c>
      <c r="AY201">
        <v>69.010000000000005</v>
      </c>
      <c r="AZ201">
        <v>16.04</v>
      </c>
      <c r="BA201">
        <v>7.78</v>
      </c>
      <c r="BB201">
        <v>67.39</v>
      </c>
      <c r="BC201">
        <v>70.790000000000006</v>
      </c>
      <c r="BD201">
        <v>13.93</v>
      </c>
      <c r="BE201">
        <v>78.73</v>
      </c>
      <c r="BF201">
        <v>114.7</v>
      </c>
      <c r="BG201">
        <v>62.69</v>
      </c>
      <c r="BH201">
        <v>296.77999999999997</v>
      </c>
      <c r="BI201">
        <v>280.58</v>
      </c>
      <c r="BJ201">
        <v>78.73</v>
      </c>
      <c r="BK201">
        <v>78.08</v>
      </c>
      <c r="BL201">
        <v>82.94</v>
      </c>
      <c r="BM201">
        <v>31.91</v>
      </c>
      <c r="BO201">
        <v>15.22</v>
      </c>
      <c r="BP201">
        <v>30</v>
      </c>
    </row>
    <row r="202" spans="1:68">
      <c r="A202" s="30">
        <v>32016</v>
      </c>
      <c r="B202" s="31" t="s">
        <v>799</v>
      </c>
      <c r="C202" s="30" t="s">
        <v>800</v>
      </c>
      <c r="D202" s="35" t="s">
        <v>801</v>
      </c>
      <c r="E202" s="35" t="s">
        <v>76</v>
      </c>
      <c r="F202" s="35">
        <v>80019</v>
      </c>
      <c r="G202" s="35" t="s">
        <v>802</v>
      </c>
      <c r="H202">
        <v>14</v>
      </c>
      <c r="I202" t="s">
        <v>291</v>
      </c>
      <c r="J202">
        <v>40</v>
      </c>
      <c r="K202">
        <v>89.5</v>
      </c>
      <c r="L202">
        <v>0.7</v>
      </c>
      <c r="M202">
        <v>0.3</v>
      </c>
      <c r="N202">
        <v>8</v>
      </c>
      <c r="O202">
        <v>1.2</v>
      </c>
      <c r="P202">
        <v>0.01</v>
      </c>
      <c r="Q202">
        <v>0.05</v>
      </c>
      <c r="R202">
        <v>0.4</v>
      </c>
      <c r="W202">
        <v>22.3</v>
      </c>
      <c r="X202">
        <v>0</v>
      </c>
      <c r="Y202">
        <v>0.04</v>
      </c>
      <c r="AA202">
        <v>0</v>
      </c>
      <c r="AI202">
        <v>9.0500000000000007</v>
      </c>
      <c r="AJ202">
        <v>0.02</v>
      </c>
      <c r="AK202">
        <v>0.32</v>
      </c>
      <c r="AL202">
        <v>4</v>
      </c>
      <c r="AN202">
        <v>30</v>
      </c>
      <c r="AO202">
        <v>104.2</v>
      </c>
      <c r="AQ202">
        <v>0.08</v>
      </c>
      <c r="AR202">
        <v>7.0000000000000007E-2</v>
      </c>
      <c r="AS202">
        <v>0.03</v>
      </c>
      <c r="AT202">
        <v>0.05</v>
      </c>
      <c r="BO202">
        <v>8.65</v>
      </c>
    </row>
    <row r="203" spans="1:68">
      <c r="A203" s="30">
        <v>31004</v>
      </c>
      <c r="B203" s="31" t="s">
        <v>803</v>
      </c>
      <c r="C203" s="30" t="s">
        <v>804</v>
      </c>
      <c r="D203" s="35" t="s">
        <v>805</v>
      </c>
      <c r="E203" s="35" t="s">
        <v>76</v>
      </c>
      <c r="F203" s="35">
        <v>80040</v>
      </c>
      <c r="G203" s="35" t="s">
        <v>806</v>
      </c>
      <c r="H203">
        <v>14</v>
      </c>
      <c r="I203" t="s">
        <v>291</v>
      </c>
      <c r="J203">
        <v>38</v>
      </c>
      <c r="K203">
        <v>89.92</v>
      </c>
      <c r="L203">
        <v>0.45</v>
      </c>
      <c r="M203">
        <v>0.34</v>
      </c>
      <c r="N203">
        <v>7.69</v>
      </c>
      <c r="O203">
        <v>1</v>
      </c>
      <c r="P203">
        <v>0.06</v>
      </c>
      <c r="Q203">
        <v>0.04</v>
      </c>
      <c r="R203">
        <v>0.2</v>
      </c>
      <c r="S203">
        <v>0.05</v>
      </c>
      <c r="T203">
        <v>0.04</v>
      </c>
      <c r="U203">
        <v>26</v>
      </c>
      <c r="V203">
        <v>0</v>
      </c>
      <c r="W203">
        <v>121.67</v>
      </c>
      <c r="X203">
        <v>0.76</v>
      </c>
      <c r="Y203">
        <v>0.24</v>
      </c>
      <c r="AA203">
        <v>0</v>
      </c>
      <c r="AB203">
        <v>3.3</v>
      </c>
      <c r="AC203">
        <v>21.88</v>
      </c>
      <c r="AD203">
        <v>28.62</v>
      </c>
      <c r="AE203">
        <v>22.5</v>
      </c>
      <c r="AG203">
        <v>10.43</v>
      </c>
      <c r="AH203">
        <v>5.9</v>
      </c>
      <c r="AI203">
        <v>35.58</v>
      </c>
      <c r="AJ203">
        <v>0.06</v>
      </c>
      <c r="AK203">
        <v>0.21</v>
      </c>
      <c r="AL203">
        <v>15</v>
      </c>
      <c r="AN203">
        <v>21</v>
      </c>
      <c r="AO203">
        <v>235.45</v>
      </c>
      <c r="AQ203">
        <v>0.06</v>
      </c>
      <c r="AR203">
        <v>0.12</v>
      </c>
      <c r="AS203">
        <v>0.04</v>
      </c>
      <c r="AT203">
        <v>0.19</v>
      </c>
      <c r="AV203">
        <v>11.97</v>
      </c>
      <c r="AW203">
        <v>19.11</v>
      </c>
      <c r="AX203">
        <v>31.89</v>
      </c>
      <c r="AY203">
        <v>25.7</v>
      </c>
      <c r="AZ203">
        <v>5.92</v>
      </c>
      <c r="BA203">
        <v>550.79999999999995</v>
      </c>
      <c r="BB203">
        <v>16.66</v>
      </c>
      <c r="BC203">
        <v>21.69</v>
      </c>
      <c r="BD203">
        <v>3.26</v>
      </c>
      <c r="BE203">
        <v>28.76</v>
      </c>
      <c r="BF203">
        <v>51.82</v>
      </c>
      <c r="BG203">
        <v>35.29</v>
      </c>
      <c r="BH203">
        <v>188.36</v>
      </c>
      <c r="BI203">
        <v>83.98</v>
      </c>
      <c r="BJ203">
        <v>18.63</v>
      </c>
      <c r="BK203">
        <v>63.99</v>
      </c>
      <c r="BL203">
        <v>32.5</v>
      </c>
      <c r="BM203">
        <v>12.44</v>
      </c>
      <c r="BO203">
        <v>20.36</v>
      </c>
    </row>
    <row r="204" spans="1:68">
      <c r="A204" s="30">
        <v>31014</v>
      </c>
      <c r="B204" s="31" t="s">
        <v>807</v>
      </c>
      <c r="C204" s="30" t="s">
        <v>808</v>
      </c>
      <c r="D204" s="35" t="s">
        <v>289</v>
      </c>
      <c r="E204" s="35" t="s">
        <v>76</v>
      </c>
      <c r="F204" s="35">
        <v>30027</v>
      </c>
      <c r="G204" s="35" t="s">
        <v>290</v>
      </c>
      <c r="H204">
        <v>14</v>
      </c>
      <c r="I204" t="s">
        <v>291</v>
      </c>
      <c r="J204">
        <v>30</v>
      </c>
      <c r="K204">
        <v>90.62</v>
      </c>
      <c r="L204">
        <v>0.78</v>
      </c>
      <c r="M204">
        <v>0.08</v>
      </c>
      <c r="N204">
        <v>5.71</v>
      </c>
      <c r="O204">
        <v>1.5</v>
      </c>
      <c r="P204">
        <v>0.03</v>
      </c>
      <c r="Q204">
        <v>0.02</v>
      </c>
      <c r="R204">
        <v>0.2</v>
      </c>
      <c r="S204">
        <v>0.24</v>
      </c>
      <c r="T204">
        <v>0.03</v>
      </c>
      <c r="U204">
        <v>29.79</v>
      </c>
      <c r="V204">
        <v>0</v>
      </c>
      <c r="W204">
        <v>18.57</v>
      </c>
      <c r="X204">
        <v>7.81</v>
      </c>
      <c r="Y204">
        <v>7.0000000000000007E-2</v>
      </c>
      <c r="AA204">
        <v>0</v>
      </c>
      <c r="AB204">
        <v>0.57999999999999996</v>
      </c>
      <c r="AD204">
        <v>7</v>
      </c>
      <c r="AE204">
        <v>266</v>
      </c>
      <c r="AH204">
        <v>7.88</v>
      </c>
      <c r="AI204">
        <v>14.59</v>
      </c>
      <c r="AJ204">
        <v>0.02</v>
      </c>
      <c r="AK204">
        <v>0.6</v>
      </c>
      <c r="AL204">
        <v>56</v>
      </c>
      <c r="AN204">
        <v>15.37</v>
      </c>
      <c r="AO204">
        <v>129.07</v>
      </c>
      <c r="AQ204">
        <v>0.22</v>
      </c>
      <c r="AR204">
        <v>7.0000000000000007E-2</v>
      </c>
      <c r="AS204">
        <v>0.04</v>
      </c>
      <c r="AT204">
        <v>0.08</v>
      </c>
      <c r="AV204">
        <v>4.8499999999999996</v>
      </c>
      <c r="AW204">
        <v>7.85</v>
      </c>
      <c r="AX204">
        <v>16.100000000000001</v>
      </c>
      <c r="AY204">
        <v>19.100000000000001</v>
      </c>
      <c r="AZ204">
        <v>3.15</v>
      </c>
      <c r="BA204">
        <v>18.850000000000001</v>
      </c>
      <c r="BB204">
        <v>19.55</v>
      </c>
      <c r="BC204">
        <v>14.25</v>
      </c>
      <c r="BD204">
        <v>5</v>
      </c>
      <c r="BE204">
        <v>15.8</v>
      </c>
      <c r="BF204">
        <v>25.35</v>
      </c>
      <c r="BG204">
        <v>15.4</v>
      </c>
      <c r="BH204">
        <v>59.5</v>
      </c>
      <c r="BI204">
        <v>71.349999999999994</v>
      </c>
      <c r="BJ204">
        <v>24.65</v>
      </c>
      <c r="BK204">
        <v>14.95</v>
      </c>
      <c r="BL204">
        <v>17.8</v>
      </c>
      <c r="BM204">
        <v>21.9</v>
      </c>
      <c r="BO204">
        <v>22.08</v>
      </c>
    </row>
    <row r="205" spans="1:68">
      <c r="A205" s="30">
        <v>31005</v>
      </c>
      <c r="B205" s="31" t="s">
        <v>809</v>
      </c>
      <c r="C205" s="30" t="s">
        <v>810</v>
      </c>
      <c r="D205" s="35" t="s">
        <v>289</v>
      </c>
      <c r="E205" s="35" t="s">
        <v>76</v>
      </c>
      <c r="F205" s="35">
        <v>80035</v>
      </c>
      <c r="G205" s="35" t="s">
        <v>811</v>
      </c>
      <c r="H205">
        <v>12</v>
      </c>
      <c r="I205" t="s">
        <v>713</v>
      </c>
      <c r="J205">
        <v>33</v>
      </c>
      <c r="K205">
        <v>90.47</v>
      </c>
      <c r="L205">
        <v>0.61</v>
      </c>
      <c r="M205">
        <v>0.15</v>
      </c>
      <c r="N205">
        <v>6.46</v>
      </c>
      <c r="O205">
        <v>1.7</v>
      </c>
      <c r="P205">
        <v>0.08</v>
      </c>
      <c r="Q205">
        <v>0.03</v>
      </c>
      <c r="R205">
        <v>0.34</v>
      </c>
      <c r="S205">
        <v>0.44</v>
      </c>
      <c r="T205">
        <v>0.02</v>
      </c>
      <c r="U205">
        <v>58</v>
      </c>
      <c r="V205">
        <v>0</v>
      </c>
      <c r="W205">
        <v>61.8</v>
      </c>
      <c r="X205">
        <v>12.81</v>
      </c>
      <c r="Y205">
        <v>0.3</v>
      </c>
      <c r="AA205">
        <v>0</v>
      </c>
      <c r="AB205">
        <v>60.11</v>
      </c>
      <c r="AC205">
        <v>2</v>
      </c>
      <c r="AD205">
        <v>425.77</v>
      </c>
      <c r="AE205">
        <v>5.43</v>
      </c>
      <c r="AF205">
        <v>833</v>
      </c>
      <c r="AG205">
        <v>648</v>
      </c>
      <c r="AH205">
        <v>280</v>
      </c>
      <c r="AI205">
        <v>28.68</v>
      </c>
      <c r="AJ205">
        <v>0.03</v>
      </c>
      <c r="AK205">
        <v>0.35</v>
      </c>
      <c r="AL205">
        <v>10.31</v>
      </c>
      <c r="AN205">
        <v>11.02</v>
      </c>
      <c r="AO205">
        <v>182.14</v>
      </c>
      <c r="AQ205">
        <v>0.17</v>
      </c>
      <c r="AR205">
        <v>0.06</v>
      </c>
      <c r="AS205">
        <v>0.03</v>
      </c>
      <c r="AT205">
        <v>0.05</v>
      </c>
      <c r="AV205">
        <v>3.65</v>
      </c>
      <c r="AW205">
        <v>9.5299999999999994</v>
      </c>
      <c r="AX205">
        <v>18.61</v>
      </c>
      <c r="AY205">
        <v>20.62</v>
      </c>
      <c r="AZ205">
        <v>2.86</v>
      </c>
      <c r="BA205">
        <v>3.07</v>
      </c>
      <c r="BB205">
        <v>8.11</v>
      </c>
      <c r="BC205">
        <v>13.73</v>
      </c>
      <c r="BD205">
        <v>6.97</v>
      </c>
      <c r="BE205">
        <v>16.510000000000002</v>
      </c>
      <c r="BF205">
        <v>17.77</v>
      </c>
      <c r="BG205">
        <v>10.88</v>
      </c>
      <c r="BH205">
        <v>64.760000000000005</v>
      </c>
      <c r="BI205">
        <v>57.33</v>
      </c>
      <c r="BJ205">
        <v>22.22</v>
      </c>
      <c r="BK205">
        <v>19.11</v>
      </c>
      <c r="BL205">
        <v>19.739999999999998</v>
      </c>
      <c r="BM205">
        <v>11.97</v>
      </c>
      <c r="BO205">
        <v>23</v>
      </c>
      <c r="BP205">
        <v>1</v>
      </c>
    </row>
    <row r="206" spans="1:68">
      <c r="A206" s="30">
        <v>31006</v>
      </c>
      <c r="B206" s="31" t="s">
        <v>812</v>
      </c>
      <c r="C206" s="30" t="s">
        <v>813</v>
      </c>
      <c r="D206" s="34" t="s">
        <v>814</v>
      </c>
      <c r="E206" s="35" t="s">
        <v>76</v>
      </c>
      <c r="F206" s="35">
        <v>80015</v>
      </c>
      <c r="G206" s="35" t="s">
        <v>815</v>
      </c>
      <c r="H206">
        <v>14</v>
      </c>
      <c r="I206" t="s">
        <v>291</v>
      </c>
      <c r="J206">
        <v>63</v>
      </c>
      <c r="K206">
        <v>81.430000000000007</v>
      </c>
      <c r="L206">
        <v>1.01</v>
      </c>
      <c r="M206">
        <v>0.5</v>
      </c>
      <c r="N206">
        <v>10.93</v>
      </c>
      <c r="O206">
        <v>5.4</v>
      </c>
      <c r="P206">
        <v>0.21</v>
      </c>
      <c r="Q206">
        <v>0.09</v>
      </c>
      <c r="R206">
        <v>1.08</v>
      </c>
      <c r="S206">
        <v>0.24</v>
      </c>
      <c r="T206">
        <v>0.11</v>
      </c>
      <c r="U206">
        <v>49</v>
      </c>
      <c r="V206">
        <v>0</v>
      </c>
      <c r="W206">
        <v>228.3</v>
      </c>
      <c r="X206">
        <v>1.3</v>
      </c>
      <c r="Y206">
        <v>0.73</v>
      </c>
      <c r="AA206">
        <v>0</v>
      </c>
      <c r="AB206">
        <v>32.5</v>
      </c>
      <c r="AC206">
        <v>0</v>
      </c>
      <c r="AD206">
        <v>340</v>
      </c>
      <c r="AE206">
        <v>55</v>
      </c>
      <c r="AH206">
        <v>7.43</v>
      </c>
      <c r="AI206">
        <v>17.48</v>
      </c>
      <c r="AJ206">
        <v>0.15</v>
      </c>
      <c r="AK206">
        <v>0.66</v>
      </c>
      <c r="AL206">
        <v>25.1</v>
      </c>
      <c r="AN206">
        <v>17.62</v>
      </c>
      <c r="AO206">
        <v>261.3</v>
      </c>
      <c r="AQ206">
        <v>0.31</v>
      </c>
      <c r="AR206">
        <v>0.04</v>
      </c>
      <c r="AS206">
        <v>0.02</v>
      </c>
      <c r="AT206">
        <v>0.13</v>
      </c>
      <c r="AV206">
        <v>25.51</v>
      </c>
      <c r="AW206">
        <v>52.73</v>
      </c>
      <c r="AX206">
        <v>84.03</v>
      </c>
      <c r="AY206">
        <v>34.909999999999997</v>
      </c>
      <c r="AZ206">
        <v>12.16</v>
      </c>
      <c r="BA206">
        <v>13.08</v>
      </c>
      <c r="BB206">
        <v>19</v>
      </c>
      <c r="BC206">
        <v>45.5</v>
      </c>
      <c r="BD206">
        <v>10.52</v>
      </c>
      <c r="BE206">
        <v>43.59</v>
      </c>
      <c r="BF206">
        <v>84.03</v>
      </c>
      <c r="BG206">
        <v>42.67</v>
      </c>
      <c r="BH206">
        <v>255.7</v>
      </c>
      <c r="BI206">
        <v>205.73</v>
      </c>
      <c r="BJ206">
        <v>86.13</v>
      </c>
      <c r="BK206">
        <v>73.84</v>
      </c>
      <c r="BL206">
        <v>52.53</v>
      </c>
      <c r="BM206">
        <v>34.78</v>
      </c>
      <c r="BO206">
        <v>50.63</v>
      </c>
      <c r="BP206">
        <v>14</v>
      </c>
    </row>
    <row r="207" spans="1:68">
      <c r="A207" s="30">
        <v>32017</v>
      </c>
      <c r="B207" s="31" t="s">
        <v>816</v>
      </c>
      <c r="C207" s="30" t="s">
        <v>817</v>
      </c>
      <c r="D207" s="34" t="s">
        <v>818</v>
      </c>
      <c r="E207" s="35" t="s">
        <v>76</v>
      </c>
      <c r="F207" s="35">
        <v>140006</v>
      </c>
      <c r="G207" s="35" t="s">
        <v>819</v>
      </c>
      <c r="H207">
        <v>19</v>
      </c>
      <c r="I207" t="s">
        <v>138</v>
      </c>
      <c r="J207">
        <v>33</v>
      </c>
      <c r="K207">
        <v>91.7</v>
      </c>
      <c r="L207">
        <v>0.7</v>
      </c>
      <c r="M207">
        <v>0</v>
      </c>
      <c r="N207">
        <v>7.5</v>
      </c>
      <c r="O207">
        <v>0</v>
      </c>
      <c r="P207">
        <v>0.04</v>
      </c>
      <c r="Q207">
        <v>0.04</v>
      </c>
      <c r="R207">
        <v>0.14000000000000001</v>
      </c>
      <c r="S207">
        <v>0.23</v>
      </c>
      <c r="T207">
        <v>0.4</v>
      </c>
      <c r="U207">
        <v>44.53</v>
      </c>
      <c r="W207">
        <v>6.73</v>
      </c>
      <c r="X207">
        <v>0.41</v>
      </c>
      <c r="Y207">
        <v>0.02</v>
      </c>
      <c r="AA207">
        <v>0</v>
      </c>
      <c r="AB207">
        <v>0</v>
      </c>
      <c r="AC207">
        <v>0</v>
      </c>
      <c r="AD207">
        <v>7.87</v>
      </c>
      <c r="AE207">
        <v>8.36</v>
      </c>
      <c r="AI207">
        <v>8</v>
      </c>
      <c r="AJ207">
        <v>0.06</v>
      </c>
      <c r="AK207">
        <v>1.1000000000000001</v>
      </c>
      <c r="AL207">
        <v>10.31</v>
      </c>
      <c r="AN207">
        <v>6.19</v>
      </c>
      <c r="AO207">
        <v>24.92</v>
      </c>
      <c r="AQ207">
        <v>0.01</v>
      </c>
      <c r="AR207">
        <v>0.14000000000000001</v>
      </c>
      <c r="AS207">
        <v>0.03</v>
      </c>
      <c r="AT207">
        <v>0.17</v>
      </c>
      <c r="AV207">
        <v>2.86</v>
      </c>
      <c r="AW207">
        <v>6.1</v>
      </c>
      <c r="AX207">
        <v>5.68</v>
      </c>
      <c r="AY207">
        <v>4.05</v>
      </c>
      <c r="AZ207">
        <v>0.64</v>
      </c>
      <c r="BA207">
        <v>0.83</v>
      </c>
      <c r="BB207">
        <v>8.18</v>
      </c>
      <c r="BC207">
        <v>4.83</v>
      </c>
      <c r="BD207">
        <v>1.2</v>
      </c>
      <c r="BE207">
        <v>6.7</v>
      </c>
      <c r="BF207">
        <v>8.35</v>
      </c>
      <c r="BG207">
        <v>5.49</v>
      </c>
      <c r="BH207">
        <v>48.78</v>
      </c>
      <c r="BI207">
        <v>18.559999999999999</v>
      </c>
      <c r="BJ207">
        <v>4.32</v>
      </c>
      <c r="BK207">
        <v>3.94</v>
      </c>
      <c r="BL207">
        <v>5.68</v>
      </c>
      <c r="BM207">
        <v>3.76</v>
      </c>
    </row>
    <row r="208" spans="1:68">
      <c r="A208" s="30">
        <v>32018</v>
      </c>
      <c r="B208" s="31" t="s">
        <v>820</v>
      </c>
      <c r="C208" s="30" t="s">
        <v>821</v>
      </c>
      <c r="D208" s="34" t="s">
        <v>822</v>
      </c>
      <c r="E208" s="35" t="s">
        <v>76</v>
      </c>
      <c r="F208" s="35">
        <v>80018</v>
      </c>
      <c r="G208" s="35" t="s">
        <v>823</v>
      </c>
      <c r="H208">
        <v>14</v>
      </c>
      <c r="I208" t="s">
        <v>291</v>
      </c>
      <c r="J208">
        <v>39</v>
      </c>
      <c r="K208">
        <v>88.23</v>
      </c>
      <c r="L208">
        <v>0.87</v>
      </c>
      <c r="M208">
        <v>0.48</v>
      </c>
      <c r="N208">
        <v>6.12</v>
      </c>
      <c r="O208">
        <v>3.5</v>
      </c>
      <c r="P208">
        <v>0.09</v>
      </c>
      <c r="Q208">
        <v>0.02</v>
      </c>
      <c r="R208">
        <v>0.2</v>
      </c>
      <c r="S208">
        <v>0.31</v>
      </c>
      <c r="T208">
        <v>0.04</v>
      </c>
      <c r="V208">
        <v>0</v>
      </c>
      <c r="W208">
        <v>74.12</v>
      </c>
      <c r="X208">
        <v>0.82</v>
      </c>
      <c r="Y208">
        <v>0.04</v>
      </c>
      <c r="AA208">
        <v>0</v>
      </c>
      <c r="AB208">
        <v>92.7</v>
      </c>
      <c r="AD208">
        <v>1110</v>
      </c>
      <c r="AE208">
        <v>18.489999999999998</v>
      </c>
      <c r="AH208">
        <v>5.68</v>
      </c>
      <c r="AI208">
        <v>22.76</v>
      </c>
      <c r="AJ208">
        <v>7.0000000000000007E-2</v>
      </c>
      <c r="AK208">
        <v>0.84</v>
      </c>
      <c r="AL208">
        <v>36.659999999999997</v>
      </c>
      <c r="AN208">
        <v>15.82</v>
      </c>
      <c r="AO208">
        <v>172.33</v>
      </c>
      <c r="AQ208">
        <v>0.21</v>
      </c>
      <c r="AR208">
        <v>7.0000000000000007E-2</v>
      </c>
      <c r="AS208">
        <v>0.03</v>
      </c>
      <c r="AT208">
        <v>0.05</v>
      </c>
      <c r="AV208">
        <v>19.52</v>
      </c>
      <c r="AW208">
        <v>42.72</v>
      </c>
      <c r="AX208">
        <v>69.86</v>
      </c>
      <c r="AY208">
        <v>16.32</v>
      </c>
      <c r="AZ208">
        <v>15.17</v>
      </c>
      <c r="BA208">
        <v>7.63</v>
      </c>
      <c r="BB208">
        <v>46.17</v>
      </c>
      <c r="BC208">
        <v>43.62</v>
      </c>
      <c r="BD208">
        <v>6.81</v>
      </c>
      <c r="BE208">
        <v>57.32</v>
      </c>
      <c r="BF208">
        <v>57.73</v>
      </c>
      <c r="BG208">
        <v>12.63</v>
      </c>
      <c r="BH208">
        <v>98.32</v>
      </c>
      <c r="BI208">
        <v>124.8</v>
      </c>
      <c r="BJ208">
        <v>54.04</v>
      </c>
      <c r="BK208">
        <v>49.94</v>
      </c>
      <c r="BL208">
        <v>45.43</v>
      </c>
      <c r="BM208">
        <v>26.49</v>
      </c>
      <c r="BO208">
        <v>8</v>
      </c>
      <c r="BP208">
        <v>89</v>
      </c>
    </row>
    <row r="209" spans="1:68">
      <c r="A209" s="30">
        <v>32019</v>
      </c>
      <c r="B209" s="31" t="s">
        <v>824</v>
      </c>
      <c r="C209" s="30" t="s">
        <v>825</v>
      </c>
      <c r="D209" s="35" t="s">
        <v>826</v>
      </c>
      <c r="E209" s="35" t="s">
        <v>156</v>
      </c>
      <c r="F209" s="35">
        <v>7</v>
      </c>
      <c r="G209" s="202" t="s">
        <v>824</v>
      </c>
      <c r="H209">
        <v>14</v>
      </c>
      <c r="I209" t="s">
        <v>291</v>
      </c>
    </row>
    <row r="210" spans="1:68">
      <c r="A210" s="30">
        <v>32020</v>
      </c>
      <c r="B210" s="31" t="s">
        <v>827</v>
      </c>
      <c r="C210" s="30" t="s">
        <v>828</v>
      </c>
      <c r="D210" s="34" t="s">
        <v>829</v>
      </c>
      <c r="E210" s="35" t="s">
        <v>76</v>
      </c>
      <c r="F210" s="35">
        <v>80034</v>
      </c>
      <c r="G210" s="35" t="s">
        <v>830</v>
      </c>
      <c r="H210">
        <v>14</v>
      </c>
      <c r="I210" t="s">
        <v>291</v>
      </c>
      <c r="J210">
        <v>78</v>
      </c>
      <c r="K210">
        <v>79.69</v>
      </c>
      <c r="L210">
        <v>0.55000000000000004</v>
      </c>
      <c r="M210">
        <v>0.39</v>
      </c>
      <c r="N210">
        <v>17.82</v>
      </c>
      <c r="O210">
        <v>0.7</v>
      </c>
      <c r="P210">
        <v>0.04</v>
      </c>
      <c r="Q210">
        <v>0.02</v>
      </c>
      <c r="R210">
        <v>0.32</v>
      </c>
      <c r="S210">
        <v>0.13</v>
      </c>
      <c r="V210">
        <v>0</v>
      </c>
      <c r="W210">
        <v>35.130000000000003</v>
      </c>
      <c r="X210">
        <v>0</v>
      </c>
      <c r="Y210">
        <v>0.02</v>
      </c>
      <c r="AA210">
        <v>0</v>
      </c>
      <c r="AB210">
        <v>208.33</v>
      </c>
      <c r="AD210">
        <v>2500</v>
      </c>
      <c r="AE210">
        <v>5.8</v>
      </c>
      <c r="AH210">
        <v>1.5</v>
      </c>
      <c r="AI210">
        <v>15.75</v>
      </c>
      <c r="AJ210">
        <v>0.13</v>
      </c>
      <c r="AK210">
        <v>1.67</v>
      </c>
      <c r="AL210">
        <v>14.46</v>
      </c>
      <c r="AN210">
        <v>58</v>
      </c>
      <c r="AO210">
        <v>238.97</v>
      </c>
      <c r="AQ210">
        <v>0.27</v>
      </c>
      <c r="AR210">
        <v>0.03</v>
      </c>
      <c r="AS210">
        <v>0.04</v>
      </c>
      <c r="AT210">
        <v>0.08</v>
      </c>
      <c r="AV210">
        <v>15.7</v>
      </c>
      <c r="AW210">
        <v>20.8</v>
      </c>
      <c r="AX210">
        <v>18.7</v>
      </c>
      <c r="AY210">
        <v>11.75</v>
      </c>
      <c r="AZ210">
        <v>4.25</v>
      </c>
      <c r="BA210">
        <v>5.5</v>
      </c>
      <c r="BB210">
        <v>13.8</v>
      </c>
      <c r="BC210">
        <v>21.6</v>
      </c>
      <c r="BD210">
        <v>2.2000000000000002</v>
      </c>
      <c r="BE210">
        <v>21.55</v>
      </c>
      <c r="BF210">
        <v>34.200000000000003</v>
      </c>
      <c r="BG210">
        <v>19.25</v>
      </c>
      <c r="BH210">
        <v>69.3</v>
      </c>
      <c r="BI210">
        <v>81.599999999999994</v>
      </c>
      <c r="BJ210">
        <v>22.8</v>
      </c>
      <c r="BK210">
        <v>20.85</v>
      </c>
      <c r="BL210">
        <v>25.9</v>
      </c>
      <c r="BM210">
        <v>6.25</v>
      </c>
      <c r="BO210">
        <v>2.8</v>
      </c>
    </row>
    <row r="211" spans="1:68">
      <c r="A211" s="30">
        <v>32021</v>
      </c>
      <c r="B211" s="31" t="s">
        <v>831</v>
      </c>
      <c r="C211" s="30" t="s">
        <v>832</v>
      </c>
      <c r="D211" s="35" t="s">
        <v>833</v>
      </c>
      <c r="E211" s="35" t="s">
        <v>76</v>
      </c>
      <c r="F211" s="35">
        <v>80016</v>
      </c>
      <c r="G211" s="35" t="s">
        <v>834</v>
      </c>
      <c r="H211">
        <v>12</v>
      </c>
      <c r="I211" t="s">
        <v>713</v>
      </c>
      <c r="J211">
        <v>51</v>
      </c>
      <c r="K211">
        <v>86.66</v>
      </c>
      <c r="L211">
        <v>1.08</v>
      </c>
      <c r="M211">
        <v>0.85</v>
      </c>
      <c r="N211">
        <v>8.89</v>
      </c>
      <c r="O211">
        <v>1.6</v>
      </c>
      <c r="P211">
        <v>0.28000000000000003</v>
      </c>
      <c r="Q211">
        <v>0.04</v>
      </c>
      <c r="R211">
        <v>0.3</v>
      </c>
      <c r="W211">
        <v>77.010000000000005</v>
      </c>
      <c r="X211">
        <v>0</v>
      </c>
      <c r="AA211">
        <v>0</v>
      </c>
      <c r="AI211">
        <v>56.7</v>
      </c>
      <c r="AJ211">
        <v>0.11</v>
      </c>
      <c r="AK211">
        <v>2.8</v>
      </c>
      <c r="AL211">
        <v>39.5</v>
      </c>
      <c r="AN211">
        <v>11</v>
      </c>
      <c r="AO211">
        <v>174.95</v>
      </c>
      <c r="AQ211">
        <v>0.17</v>
      </c>
    </row>
    <row r="212" spans="1:68">
      <c r="A212" s="30">
        <v>32022</v>
      </c>
      <c r="B212" s="31" t="s">
        <v>835</v>
      </c>
      <c r="C212" s="30" t="s">
        <v>836</v>
      </c>
      <c r="D212" s="35" t="s">
        <v>702</v>
      </c>
      <c r="E212" s="35" t="s">
        <v>76</v>
      </c>
      <c r="F212" s="35">
        <v>80007</v>
      </c>
      <c r="G212" s="35" t="s">
        <v>703</v>
      </c>
      <c r="H212">
        <v>14</v>
      </c>
      <c r="I212" t="s">
        <v>291</v>
      </c>
      <c r="J212">
        <v>41</v>
      </c>
      <c r="K212">
        <v>88.7</v>
      </c>
      <c r="L212">
        <v>0.54</v>
      </c>
      <c r="M212">
        <v>0.72</v>
      </c>
      <c r="N212">
        <v>6.71</v>
      </c>
      <c r="O212">
        <v>2.8</v>
      </c>
      <c r="P212">
        <v>0.12</v>
      </c>
      <c r="Q212">
        <v>0.04</v>
      </c>
      <c r="R212">
        <v>0.37</v>
      </c>
      <c r="S212">
        <v>0.26</v>
      </c>
      <c r="T212">
        <v>0.02</v>
      </c>
      <c r="U212">
        <v>12</v>
      </c>
      <c r="V212">
        <v>0</v>
      </c>
      <c r="W212">
        <v>49.4</v>
      </c>
      <c r="X212">
        <v>0.96</v>
      </c>
      <c r="Y212">
        <v>0.15</v>
      </c>
      <c r="AA212">
        <v>0</v>
      </c>
      <c r="AB212">
        <v>6.68</v>
      </c>
      <c r="AC212">
        <v>52</v>
      </c>
      <c r="AD212">
        <v>54.17</v>
      </c>
      <c r="AE212">
        <v>26.8</v>
      </c>
      <c r="AH212">
        <v>2.6</v>
      </c>
      <c r="AI212">
        <v>9.5</v>
      </c>
      <c r="AJ212">
        <v>0.12</v>
      </c>
      <c r="AK212">
        <v>0.82</v>
      </c>
      <c r="AL212">
        <v>19</v>
      </c>
      <c r="AN212">
        <v>23</v>
      </c>
      <c r="AO212">
        <v>127.8</v>
      </c>
      <c r="AQ212">
        <v>0.38</v>
      </c>
      <c r="AR212">
        <v>0.02</v>
      </c>
      <c r="AS212">
        <v>0.03</v>
      </c>
      <c r="AT212">
        <v>0.19</v>
      </c>
      <c r="AV212">
        <v>20.54</v>
      </c>
      <c r="AW212">
        <v>22.12</v>
      </c>
      <c r="AX212">
        <v>44.79</v>
      </c>
      <c r="AY212">
        <v>41.87</v>
      </c>
      <c r="AZ212">
        <v>7.19</v>
      </c>
      <c r="BA212">
        <v>5.85</v>
      </c>
      <c r="BB212">
        <v>32.15</v>
      </c>
      <c r="BC212">
        <v>30.73</v>
      </c>
      <c r="BD212">
        <v>6.87</v>
      </c>
      <c r="BE212">
        <v>33.26</v>
      </c>
      <c r="BF212">
        <v>48.19</v>
      </c>
      <c r="BG212">
        <v>42.42</v>
      </c>
      <c r="BH212">
        <v>137.46</v>
      </c>
      <c r="BI212">
        <v>146.55000000000001</v>
      </c>
      <c r="BJ212">
        <v>35.159999999999997</v>
      </c>
      <c r="BK212">
        <v>26.47</v>
      </c>
      <c r="BL212">
        <v>36.89</v>
      </c>
      <c r="BM212">
        <v>30.73</v>
      </c>
      <c r="BO212">
        <v>3.8</v>
      </c>
    </row>
    <row r="213" spans="1:68" s="58" customFormat="1">
      <c r="A213" s="55">
        <v>32023</v>
      </c>
      <c r="B213" s="56" t="s">
        <v>837</v>
      </c>
      <c r="C213" s="55" t="s">
        <v>838</v>
      </c>
      <c r="D213" s="62" t="s">
        <v>839</v>
      </c>
      <c r="E213" s="57"/>
      <c r="F213" s="57"/>
      <c r="G213" s="57"/>
      <c r="H213" s="58">
        <v>14</v>
      </c>
      <c r="I213" s="58" t="s">
        <v>291</v>
      </c>
    </row>
    <row r="214" spans="1:68">
      <c r="A214" s="30">
        <v>32024</v>
      </c>
      <c r="B214" s="31" t="s">
        <v>840</v>
      </c>
      <c r="C214" s="30" t="s">
        <v>841</v>
      </c>
      <c r="D214" s="34" t="s">
        <v>842</v>
      </c>
      <c r="E214" s="35" t="s">
        <v>76</v>
      </c>
      <c r="F214" s="35">
        <v>80020</v>
      </c>
      <c r="G214" s="35" t="s">
        <v>843</v>
      </c>
      <c r="H214">
        <v>14</v>
      </c>
      <c r="I214" t="s">
        <v>291</v>
      </c>
      <c r="J214">
        <v>35</v>
      </c>
      <c r="K214">
        <v>89.86</v>
      </c>
      <c r="L214">
        <v>0.67</v>
      </c>
      <c r="M214">
        <v>0.21</v>
      </c>
      <c r="N214">
        <v>6.9</v>
      </c>
      <c r="O214">
        <v>1.6</v>
      </c>
      <c r="P214">
        <v>0.03</v>
      </c>
      <c r="Q214">
        <v>0.01</v>
      </c>
      <c r="R214">
        <v>0.3</v>
      </c>
      <c r="W214">
        <v>40.22</v>
      </c>
      <c r="X214">
        <v>0</v>
      </c>
      <c r="Y214">
        <v>0.19</v>
      </c>
      <c r="AA214">
        <v>0</v>
      </c>
      <c r="AB214">
        <v>1.83</v>
      </c>
      <c r="AD214">
        <v>22.1</v>
      </c>
      <c r="AI214">
        <v>9.5</v>
      </c>
      <c r="AJ214">
        <v>0.57999999999999996</v>
      </c>
      <c r="AK214">
        <v>0.3</v>
      </c>
      <c r="AL214">
        <v>22.5</v>
      </c>
      <c r="AN214">
        <v>18</v>
      </c>
      <c r="AO214">
        <v>143</v>
      </c>
      <c r="AQ214">
        <v>0.39</v>
      </c>
    </row>
    <row r="215" spans="1:68">
      <c r="A215" s="30">
        <v>32025</v>
      </c>
      <c r="B215" s="31" t="s">
        <v>844</v>
      </c>
      <c r="C215" s="30" t="s">
        <v>845</v>
      </c>
      <c r="D215" s="35" t="s">
        <v>846</v>
      </c>
      <c r="E215" s="35" t="s">
        <v>76</v>
      </c>
      <c r="F215" s="35">
        <v>80036</v>
      </c>
      <c r="G215" s="35" t="s">
        <v>847</v>
      </c>
      <c r="H215">
        <v>14</v>
      </c>
      <c r="I215" t="s">
        <v>291</v>
      </c>
      <c r="J215">
        <v>67</v>
      </c>
      <c r="K215">
        <v>81.150000000000006</v>
      </c>
      <c r="L215">
        <v>0.66</v>
      </c>
      <c r="M215">
        <v>0.2</v>
      </c>
      <c r="N215">
        <v>13.94</v>
      </c>
      <c r="O215">
        <v>3.6</v>
      </c>
      <c r="P215">
        <v>0.03</v>
      </c>
      <c r="Q215">
        <v>0.14000000000000001</v>
      </c>
      <c r="R215">
        <v>0.13</v>
      </c>
      <c r="T215">
        <v>0.03</v>
      </c>
      <c r="U215">
        <v>8</v>
      </c>
      <c r="W215">
        <v>12.75</v>
      </c>
      <c r="X215">
        <v>0</v>
      </c>
      <c r="Y215">
        <v>1.8</v>
      </c>
      <c r="AA215">
        <v>0</v>
      </c>
      <c r="AB215">
        <v>81.38</v>
      </c>
      <c r="AC215">
        <v>0</v>
      </c>
      <c r="AD215">
        <v>253</v>
      </c>
      <c r="AI215">
        <v>23.83</v>
      </c>
      <c r="AJ215">
        <v>0.14000000000000001</v>
      </c>
      <c r="AK215">
        <v>0.18</v>
      </c>
      <c r="AL215">
        <v>14.67</v>
      </c>
      <c r="AN215">
        <v>17</v>
      </c>
      <c r="AO215">
        <v>180.33</v>
      </c>
      <c r="AQ215">
        <v>7.0000000000000007E-2</v>
      </c>
    </row>
    <row r="216" spans="1:68">
      <c r="A216" s="30">
        <v>32026</v>
      </c>
      <c r="B216" s="31" t="s">
        <v>848</v>
      </c>
      <c r="C216" s="30" t="s">
        <v>849</v>
      </c>
      <c r="D216" s="35" t="s">
        <v>829</v>
      </c>
      <c r="E216" s="35" t="s">
        <v>76</v>
      </c>
      <c r="F216" s="35">
        <v>80033</v>
      </c>
      <c r="G216" s="35" t="s">
        <v>850</v>
      </c>
      <c r="H216">
        <v>14</v>
      </c>
      <c r="I216" t="s">
        <v>291</v>
      </c>
      <c r="J216">
        <v>31</v>
      </c>
      <c r="K216">
        <v>91.95</v>
      </c>
      <c r="L216">
        <v>0.6</v>
      </c>
      <c r="M216">
        <v>0.1</v>
      </c>
      <c r="N216">
        <v>6.85</v>
      </c>
      <c r="O216">
        <v>0.3</v>
      </c>
      <c r="P216">
        <v>0.01</v>
      </c>
      <c r="Q216">
        <v>0.01</v>
      </c>
      <c r="R216">
        <v>0.2</v>
      </c>
      <c r="V216">
        <v>0</v>
      </c>
      <c r="W216">
        <v>4</v>
      </c>
      <c r="X216">
        <v>0</v>
      </c>
      <c r="AA216">
        <v>0</v>
      </c>
      <c r="AB216">
        <v>0</v>
      </c>
      <c r="AD216">
        <v>0</v>
      </c>
      <c r="AI216">
        <v>43</v>
      </c>
      <c r="AK216">
        <v>0.5</v>
      </c>
      <c r="AL216">
        <v>30</v>
      </c>
      <c r="AN216">
        <v>20</v>
      </c>
      <c r="AO216">
        <v>54</v>
      </c>
    </row>
    <row r="217" spans="1:68" ht="40.700000000000003">
      <c r="A217" s="30">
        <v>32804</v>
      </c>
      <c r="B217" s="31" t="s">
        <v>851</v>
      </c>
      <c r="C217" s="31" t="s">
        <v>852</v>
      </c>
      <c r="D217" s="38" t="s">
        <v>853</v>
      </c>
      <c r="E217" s="35" t="s">
        <v>76</v>
      </c>
      <c r="F217" s="35">
        <v>80043</v>
      </c>
      <c r="G217" s="35" t="s">
        <v>854</v>
      </c>
      <c r="H217">
        <v>14</v>
      </c>
      <c r="I217" t="s">
        <v>291</v>
      </c>
      <c r="J217">
        <v>111</v>
      </c>
      <c r="K217">
        <v>68.459999999999994</v>
      </c>
      <c r="L217">
        <v>2.92</v>
      </c>
      <c r="M217">
        <v>0.25</v>
      </c>
      <c r="N217">
        <v>20.86</v>
      </c>
      <c r="O217">
        <v>6.96</v>
      </c>
      <c r="P217">
        <v>0.03</v>
      </c>
      <c r="Q217">
        <v>0.02</v>
      </c>
      <c r="R217">
        <v>1.1000000000000001</v>
      </c>
      <c r="S217">
        <v>1.62</v>
      </c>
      <c r="W217">
        <v>11.26</v>
      </c>
      <c r="X217">
        <v>43.88</v>
      </c>
      <c r="AA217">
        <v>0</v>
      </c>
      <c r="AD217">
        <v>2.5</v>
      </c>
      <c r="AE217">
        <v>36.119999999999997</v>
      </c>
      <c r="AH217">
        <v>2.2000000000000002</v>
      </c>
      <c r="AI217">
        <v>41.42</v>
      </c>
      <c r="AJ217">
        <v>0.15</v>
      </c>
      <c r="AK217">
        <v>0.42</v>
      </c>
      <c r="AL217">
        <v>13.29</v>
      </c>
      <c r="AN217">
        <v>50</v>
      </c>
      <c r="AO217">
        <v>492.84</v>
      </c>
      <c r="AQ217">
        <v>0.26</v>
      </c>
      <c r="AR217">
        <v>0.19</v>
      </c>
      <c r="AS217">
        <v>0.11</v>
      </c>
      <c r="AT217">
        <v>0.15</v>
      </c>
      <c r="AV217">
        <v>66.28</v>
      </c>
      <c r="AW217">
        <v>86.53</v>
      </c>
      <c r="AX217">
        <v>154.12</v>
      </c>
      <c r="AY217">
        <v>127.82</v>
      </c>
      <c r="AZ217">
        <v>33.14</v>
      </c>
      <c r="BA217">
        <v>17.100000000000001</v>
      </c>
      <c r="BB217">
        <v>126.5</v>
      </c>
      <c r="BC217">
        <v>109.41</v>
      </c>
      <c r="BD217">
        <v>25.77</v>
      </c>
      <c r="BE217">
        <v>121.51</v>
      </c>
      <c r="BF217">
        <v>126.77</v>
      </c>
      <c r="BG217">
        <v>101.52</v>
      </c>
      <c r="BH217">
        <v>478.66</v>
      </c>
      <c r="BI217">
        <v>375.04</v>
      </c>
      <c r="BJ217">
        <v>101.52</v>
      </c>
      <c r="BK217">
        <v>138.34</v>
      </c>
      <c r="BL217">
        <v>142.02000000000001</v>
      </c>
      <c r="BM217">
        <v>63.91</v>
      </c>
      <c r="BO217">
        <v>121</v>
      </c>
    </row>
    <row r="218" spans="1:68">
      <c r="A218" s="30">
        <v>31008</v>
      </c>
      <c r="B218" s="31" t="s">
        <v>855</v>
      </c>
      <c r="C218" s="31" t="s">
        <v>856</v>
      </c>
      <c r="D218" s="35" t="s">
        <v>857</v>
      </c>
      <c r="E218" s="35" t="s">
        <v>76</v>
      </c>
      <c r="F218" s="35">
        <v>80028</v>
      </c>
      <c r="G218" s="35" t="s">
        <v>858</v>
      </c>
      <c r="H218">
        <v>14</v>
      </c>
      <c r="I218" t="s">
        <v>291</v>
      </c>
      <c r="J218">
        <v>103</v>
      </c>
      <c r="K218">
        <v>72.33</v>
      </c>
      <c r="L218">
        <v>1.23</v>
      </c>
      <c r="M218">
        <v>0.71</v>
      </c>
      <c r="N218">
        <v>21.12</v>
      </c>
      <c r="O218">
        <v>3.63</v>
      </c>
      <c r="P218">
        <v>0.03</v>
      </c>
      <c r="Q218">
        <v>0.23</v>
      </c>
      <c r="R218">
        <v>0.46</v>
      </c>
      <c r="W218">
        <v>65.58</v>
      </c>
      <c r="X218">
        <v>0</v>
      </c>
      <c r="AA218">
        <v>0</v>
      </c>
      <c r="AB218">
        <v>309.85000000000002</v>
      </c>
      <c r="AD218">
        <v>3720</v>
      </c>
      <c r="AI218">
        <v>56.84</v>
      </c>
      <c r="AJ218">
        <v>1.05</v>
      </c>
      <c r="AK218">
        <v>0.78</v>
      </c>
      <c r="AL218">
        <v>23.69</v>
      </c>
      <c r="AN218">
        <v>22.69</v>
      </c>
      <c r="AO218">
        <v>348.33</v>
      </c>
      <c r="AQ218">
        <v>1.68</v>
      </c>
      <c r="BO218">
        <v>26</v>
      </c>
    </row>
    <row r="219" spans="1:68">
      <c r="A219" s="30">
        <v>31009</v>
      </c>
      <c r="B219" s="31" t="s">
        <v>859</v>
      </c>
      <c r="C219" s="31" t="s">
        <v>860</v>
      </c>
      <c r="D219" s="35" t="s">
        <v>861</v>
      </c>
      <c r="E219" s="35" t="s">
        <v>76</v>
      </c>
      <c r="F219" s="35">
        <v>80027</v>
      </c>
      <c r="G219" s="35" t="s">
        <v>862</v>
      </c>
      <c r="H219">
        <v>14</v>
      </c>
      <c r="I219" t="s">
        <v>291</v>
      </c>
      <c r="J219">
        <v>17</v>
      </c>
      <c r="K219">
        <v>94.96</v>
      </c>
      <c r="L219">
        <v>0.31</v>
      </c>
      <c r="M219">
        <v>0.23</v>
      </c>
      <c r="N219">
        <v>3.14</v>
      </c>
      <c r="O219">
        <v>0.8</v>
      </c>
      <c r="P219">
        <v>0.11</v>
      </c>
      <c r="Q219">
        <v>0.08</v>
      </c>
      <c r="R219">
        <v>0.47</v>
      </c>
      <c r="T219">
        <v>0.06</v>
      </c>
      <c r="U219">
        <v>21.33</v>
      </c>
      <c r="V219">
        <v>0</v>
      </c>
      <c r="W219">
        <v>33.93</v>
      </c>
      <c r="X219">
        <v>0</v>
      </c>
      <c r="Y219">
        <v>7.0000000000000007E-2</v>
      </c>
      <c r="AA219">
        <v>0</v>
      </c>
      <c r="AB219">
        <v>104.74</v>
      </c>
      <c r="AC219">
        <v>0</v>
      </c>
      <c r="AD219">
        <v>1260</v>
      </c>
      <c r="AI219">
        <v>17.23</v>
      </c>
      <c r="AJ219">
        <v>0.06</v>
      </c>
      <c r="AK219">
        <v>0.25</v>
      </c>
      <c r="AL219">
        <v>21</v>
      </c>
      <c r="AN219">
        <v>14</v>
      </c>
      <c r="AO219">
        <v>211</v>
      </c>
      <c r="AQ219">
        <v>0.06</v>
      </c>
      <c r="BO219">
        <v>20</v>
      </c>
      <c r="BP219">
        <v>2</v>
      </c>
    </row>
    <row r="220" spans="1:68">
      <c r="A220" s="30">
        <v>31010</v>
      </c>
      <c r="B220" s="31" t="s">
        <v>863</v>
      </c>
      <c r="C220" s="31" t="s">
        <v>864</v>
      </c>
      <c r="D220" s="38" t="s">
        <v>865</v>
      </c>
      <c r="E220" s="53" t="s">
        <v>103</v>
      </c>
      <c r="F220" s="49" t="s">
        <v>866</v>
      </c>
      <c r="G220" s="35" t="s">
        <v>867</v>
      </c>
      <c r="H220">
        <v>14</v>
      </c>
      <c r="I220" t="s">
        <v>291</v>
      </c>
    </row>
    <row r="221" spans="1:68" s="58" customFormat="1">
      <c r="A221" s="55">
        <v>31011</v>
      </c>
      <c r="B221" s="56" t="s">
        <v>868</v>
      </c>
      <c r="C221" s="56" t="s">
        <v>869</v>
      </c>
      <c r="D221" s="57" t="s">
        <v>870</v>
      </c>
      <c r="E221" s="57"/>
      <c r="F221" s="57"/>
      <c r="G221" s="57"/>
      <c r="H221" s="58">
        <v>14</v>
      </c>
      <c r="I221" s="58" t="s">
        <v>291</v>
      </c>
    </row>
    <row r="222" spans="1:68">
      <c r="A222" s="30">
        <v>32028</v>
      </c>
      <c r="B222" s="31" t="s">
        <v>871</v>
      </c>
      <c r="C222" s="31" t="s">
        <v>872</v>
      </c>
      <c r="D222" s="38" t="s">
        <v>873</v>
      </c>
      <c r="E222" s="35" t="s">
        <v>76</v>
      </c>
      <c r="F222" s="35">
        <v>170014</v>
      </c>
      <c r="G222" s="35" t="s">
        <v>871</v>
      </c>
      <c r="H222">
        <v>14</v>
      </c>
      <c r="I222" t="s">
        <v>291</v>
      </c>
      <c r="J222">
        <v>24.62</v>
      </c>
      <c r="K222">
        <v>92.03</v>
      </c>
      <c r="L222">
        <v>0.97</v>
      </c>
      <c r="M222">
        <v>0.56000000000000005</v>
      </c>
      <c r="N222">
        <v>3.4</v>
      </c>
      <c r="O222">
        <v>2.5</v>
      </c>
      <c r="P222">
        <v>0.06</v>
      </c>
      <c r="Q222">
        <v>0.01</v>
      </c>
      <c r="R222">
        <v>0.48</v>
      </c>
      <c r="S222">
        <v>0.18</v>
      </c>
      <c r="T222">
        <v>0.09</v>
      </c>
      <c r="U222">
        <v>8.91</v>
      </c>
      <c r="W222">
        <v>50.2</v>
      </c>
      <c r="X222">
        <v>3.95</v>
      </c>
      <c r="Y222">
        <v>0.26</v>
      </c>
      <c r="AA222">
        <v>0</v>
      </c>
      <c r="AB222">
        <v>2</v>
      </c>
      <c r="AD222">
        <v>2.19</v>
      </c>
      <c r="AE222">
        <v>19.3</v>
      </c>
      <c r="AH222">
        <v>1.45</v>
      </c>
      <c r="AI222">
        <v>15.28</v>
      </c>
      <c r="AJ222">
        <v>0.7</v>
      </c>
      <c r="AK222">
        <v>0.36</v>
      </c>
      <c r="AL222">
        <v>15.53</v>
      </c>
      <c r="AN222">
        <v>26.31</v>
      </c>
      <c r="AO222">
        <v>140</v>
      </c>
      <c r="AQ222">
        <v>0.14000000000000001</v>
      </c>
      <c r="AR222">
        <v>0.66</v>
      </c>
      <c r="AS222">
        <v>0.78</v>
      </c>
      <c r="AT222">
        <v>0.28999999999999998</v>
      </c>
      <c r="AV222">
        <v>24.83</v>
      </c>
      <c r="AW222">
        <v>35.020000000000003</v>
      </c>
      <c r="AX222">
        <v>54.42</v>
      </c>
      <c r="AY222">
        <v>30.46</v>
      </c>
      <c r="AZ222">
        <v>8.34</v>
      </c>
      <c r="BA222">
        <v>6.5</v>
      </c>
      <c r="BB222">
        <v>24.25</v>
      </c>
      <c r="BC222">
        <v>41.9</v>
      </c>
      <c r="BD222">
        <v>9.02</v>
      </c>
      <c r="BE222">
        <v>43.75</v>
      </c>
      <c r="BF222">
        <v>48.31</v>
      </c>
      <c r="BG222">
        <v>43.75</v>
      </c>
      <c r="BH222">
        <v>191.09</v>
      </c>
      <c r="BI222">
        <v>154.04</v>
      </c>
      <c r="BJ222">
        <v>54.61</v>
      </c>
      <c r="BK222">
        <v>33.08</v>
      </c>
      <c r="BL222">
        <v>39.770000000000003</v>
      </c>
      <c r="BM222">
        <v>27.94</v>
      </c>
      <c r="BO222">
        <v>25.07</v>
      </c>
    </row>
    <row r="223" spans="1:68" s="58" customFormat="1">
      <c r="A223" s="55">
        <v>31012</v>
      </c>
      <c r="B223" s="56" t="s">
        <v>874</v>
      </c>
      <c r="C223" s="56" t="s">
        <v>875</v>
      </c>
      <c r="D223" s="57" t="s">
        <v>876</v>
      </c>
      <c r="E223" s="57"/>
      <c r="F223" s="57"/>
      <c r="G223" s="57"/>
      <c r="H223" s="58">
        <v>12</v>
      </c>
      <c r="I223" s="58" t="s">
        <v>713</v>
      </c>
    </row>
    <row r="224" spans="1:68">
      <c r="A224" s="30">
        <v>31013</v>
      </c>
      <c r="B224" s="31" t="s">
        <v>877</v>
      </c>
      <c r="C224" s="31" t="s">
        <v>878</v>
      </c>
      <c r="D224" s="35" t="s">
        <v>879</v>
      </c>
      <c r="E224" s="35" t="s">
        <v>82</v>
      </c>
      <c r="F224" s="35" t="s">
        <v>880</v>
      </c>
      <c r="G224" s="35" t="s">
        <v>881</v>
      </c>
      <c r="H224">
        <v>14</v>
      </c>
      <c r="I224" t="s">
        <v>291</v>
      </c>
      <c r="J224">
        <v>33.700000000000003</v>
      </c>
      <c r="K224">
        <v>86.04</v>
      </c>
      <c r="L224">
        <v>1.1499999999999999</v>
      </c>
      <c r="M224">
        <v>1.67</v>
      </c>
      <c r="N224">
        <v>2.87</v>
      </c>
      <c r="O224">
        <v>7.25</v>
      </c>
      <c r="P224">
        <v>0.01</v>
      </c>
      <c r="Q224">
        <v>0.02</v>
      </c>
      <c r="R224">
        <v>0.25</v>
      </c>
      <c r="S224">
        <v>0.67</v>
      </c>
      <c r="T224">
        <v>0.08</v>
      </c>
      <c r="U224">
        <v>8.7200000000000006</v>
      </c>
      <c r="W224">
        <v>135</v>
      </c>
      <c r="Y224">
        <v>0.04</v>
      </c>
      <c r="Z224">
        <v>2.5</v>
      </c>
      <c r="AA224" t="s">
        <v>85</v>
      </c>
      <c r="AC224" t="s">
        <v>85</v>
      </c>
      <c r="AD224">
        <v>15.64</v>
      </c>
      <c r="AE224">
        <v>6.12</v>
      </c>
      <c r="AF224" t="s">
        <v>85</v>
      </c>
      <c r="AG224" t="s">
        <v>85</v>
      </c>
      <c r="AH224">
        <v>1.1399999999999999</v>
      </c>
      <c r="AI224">
        <v>10.81</v>
      </c>
      <c r="AJ224">
        <v>0.71</v>
      </c>
      <c r="AK224">
        <v>0.87</v>
      </c>
      <c r="AL224">
        <v>24.45</v>
      </c>
      <c r="AM224">
        <v>0.24</v>
      </c>
      <c r="AN224">
        <v>32.619999999999997</v>
      </c>
      <c r="AO224">
        <v>351</v>
      </c>
      <c r="AP224">
        <v>1.57</v>
      </c>
      <c r="AQ224">
        <v>0.25</v>
      </c>
      <c r="AR224">
        <v>6.6799999999999998E-2</v>
      </c>
      <c r="AS224">
        <v>2.41E-2</v>
      </c>
      <c r="AT224">
        <v>5.2600000000000001E-2</v>
      </c>
      <c r="AU224" t="s">
        <v>85</v>
      </c>
      <c r="AV224">
        <v>3.08</v>
      </c>
      <c r="AW224">
        <v>2.86</v>
      </c>
      <c r="AX224">
        <v>4.8499999999999996</v>
      </c>
      <c r="AY224">
        <v>1.98</v>
      </c>
      <c r="AZ224">
        <v>1.25</v>
      </c>
      <c r="BA224">
        <v>1.18</v>
      </c>
      <c r="BB224">
        <v>3.86</v>
      </c>
      <c r="BC224">
        <v>3.66</v>
      </c>
      <c r="BD224">
        <v>0.85</v>
      </c>
      <c r="BE224">
        <v>4.62</v>
      </c>
      <c r="BF224">
        <v>5.62</v>
      </c>
      <c r="BG224">
        <v>4.21</v>
      </c>
      <c r="BH224">
        <v>15.38</v>
      </c>
      <c r="BI224">
        <v>15.62</v>
      </c>
      <c r="BJ224">
        <v>3.85</v>
      </c>
      <c r="BK224">
        <v>3.82</v>
      </c>
      <c r="BL224">
        <v>4.8499999999999996</v>
      </c>
      <c r="BM224">
        <v>3.12</v>
      </c>
      <c r="BN224">
        <v>10.65</v>
      </c>
      <c r="BO224">
        <v>4.92</v>
      </c>
      <c r="BP224">
        <v>5.88</v>
      </c>
    </row>
    <row r="225" spans="1:68">
      <c r="A225" s="30">
        <v>32029</v>
      </c>
      <c r="B225" s="31" t="s">
        <v>882</v>
      </c>
      <c r="C225" s="31" t="s">
        <v>883</v>
      </c>
      <c r="D225" s="37" t="s">
        <v>884</v>
      </c>
      <c r="E225" s="35" t="s">
        <v>76</v>
      </c>
      <c r="F225" s="35">
        <v>80003</v>
      </c>
      <c r="G225" s="35" t="s">
        <v>885</v>
      </c>
      <c r="H225">
        <v>14</v>
      </c>
      <c r="I225" t="s">
        <v>291</v>
      </c>
      <c r="J225">
        <v>62</v>
      </c>
      <c r="K225">
        <v>83</v>
      </c>
      <c r="L225">
        <v>0.6</v>
      </c>
      <c r="M225">
        <v>0.3</v>
      </c>
      <c r="N225">
        <v>12.3</v>
      </c>
      <c r="O225">
        <v>3.6</v>
      </c>
      <c r="P225">
        <v>0.03</v>
      </c>
      <c r="Q225">
        <v>0.03</v>
      </c>
      <c r="R225">
        <v>0.22</v>
      </c>
      <c r="S225">
        <v>0.05</v>
      </c>
      <c r="T225">
        <v>0.02</v>
      </c>
      <c r="U225">
        <v>8</v>
      </c>
      <c r="W225">
        <v>3.8</v>
      </c>
      <c r="X225">
        <v>0.22</v>
      </c>
      <c r="Y225">
        <v>0.12</v>
      </c>
      <c r="AA225">
        <v>0</v>
      </c>
      <c r="AB225">
        <v>0</v>
      </c>
      <c r="AC225">
        <v>0</v>
      </c>
      <c r="AD225">
        <v>13.16</v>
      </c>
      <c r="AE225">
        <v>14.7</v>
      </c>
      <c r="AG225">
        <v>1.44</v>
      </c>
      <c r="AH225">
        <v>2.77</v>
      </c>
      <c r="AI225">
        <v>6</v>
      </c>
      <c r="AJ225">
        <v>0.06</v>
      </c>
      <c r="AK225">
        <v>0.5</v>
      </c>
      <c r="AL225">
        <v>8</v>
      </c>
      <c r="AN225">
        <v>11</v>
      </c>
      <c r="AO225">
        <v>131.4</v>
      </c>
      <c r="AQ225">
        <v>0.08</v>
      </c>
      <c r="AR225">
        <v>0.08</v>
      </c>
      <c r="AS225">
        <v>0.02</v>
      </c>
      <c r="AT225">
        <v>0.1</v>
      </c>
      <c r="AV225">
        <v>5</v>
      </c>
      <c r="AW225">
        <v>13.14</v>
      </c>
      <c r="AX225">
        <v>17.82</v>
      </c>
      <c r="AY225">
        <v>8.17</v>
      </c>
      <c r="AZ225">
        <v>3.78</v>
      </c>
      <c r="BA225">
        <v>3.13</v>
      </c>
      <c r="BB225">
        <v>10.94</v>
      </c>
      <c r="BC225">
        <v>13.1</v>
      </c>
      <c r="BD225">
        <v>2.09</v>
      </c>
      <c r="BE225">
        <v>18.36</v>
      </c>
      <c r="BF225">
        <v>23.58</v>
      </c>
      <c r="BG225">
        <v>8.93</v>
      </c>
      <c r="BH225">
        <v>90.18</v>
      </c>
      <c r="BI225">
        <v>42.01</v>
      </c>
      <c r="BJ225">
        <v>15.52</v>
      </c>
      <c r="BK225">
        <v>13.1</v>
      </c>
      <c r="BL225">
        <v>16.059999999999999</v>
      </c>
      <c r="BM225">
        <v>4.9000000000000004</v>
      </c>
      <c r="BO225">
        <v>4.83</v>
      </c>
    </row>
    <row r="226" spans="1:68">
      <c r="A226" s="32"/>
      <c r="B226" s="33" t="s">
        <v>886</v>
      </c>
      <c r="C226" s="31" t="s">
        <v>887</v>
      </c>
      <c r="E226" s="35" t="s">
        <v>76</v>
      </c>
      <c r="F226" s="35">
        <v>150008</v>
      </c>
      <c r="G226" s="35" t="s">
        <v>888</v>
      </c>
      <c r="H226">
        <v>19</v>
      </c>
      <c r="I226" t="s">
        <v>138</v>
      </c>
      <c r="J226">
        <v>398</v>
      </c>
      <c r="K226">
        <v>0.4</v>
      </c>
      <c r="L226">
        <v>0</v>
      </c>
      <c r="M226">
        <v>0</v>
      </c>
      <c r="N226">
        <v>99.5</v>
      </c>
      <c r="O226">
        <v>0</v>
      </c>
      <c r="P226">
        <v>0</v>
      </c>
      <c r="Q226">
        <v>0</v>
      </c>
      <c r="R226">
        <v>0</v>
      </c>
      <c r="T226">
        <v>0</v>
      </c>
      <c r="U226">
        <v>0</v>
      </c>
      <c r="V226">
        <v>0</v>
      </c>
      <c r="W226">
        <v>0</v>
      </c>
      <c r="X226">
        <v>0</v>
      </c>
      <c r="Y226">
        <v>0</v>
      </c>
      <c r="AA226">
        <v>0</v>
      </c>
      <c r="AB226">
        <v>0</v>
      </c>
      <c r="AC226">
        <v>0</v>
      </c>
      <c r="AD226">
        <v>0</v>
      </c>
      <c r="AI226">
        <v>12</v>
      </c>
      <c r="AJ226">
        <v>0.12</v>
      </c>
      <c r="AK226">
        <v>0.16</v>
      </c>
      <c r="AL226">
        <v>2</v>
      </c>
      <c r="AN226">
        <v>1</v>
      </c>
      <c r="AO226">
        <v>5</v>
      </c>
      <c r="AQ226">
        <v>0.1</v>
      </c>
      <c r="AR226">
        <v>0.14000000000000001</v>
      </c>
    </row>
    <row r="227" spans="1:68">
      <c r="A227" s="32"/>
      <c r="B227" s="31" t="s">
        <v>889</v>
      </c>
      <c r="C227" s="31" t="s">
        <v>890</v>
      </c>
      <c r="D227" s="35" t="s">
        <v>70</v>
      </c>
      <c r="E227" s="52" t="s">
        <v>103</v>
      </c>
      <c r="F227" s="35">
        <v>16157</v>
      </c>
      <c r="G227" s="202" t="s">
        <v>891</v>
      </c>
      <c r="H227">
        <v>3</v>
      </c>
      <c r="I227" t="s">
        <v>72</v>
      </c>
    </row>
    <row r="228" spans="1:68">
      <c r="A228" s="30"/>
      <c r="B228" s="31" t="s">
        <v>892</v>
      </c>
      <c r="C228" s="31" t="s">
        <v>893</v>
      </c>
      <c r="E228" s="35" t="s">
        <v>76</v>
      </c>
      <c r="F228" s="35">
        <v>10029</v>
      </c>
      <c r="G228" s="35" t="s">
        <v>894</v>
      </c>
      <c r="H228">
        <v>1</v>
      </c>
      <c r="I228" t="s">
        <v>150</v>
      </c>
      <c r="J228">
        <v>347</v>
      </c>
      <c r="K228">
        <v>11.7</v>
      </c>
      <c r="L228">
        <v>8.91</v>
      </c>
      <c r="M228">
        <v>0.62</v>
      </c>
      <c r="N228">
        <v>74.87</v>
      </c>
      <c r="O228">
        <v>3.2</v>
      </c>
      <c r="P228">
        <v>0.19</v>
      </c>
      <c r="Q228">
        <v>0.05</v>
      </c>
      <c r="R228">
        <v>1.8</v>
      </c>
      <c r="S228">
        <v>0.52</v>
      </c>
      <c r="T228">
        <v>0.14000000000000001</v>
      </c>
      <c r="U228">
        <v>18</v>
      </c>
      <c r="V228">
        <v>0</v>
      </c>
      <c r="W228">
        <v>0</v>
      </c>
      <c r="X228">
        <v>4.05</v>
      </c>
      <c r="Y228">
        <v>0.11</v>
      </c>
      <c r="AA228">
        <v>0</v>
      </c>
      <c r="AB228">
        <v>0</v>
      </c>
      <c r="AC228">
        <v>0</v>
      </c>
      <c r="AD228">
        <v>1.68</v>
      </c>
      <c r="AI228">
        <v>22</v>
      </c>
      <c r="AJ228">
        <v>0.28999999999999998</v>
      </c>
      <c r="AK228">
        <v>2</v>
      </c>
      <c r="AL228">
        <v>42</v>
      </c>
      <c r="AN228">
        <v>92</v>
      </c>
      <c r="AO228">
        <v>140</v>
      </c>
      <c r="AQ228">
        <v>1.38</v>
      </c>
      <c r="AR228">
        <v>0.06</v>
      </c>
      <c r="AS228">
        <v>0.04</v>
      </c>
      <c r="AT228">
        <v>0.22</v>
      </c>
      <c r="AV228">
        <v>170.72</v>
      </c>
      <c r="AW228">
        <v>151.32</v>
      </c>
      <c r="AX228">
        <v>507.31</v>
      </c>
      <c r="AY228">
        <v>177.51</v>
      </c>
      <c r="AZ228">
        <v>113.49</v>
      </c>
      <c r="BA228">
        <v>177.51</v>
      </c>
      <c r="BB228">
        <v>475.3</v>
      </c>
      <c r="BC228">
        <v>219.22</v>
      </c>
      <c r="BD228">
        <v>103.79</v>
      </c>
      <c r="BE228">
        <v>343.38</v>
      </c>
      <c r="BF228">
        <v>348.23</v>
      </c>
      <c r="BG228">
        <v>289.06</v>
      </c>
      <c r="BH228">
        <v>522.83000000000004</v>
      </c>
      <c r="BI228">
        <v>3100.12</v>
      </c>
      <c r="BJ228">
        <v>440.38</v>
      </c>
      <c r="BK228">
        <v>959.33</v>
      </c>
      <c r="BL228">
        <v>517.01</v>
      </c>
      <c r="BM228">
        <v>211.46</v>
      </c>
      <c r="BO228">
        <v>168</v>
      </c>
    </row>
    <row r="229" spans="1:68">
      <c r="A229" s="30"/>
      <c r="B229" s="31" t="s">
        <v>895</v>
      </c>
      <c r="C229" s="31" t="s">
        <v>896</v>
      </c>
      <c r="D229" s="35" t="s">
        <v>897</v>
      </c>
      <c r="E229" s="35" t="s">
        <v>76</v>
      </c>
      <c r="F229" s="35">
        <v>150004</v>
      </c>
      <c r="G229" s="35" t="s">
        <v>898</v>
      </c>
      <c r="H229">
        <v>19</v>
      </c>
      <c r="I229" t="s">
        <v>138</v>
      </c>
      <c r="J229">
        <v>385</v>
      </c>
      <c r="K229">
        <v>3.4</v>
      </c>
      <c r="L229">
        <v>0.5</v>
      </c>
      <c r="M229">
        <v>0.1</v>
      </c>
      <c r="N229">
        <v>95.4</v>
      </c>
      <c r="O229">
        <v>0</v>
      </c>
      <c r="P229">
        <v>0.04</v>
      </c>
      <c r="Q229">
        <v>0.04</v>
      </c>
      <c r="R229">
        <v>0.02</v>
      </c>
      <c r="T229">
        <v>0.71</v>
      </c>
      <c r="U229">
        <v>14.4</v>
      </c>
      <c r="W229">
        <v>0</v>
      </c>
      <c r="X229">
        <v>0.47</v>
      </c>
      <c r="Y229">
        <v>0.04</v>
      </c>
      <c r="AA229">
        <v>0</v>
      </c>
      <c r="AB229">
        <v>0</v>
      </c>
      <c r="AI229">
        <v>92</v>
      </c>
      <c r="AJ229">
        <v>0.75</v>
      </c>
      <c r="AK229">
        <v>1.6</v>
      </c>
      <c r="AL229">
        <v>120</v>
      </c>
      <c r="AN229">
        <v>72</v>
      </c>
      <c r="AO229">
        <v>290</v>
      </c>
      <c r="AQ229">
        <v>0.1</v>
      </c>
      <c r="AR229">
        <v>7.0000000000000007E-2</v>
      </c>
      <c r="AS229">
        <v>0.02</v>
      </c>
      <c r="AT229">
        <v>0.03</v>
      </c>
      <c r="AV229">
        <v>30.34</v>
      </c>
      <c r="AW229">
        <v>42</v>
      </c>
      <c r="AX229">
        <v>54.95</v>
      </c>
      <c r="AY229">
        <v>50.51</v>
      </c>
      <c r="AZ229">
        <v>8.14</v>
      </c>
      <c r="BA229">
        <v>9.07</v>
      </c>
      <c r="BB229">
        <v>89.17</v>
      </c>
      <c r="BC229">
        <v>40.33</v>
      </c>
      <c r="BD229">
        <v>10.92</v>
      </c>
      <c r="BE229">
        <v>63.83</v>
      </c>
      <c r="BF229">
        <v>83.81</v>
      </c>
      <c r="BG229">
        <v>55.69</v>
      </c>
      <c r="BH229">
        <v>577.94000000000005</v>
      </c>
      <c r="BI229">
        <v>238.47</v>
      </c>
      <c r="BJ229">
        <v>50.32</v>
      </c>
      <c r="BK229">
        <v>31.64</v>
      </c>
      <c r="BL229">
        <v>61.79</v>
      </c>
      <c r="BM229">
        <v>18.5</v>
      </c>
    </row>
    <row r="230" spans="1:68">
      <c r="A230" s="30"/>
      <c r="B230" s="31" t="s">
        <v>899</v>
      </c>
      <c r="C230" s="31" t="s">
        <v>900</v>
      </c>
      <c r="D230" s="35" t="s">
        <v>901</v>
      </c>
      <c r="E230" s="35" t="s">
        <v>76</v>
      </c>
      <c r="F230" s="35">
        <v>10026</v>
      </c>
      <c r="G230" s="35" t="s">
        <v>902</v>
      </c>
      <c r="H230">
        <v>1</v>
      </c>
      <c r="I230" t="s">
        <v>150</v>
      </c>
      <c r="J230">
        <v>346</v>
      </c>
      <c r="K230">
        <v>12.76</v>
      </c>
      <c r="L230">
        <v>10.86</v>
      </c>
      <c r="M230">
        <v>1.35</v>
      </c>
      <c r="N230">
        <v>70.599999999999994</v>
      </c>
      <c r="O230">
        <v>3.9</v>
      </c>
      <c r="P230">
        <v>0.18</v>
      </c>
      <c r="Q230">
        <v>0.05</v>
      </c>
      <c r="R230">
        <v>2.16</v>
      </c>
      <c r="S230">
        <v>0.75</v>
      </c>
      <c r="T230">
        <v>0.09</v>
      </c>
      <c r="U230">
        <v>57</v>
      </c>
      <c r="W230">
        <v>0</v>
      </c>
      <c r="X230">
        <v>8.14</v>
      </c>
      <c r="Y230">
        <v>0.1</v>
      </c>
      <c r="AA230">
        <v>0</v>
      </c>
      <c r="AB230">
        <v>0</v>
      </c>
      <c r="AD230">
        <v>1.6</v>
      </c>
      <c r="AE230">
        <v>29.94</v>
      </c>
      <c r="AH230">
        <v>1.3</v>
      </c>
      <c r="AI230">
        <v>16.93</v>
      </c>
      <c r="AJ230">
        <v>0.25</v>
      </c>
      <c r="AK230">
        <v>1.07</v>
      </c>
      <c r="AL230">
        <v>39.5</v>
      </c>
      <c r="AN230">
        <v>104.7</v>
      </c>
      <c r="AO230">
        <v>157.66999999999999</v>
      </c>
      <c r="AQ230">
        <v>2.1800000000000002</v>
      </c>
      <c r="AR230">
        <v>0.2</v>
      </c>
      <c r="AS230">
        <v>0.2</v>
      </c>
      <c r="AT230">
        <v>0.6</v>
      </c>
      <c r="AU230">
        <v>0</v>
      </c>
      <c r="AV230">
        <v>270.83999999999997</v>
      </c>
      <c r="AW230">
        <v>390.33</v>
      </c>
      <c r="AX230">
        <v>763.6</v>
      </c>
      <c r="AY230">
        <v>289.05</v>
      </c>
      <c r="AZ230">
        <v>178.67</v>
      </c>
      <c r="BA230">
        <v>203.7</v>
      </c>
      <c r="BB230">
        <v>542.83000000000004</v>
      </c>
      <c r="BC230">
        <v>308.39999999999998</v>
      </c>
      <c r="BD230">
        <v>118.35</v>
      </c>
      <c r="BE230">
        <v>508.69</v>
      </c>
      <c r="BF230">
        <v>393.75</v>
      </c>
      <c r="BG230">
        <v>493.89</v>
      </c>
      <c r="BH230">
        <v>562.16999999999996</v>
      </c>
      <c r="BI230">
        <v>3533.49</v>
      </c>
      <c r="BJ230">
        <v>398.3</v>
      </c>
      <c r="BK230">
        <v>1079.96</v>
      </c>
      <c r="BL230">
        <v>505.27</v>
      </c>
      <c r="BM230">
        <v>341.4</v>
      </c>
      <c r="BO230">
        <v>367</v>
      </c>
    </row>
    <row r="231" spans="1:68" s="58" customFormat="1">
      <c r="A231" s="55">
        <v>90001</v>
      </c>
      <c r="B231" s="56" t="s">
        <v>903</v>
      </c>
      <c r="C231" s="56"/>
      <c r="D231" s="57"/>
      <c r="E231" s="57"/>
      <c r="F231" s="57"/>
      <c r="G231" s="57"/>
      <c r="H231" s="58">
        <v>21</v>
      </c>
      <c r="I231" s="58" t="s">
        <v>78</v>
      </c>
    </row>
    <row r="232" spans="1:68">
      <c r="A232" s="30">
        <v>90011</v>
      </c>
      <c r="B232" s="31" t="s">
        <v>904</v>
      </c>
      <c r="C232" s="31" t="s">
        <v>905</v>
      </c>
      <c r="E232" s="52" t="s">
        <v>122</v>
      </c>
      <c r="F232" s="35">
        <v>746775</v>
      </c>
      <c r="G232" s="202" t="s">
        <v>906</v>
      </c>
      <c r="H232">
        <v>21</v>
      </c>
      <c r="I232" t="s">
        <v>78</v>
      </c>
    </row>
    <row r="233" spans="1:68">
      <c r="A233" s="30"/>
      <c r="B233" s="31" t="s">
        <v>907</v>
      </c>
      <c r="C233" s="31" t="s">
        <v>908</v>
      </c>
      <c r="D233" s="35" t="s">
        <v>909</v>
      </c>
      <c r="E233" s="35" t="s">
        <v>76</v>
      </c>
      <c r="F233" s="35">
        <v>30016</v>
      </c>
      <c r="G233" s="35" t="s">
        <v>313</v>
      </c>
      <c r="H233">
        <v>13</v>
      </c>
      <c r="I233" s="47" t="s">
        <v>295</v>
      </c>
      <c r="J233">
        <v>10</v>
      </c>
      <c r="K233">
        <v>96.5</v>
      </c>
      <c r="L233">
        <v>0.4</v>
      </c>
      <c r="M233">
        <v>0.1</v>
      </c>
      <c r="N233">
        <v>1</v>
      </c>
      <c r="O233">
        <v>1.7</v>
      </c>
      <c r="P233">
        <v>0.06</v>
      </c>
      <c r="Q233">
        <v>0.01</v>
      </c>
      <c r="R233">
        <v>0.3</v>
      </c>
      <c r="S233">
        <v>0.37</v>
      </c>
      <c r="T233">
        <v>0.04</v>
      </c>
      <c r="U233">
        <v>16.25</v>
      </c>
      <c r="V233">
        <v>0</v>
      </c>
      <c r="W233">
        <v>31</v>
      </c>
      <c r="X233">
        <v>0.6</v>
      </c>
      <c r="Y233">
        <v>0.02</v>
      </c>
      <c r="AA233">
        <v>0</v>
      </c>
      <c r="AB233">
        <v>0.25</v>
      </c>
      <c r="AC233">
        <v>0</v>
      </c>
      <c r="AD233">
        <v>3</v>
      </c>
      <c r="AE233">
        <v>18.29</v>
      </c>
      <c r="AH233">
        <v>5.76</v>
      </c>
      <c r="AI233">
        <v>30</v>
      </c>
      <c r="AJ233">
        <v>0.02</v>
      </c>
      <c r="AK233">
        <v>0.8</v>
      </c>
      <c r="AL233">
        <v>17.420000000000002</v>
      </c>
      <c r="AN233">
        <v>14</v>
      </c>
      <c r="AO233">
        <v>139</v>
      </c>
      <c r="AQ233">
        <v>0.1</v>
      </c>
      <c r="AR233">
        <v>0.03</v>
      </c>
      <c r="AS233">
        <v>0.01</v>
      </c>
      <c r="AT233">
        <v>0.08</v>
      </c>
      <c r="AV233">
        <v>20.38</v>
      </c>
      <c r="AW233">
        <v>34.049999999999997</v>
      </c>
      <c r="AX233">
        <v>44.79</v>
      </c>
      <c r="AY233">
        <v>26.78</v>
      </c>
      <c r="AZ233">
        <v>12.32</v>
      </c>
      <c r="BA233">
        <v>6.56</v>
      </c>
      <c r="BB233">
        <v>25.44</v>
      </c>
      <c r="BC233">
        <v>28.84</v>
      </c>
      <c r="BD233">
        <v>5.69</v>
      </c>
      <c r="BE233">
        <v>40.369999999999997</v>
      </c>
      <c r="BF233">
        <v>44.71</v>
      </c>
      <c r="BG233">
        <v>61.86</v>
      </c>
      <c r="BH233">
        <v>84.29</v>
      </c>
      <c r="BI233">
        <v>141.81</v>
      </c>
      <c r="BJ233">
        <v>44.16</v>
      </c>
      <c r="BK233">
        <v>31.52</v>
      </c>
      <c r="BL233">
        <v>32.07</v>
      </c>
      <c r="BM233">
        <v>22.75</v>
      </c>
      <c r="BO233">
        <v>14.6</v>
      </c>
    </row>
    <row r="234" spans="1:68">
      <c r="A234" s="30"/>
      <c r="B234" s="31" t="s">
        <v>910</v>
      </c>
      <c r="C234" s="31" t="s">
        <v>911</v>
      </c>
      <c r="D234" s="35" t="s">
        <v>70</v>
      </c>
      <c r="E234" s="66" t="s">
        <v>156</v>
      </c>
      <c r="F234">
        <v>46</v>
      </c>
      <c r="G234" t="s">
        <v>912</v>
      </c>
      <c r="H234">
        <v>3</v>
      </c>
      <c r="I234" t="s">
        <v>72</v>
      </c>
      <c r="J234">
        <v>349.9</v>
      </c>
      <c r="K234">
        <v>10.6</v>
      </c>
      <c r="L234">
        <v>20.6</v>
      </c>
      <c r="M234">
        <v>3.5</v>
      </c>
      <c r="N234">
        <v>59</v>
      </c>
      <c r="O234">
        <v>3.5</v>
      </c>
      <c r="AI234">
        <v>59.2</v>
      </c>
      <c r="AK234">
        <v>5.3</v>
      </c>
      <c r="AN234">
        <v>274</v>
      </c>
    </row>
    <row r="235" spans="1:68" s="58" customFormat="1">
      <c r="A235" s="55"/>
      <c r="B235" s="56" t="s">
        <v>913</v>
      </c>
      <c r="C235" s="56" t="s">
        <v>914</v>
      </c>
      <c r="D235" s="57" t="s">
        <v>915</v>
      </c>
      <c r="E235" s="57"/>
      <c r="F235" s="57"/>
      <c r="G235" s="57"/>
      <c r="H235" s="58">
        <v>4</v>
      </c>
      <c r="I235" s="58" t="s">
        <v>202</v>
      </c>
    </row>
    <row r="236" spans="1:68">
      <c r="A236" s="30"/>
      <c r="B236" s="31" t="s">
        <v>916</v>
      </c>
      <c r="C236" s="31" t="s">
        <v>917</v>
      </c>
      <c r="E236" s="52" t="s">
        <v>103</v>
      </c>
      <c r="F236" s="35">
        <v>19169</v>
      </c>
      <c r="G236" s="48" t="s">
        <v>918</v>
      </c>
      <c r="H236">
        <v>19</v>
      </c>
      <c r="I236" t="s">
        <v>138</v>
      </c>
    </row>
    <row r="237" spans="1:68">
      <c r="A237" s="30"/>
      <c r="B237" s="33" t="s">
        <v>919</v>
      </c>
      <c r="C237" s="31" t="s">
        <v>920</v>
      </c>
      <c r="D237" s="35" t="s">
        <v>921</v>
      </c>
      <c r="E237" s="35" t="s">
        <v>76</v>
      </c>
      <c r="F237" s="35" t="s">
        <v>922</v>
      </c>
      <c r="G237" s="35" t="s">
        <v>923</v>
      </c>
      <c r="H237">
        <v>2</v>
      </c>
      <c r="I237" t="s">
        <v>197</v>
      </c>
      <c r="J237">
        <v>97</v>
      </c>
      <c r="K237">
        <v>73.7</v>
      </c>
      <c r="L237">
        <v>0.9</v>
      </c>
      <c r="M237">
        <v>0.3</v>
      </c>
      <c r="N237">
        <v>21.11</v>
      </c>
      <c r="O237">
        <v>3</v>
      </c>
      <c r="P237">
        <v>0.08</v>
      </c>
      <c r="Q237">
        <v>0.06</v>
      </c>
      <c r="R237">
        <v>0.5</v>
      </c>
      <c r="S237">
        <v>0.73</v>
      </c>
      <c r="T237">
        <v>0.21</v>
      </c>
      <c r="U237">
        <v>11</v>
      </c>
      <c r="V237">
        <v>0</v>
      </c>
      <c r="W237">
        <v>23</v>
      </c>
      <c r="X237">
        <v>1.45</v>
      </c>
      <c r="Y237">
        <v>0.26</v>
      </c>
      <c r="AA237">
        <v>0</v>
      </c>
      <c r="AB237">
        <v>719.38</v>
      </c>
      <c r="AC237">
        <v>7</v>
      </c>
      <c r="AD237">
        <v>8630</v>
      </c>
      <c r="AI237">
        <v>30</v>
      </c>
      <c r="AJ237">
        <v>0.15</v>
      </c>
      <c r="AK237">
        <v>0.61</v>
      </c>
      <c r="AL237">
        <v>25</v>
      </c>
      <c r="AN237">
        <v>38</v>
      </c>
      <c r="AO237">
        <v>214</v>
      </c>
      <c r="AQ237">
        <v>0.3</v>
      </c>
      <c r="BO237">
        <v>58.86</v>
      </c>
    </row>
    <row r="238" spans="1:68">
      <c r="A238" s="30"/>
      <c r="B238" s="31" t="s">
        <v>924</v>
      </c>
      <c r="C238" s="31" t="s">
        <v>925</v>
      </c>
      <c r="E238" s="35" t="s">
        <v>76</v>
      </c>
      <c r="F238" s="35">
        <v>100004</v>
      </c>
      <c r="G238" s="35" t="s">
        <v>926</v>
      </c>
      <c r="H238">
        <v>7</v>
      </c>
      <c r="I238" t="s">
        <v>606</v>
      </c>
      <c r="J238">
        <v>126</v>
      </c>
      <c r="K238">
        <v>74.98</v>
      </c>
      <c r="L238">
        <v>20.28</v>
      </c>
      <c r="M238">
        <v>5</v>
      </c>
      <c r="N238">
        <v>0</v>
      </c>
      <c r="O238">
        <v>0</v>
      </c>
      <c r="P238">
        <v>0.04</v>
      </c>
      <c r="Q238">
        <v>0.16</v>
      </c>
      <c r="R238">
        <v>5.49</v>
      </c>
      <c r="S238">
        <v>0.03</v>
      </c>
      <c r="T238">
        <v>0.39</v>
      </c>
      <c r="U238">
        <v>5</v>
      </c>
      <c r="V238">
        <v>1.9</v>
      </c>
      <c r="W238">
        <v>0</v>
      </c>
      <c r="X238">
        <v>0.1</v>
      </c>
      <c r="Y238">
        <v>0.28000000000000003</v>
      </c>
      <c r="AA238">
        <v>2.4300000000000002</v>
      </c>
      <c r="AC238">
        <v>0</v>
      </c>
      <c r="AD238">
        <v>0</v>
      </c>
      <c r="AI238">
        <v>9</v>
      </c>
      <c r="AJ238">
        <v>0.08</v>
      </c>
      <c r="AK238">
        <v>2.38</v>
      </c>
      <c r="AL238">
        <v>22</v>
      </c>
      <c r="AN238">
        <v>198</v>
      </c>
      <c r="AO238">
        <v>346</v>
      </c>
      <c r="AQ238">
        <v>5.09</v>
      </c>
      <c r="AR238">
        <v>3.03</v>
      </c>
      <c r="AS238">
        <v>2.68</v>
      </c>
      <c r="AT238">
        <v>0.44</v>
      </c>
      <c r="AU238">
        <v>45.97</v>
      </c>
    </row>
    <row r="239" spans="1:68">
      <c r="A239" s="30"/>
      <c r="B239" s="31" t="s">
        <v>927</v>
      </c>
      <c r="C239" s="31" t="s">
        <v>928</v>
      </c>
      <c r="D239" s="35" t="s">
        <v>929</v>
      </c>
      <c r="E239" s="35" t="s">
        <v>76</v>
      </c>
      <c r="F239" s="35">
        <v>10033</v>
      </c>
      <c r="G239" s="35" t="s">
        <v>930</v>
      </c>
      <c r="H239">
        <v>1</v>
      </c>
      <c r="I239" t="s">
        <v>150</v>
      </c>
      <c r="J239">
        <v>344</v>
      </c>
      <c r="K239">
        <v>10.02</v>
      </c>
      <c r="L239">
        <v>11.25</v>
      </c>
      <c r="M239">
        <v>2.89</v>
      </c>
      <c r="N239">
        <v>62.04</v>
      </c>
      <c r="O239">
        <v>12.2</v>
      </c>
      <c r="P239">
        <v>0.49</v>
      </c>
      <c r="Q239">
        <v>0.12</v>
      </c>
      <c r="R239">
        <v>5.46</v>
      </c>
      <c r="S239">
        <v>1.08</v>
      </c>
      <c r="T239">
        <v>0.3</v>
      </c>
      <c r="U239">
        <v>38</v>
      </c>
      <c r="W239">
        <v>0</v>
      </c>
      <c r="X239">
        <v>17.239999999999998</v>
      </c>
      <c r="Y239">
        <v>1.9</v>
      </c>
      <c r="AA239">
        <v>0</v>
      </c>
      <c r="AB239">
        <v>0.42</v>
      </c>
      <c r="AC239">
        <v>0</v>
      </c>
      <c r="AD239">
        <v>5</v>
      </c>
      <c r="AI239">
        <v>41</v>
      </c>
      <c r="AJ239">
        <v>0.7</v>
      </c>
      <c r="AK239">
        <v>4.9000000000000004</v>
      </c>
      <c r="AL239">
        <v>142.4</v>
      </c>
      <c r="AN239">
        <v>315.77</v>
      </c>
      <c r="AO239">
        <v>293.06</v>
      </c>
      <c r="AQ239">
        <v>2.79</v>
      </c>
      <c r="AR239">
        <v>0.19</v>
      </c>
      <c r="AS239">
        <v>0.14000000000000001</v>
      </c>
      <c r="AT239">
        <v>0.65</v>
      </c>
      <c r="AV239">
        <v>280.64</v>
      </c>
      <c r="AW239">
        <v>405.6</v>
      </c>
      <c r="AX239">
        <v>721.18</v>
      </c>
      <c r="AY239">
        <v>331.47</v>
      </c>
      <c r="AZ239">
        <v>185.33</v>
      </c>
      <c r="BA239">
        <v>248.87</v>
      </c>
      <c r="BB239">
        <v>503.03</v>
      </c>
      <c r="BC239">
        <v>318.76</v>
      </c>
      <c r="BD239">
        <v>148.26</v>
      </c>
      <c r="BE239">
        <v>541.15</v>
      </c>
      <c r="BF239">
        <v>385.48</v>
      </c>
      <c r="BG239">
        <v>543.27</v>
      </c>
      <c r="BH239">
        <v>576.1</v>
      </c>
      <c r="BI239">
        <v>2865.65</v>
      </c>
      <c r="BJ239">
        <v>443.72</v>
      </c>
      <c r="BK239">
        <v>1074.8900000000001</v>
      </c>
      <c r="BL239">
        <v>508.32</v>
      </c>
      <c r="BM239">
        <v>330.41</v>
      </c>
      <c r="BO239">
        <v>638</v>
      </c>
      <c r="BP239">
        <v>8</v>
      </c>
    </row>
    <row r="240" spans="1:68">
      <c r="A240" s="30"/>
      <c r="B240" s="33" t="s">
        <v>931</v>
      </c>
      <c r="C240" s="31" t="s">
        <v>932</v>
      </c>
      <c r="D240" s="35" t="s">
        <v>933</v>
      </c>
      <c r="E240" s="35" t="s">
        <v>76</v>
      </c>
      <c r="F240" s="35">
        <v>10001</v>
      </c>
      <c r="G240" s="35" t="s">
        <v>934</v>
      </c>
      <c r="H240">
        <v>1</v>
      </c>
      <c r="I240" t="s">
        <v>150</v>
      </c>
      <c r="J240">
        <v>324</v>
      </c>
      <c r="K240">
        <v>11.72</v>
      </c>
      <c r="L240">
        <v>10.85</v>
      </c>
      <c r="M240">
        <v>2.23</v>
      </c>
      <c r="N240">
        <v>56.37</v>
      </c>
      <c r="O240">
        <v>17.3</v>
      </c>
      <c r="P240">
        <v>0.47</v>
      </c>
      <c r="Q240">
        <v>0.2</v>
      </c>
      <c r="R240">
        <v>5.2</v>
      </c>
      <c r="S240">
        <v>0.14000000000000001</v>
      </c>
      <c r="T240">
        <v>0.32</v>
      </c>
      <c r="U240">
        <v>34</v>
      </c>
      <c r="V240">
        <v>0</v>
      </c>
      <c r="W240">
        <v>0</v>
      </c>
      <c r="X240">
        <v>0</v>
      </c>
      <c r="Y240">
        <v>0.9</v>
      </c>
      <c r="AA240">
        <v>0</v>
      </c>
      <c r="AB240">
        <v>1.08</v>
      </c>
      <c r="AC240">
        <v>0</v>
      </c>
      <c r="AD240">
        <v>13</v>
      </c>
      <c r="AE240">
        <v>5.39</v>
      </c>
      <c r="AH240">
        <v>1.9</v>
      </c>
      <c r="AI240">
        <v>26</v>
      </c>
      <c r="AJ240">
        <v>0.5</v>
      </c>
      <c r="AK240">
        <v>5.45</v>
      </c>
      <c r="AL240">
        <v>133</v>
      </c>
      <c r="AN240">
        <v>264</v>
      </c>
      <c r="AO240">
        <v>452</v>
      </c>
      <c r="AQ240">
        <v>2.77</v>
      </c>
      <c r="AR240">
        <v>0.23</v>
      </c>
      <c r="AS240">
        <v>0.09</v>
      </c>
      <c r="AT240">
        <v>0.57999999999999996</v>
      </c>
      <c r="AV240">
        <v>283</v>
      </c>
      <c r="AW240">
        <v>484</v>
      </c>
      <c r="AX240">
        <v>873</v>
      </c>
      <c r="AY240">
        <v>413</v>
      </c>
      <c r="AZ240">
        <v>189</v>
      </c>
      <c r="BA240">
        <v>224</v>
      </c>
      <c r="BB240">
        <v>637</v>
      </c>
      <c r="BC240">
        <v>389</v>
      </c>
      <c r="BD240">
        <v>142</v>
      </c>
      <c r="BE240">
        <v>672</v>
      </c>
      <c r="BF240">
        <v>484</v>
      </c>
      <c r="BG240">
        <v>519</v>
      </c>
      <c r="BH240">
        <v>637</v>
      </c>
      <c r="BI240">
        <v>2831</v>
      </c>
      <c r="BJ240">
        <v>425</v>
      </c>
      <c r="BK240">
        <v>1415</v>
      </c>
      <c r="BL240">
        <v>566</v>
      </c>
      <c r="BM240">
        <v>318</v>
      </c>
      <c r="BO240">
        <v>386</v>
      </c>
      <c r="BP240">
        <v>2</v>
      </c>
    </row>
    <row r="241" spans="1:68">
      <c r="A241" s="30"/>
      <c r="B241" s="33" t="s">
        <v>935</v>
      </c>
      <c r="C241" s="31" t="s">
        <v>936</v>
      </c>
      <c r="D241" s="38"/>
      <c r="E241" s="35" t="s">
        <v>76</v>
      </c>
      <c r="F241" s="35">
        <v>150003</v>
      </c>
      <c r="G241" s="35" t="s">
        <v>935</v>
      </c>
      <c r="H241">
        <v>21</v>
      </c>
      <c r="I241" t="s">
        <v>78</v>
      </c>
      <c r="J241">
        <v>326</v>
      </c>
      <c r="K241">
        <v>18.149999999999999</v>
      </c>
      <c r="L241">
        <v>0.33</v>
      </c>
      <c r="M241">
        <v>0</v>
      </c>
      <c r="N241">
        <v>81.13</v>
      </c>
      <c r="O241">
        <v>0.2</v>
      </c>
      <c r="P241">
        <v>0</v>
      </c>
      <c r="Q241">
        <v>0.06</v>
      </c>
      <c r="R241">
        <v>0.14000000000000001</v>
      </c>
      <c r="T241">
        <v>0.16</v>
      </c>
      <c r="U241">
        <v>1</v>
      </c>
      <c r="V241">
        <v>0</v>
      </c>
      <c r="W241">
        <v>1.4</v>
      </c>
      <c r="X241">
        <v>0</v>
      </c>
      <c r="Y241">
        <v>0</v>
      </c>
      <c r="AA241">
        <v>0</v>
      </c>
      <c r="AB241">
        <v>0</v>
      </c>
      <c r="AC241">
        <v>0</v>
      </c>
      <c r="AD241">
        <v>0</v>
      </c>
      <c r="AI241">
        <v>5.33</v>
      </c>
      <c r="AJ241">
        <v>0.04</v>
      </c>
      <c r="AK241">
        <v>0.53</v>
      </c>
      <c r="AL241">
        <v>2.2999999999999998</v>
      </c>
      <c r="AN241">
        <v>9.4</v>
      </c>
      <c r="AO241">
        <v>51.33</v>
      </c>
      <c r="AQ241">
        <v>0.49</v>
      </c>
    </row>
    <row r="242" spans="1:68">
      <c r="A242" s="30"/>
      <c r="B242" s="31" t="s">
        <v>937</v>
      </c>
      <c r="C242" s="31" t="s">
        <v>938</v>
      </c>
      <c r="D242" s="35" t="s">
        <v>170</v>
      </c>
      <c r="E242" s="35" t="s">
        <v>76</v>
      </c>
      <c r="F242" s="35">
        <v>10005</v>
      </c>
      <c r="G242" s="35" t="s">
        <v>939</v>
      </c>
      <c r="H242">
        <v>1</v>
      </c>
      <c r="I242" t="s">
        <v>150</v>
      </c>
      <c r="J242">
        <v>344</v>
      </c>
      <c r="K242">
        <v>13.08</v>
      </c>
      <c r="L242">
        <v>9.94</v>
      </c>
      <c r="M242">
        <v>3.39</v>
      </c>
      <c r="N242">
        <v>64.69</v>
      </c>
      <c r="O242">
        <v>7.3</v>
      </c>
      <c r="P242">
        <v>0.39</v>
      </c>
      <c r="Q242">
        <v>0.11</v>
      </c>
      <c r="R242">
        <v>2</v>
      </c>
      <c r="S242">
        <v>0.34</v>
      </c>
      <c r="T242">
        <v>0.62</v>
      </c>
      <c r="U242">
        <v>20</v>
      </c>
      <c r="V242">
        <v>0</v>
      </c>
      <c r="W242">
        <v>0</v>
      </c>
      <c r="X242">
        <v>33.729999999999997</v>
      </c>
      <c r="Y242">
        <v>0.49</v>
      </c>
      <c r="AA242">
        <v>0</v>
      </c>
      <c r="AB242">
        <v>10.71</v>
      </c>
      <c r="AC242">
        <v>63</v>
      </c>
      <c r="AD242">
        <v>97</v>
      </c>
      <c r="AE242">
        <v>186</v>
      </c>
      <c r="AH242">
        <v>42.4</v>
      </c>
      <c r="AI242">
        <v>11.53</v>
      </c>
      <c r="AJ242">
        <v>0.43</v>
      </c>
      <c r="AK242">
        <v>2.86</v>
      </c>
      <c r="AL242">
        <v>142.79</v>
      </c>
      <c r="AN242">
        <v>329.08</v>
      </c>
      <c r="AO242">
        <v>248.4</v>
      </c>
      <c r="AQ242">
        <v>3.27</v>
      </c>
      <c r="AR242">
        <v>0.52</v>
      </c>
      <c r="AS242">
        <v>0.56000000000000005</v>
      </c>
      <c r="AT242">
        <v>1.54</v>
      </c>
      <c r="AU242">
        <v>0</v>
      </c>
      <c r="AV242">
        <v>303</v>
      </c>
      <c r="AW242">
        <v>356</v>
      </c>
      <c r="AX242">
        <v>1219</v>
      </c>
      <c r="AY242">
        <v>280</v>
      </c>
      <c r="AZ242">
        <v>208</v>
      </c>
      <c r="BA242">
        <v>179</v>
      </c>
      <c r="BB242">
        <v>489</v>
      </c>
      <c r="BC242">
        <v>373</v>
      </c>
      <c r="BD242">
        <v>71</v>
      </c>
      <c r="BE242">
        <v>503</v>
      </c>
      <c r="BF242">
        <v>745</v>
      </c>
      <c r="BG242">
        <v>496</v>
      </c>
      <c r="BH242">
        <v>691</v>
      </c>
      <c r="BI242">
        <v>1866</v>
      </c>
      <c r="BJ242">
        <v>407</v>
      </c>
      <c r="BK242">
        <v>867</v>
      </c>
      <c r="BL242">
        <v>472</v>
      </c>
      <c r="BM242">
        <v>405</v>
      </c>
      <c r="BO242">
        <v>646</v>
      </c>
      <c r="BP242">
        <v>6</v>
      </c>
    </row>
    <row r="243" spans="1:68" s="58" customFormat="1">
      <c r="A243" s="55"/>
      <c r="B243" s="63" t="s">
        <v>940</v>
      </c>
      <c r="C243" s="56" t="s">
        <v>941</v>
      </c>
      <c r="D243" s="57" t="s">
        <v>178</v>
      </c>
      <c r="E243" s="57"/>
      <c r="F243" s="57"/>
      <c r="G243" s="57"/>
      <c r="H243" s="58">
        <v>1</v>
      </c>
      <c r="I243" s="58" t="s">
        <v>150</v>
      </c>
    </row>
    <row r="244" spans="1:68" s="58" customFormat="1" ht="27.2">
      <c r="A244" s="55"/>
      <c r="B244" s="63" t="s">
        <v>942</v>
      </c>
      <c r="C244" s="56" t="s">
        <v>943</v>
      </c>
      <c r="D244" s="57" t="s">
        <v>944</v>
      </c>
      <c r="E244" s="57"/>
      <c r="F244" s="57"/>
      <c r="G244" s="57"/>
      <c r="H244" s="58">
        <v>10</v>
      </c>
      <c r="I244" s="58" t="s">
        <v>207</v>
      </c>
    </row>
    <row r="245" spans="1:68">
      <c r="A245" s="30"/>
      <c r="B245" s="33" t="s">
        <v>945</v>
      </c>
      <c r="C245" s="31" t="s">
        <v>946</v>
      </c>
      <c r="D245" s="35" t="s">
        <v>498</v>
      </c>
      <c r="E245" s="35" t="s">
        <v>76</v>
      </c>
      <c r="F245" s="35">
        <v>20010</v>
      </c>
      <c r="G245" s="35" t="s">
        <v>499</v>
      </c>
      <c r="H245">
        <v>3</v>
      </c>
      <c r="I245" t="s">
        <v>72</v>
      </c>
      <c r="J245">
        <v>327</v>
      </c>
      <c r="K245">
        <v>11.71</v>
      </c>
      <c r="L245">
        <v>22.12</v>
      </c>
      <c r="M245">
        <v>2.1</v>
      </c>
      <c r="N245">
        <v>48.3</v>
      </c>
      <c r="O245">
        <v>13</v>
      </c>
      <c r="P245">
        <v>0.47</v>
      </c>
      <c r="Q245">
        <v>0.13</v>
      </c>
      <c r="R245">
        <v>2.5</v>
      </c>
      <c r="S245">
        <v>1.26</v>
      </c>
      <c r="T245">
        <v>0.08</v>
      </c>
      <c r="U245">
        <v>33</v>
      </c>
      <c r="V245">
        <v>0</v>
      </c>
      <c r="X245">
        <v>0</v>
      </c>
      <c r="Y245">
        <v>1.04</v>
      </c>
      <c r="AA245">
        <v>0</v>
      </c>
      <c r="AB245">
        <v>3.21</v>
      </c>
      <c r="AC245">
        <v>13.13</v>
      </c>
      <c r="AD245">
        <v>32</v>
      </c>
      <c r="AI245">
        <v>75</v>
      </c>
      <c r="AJ245">
        <v>1.29</v>
      </c>
      <c r="AK245">
        <v>4.8</v>
      </c>
      <c r="AL245">
        <v>101.94</v>
      </c>
      <c r="AN245">
        <v>298</v>
      </c>
      <c r="AO245">
        <v>709</v>
      </c>
      <c r="AQ245">
        <v>3.49</v>
      </c>
      <c r="AR245">
        <v>0.24</v>
      </c>
      <c r="AS245">
        <v>0.4</v>
      </c>
      <c r="AT245">
        <v>0.87</v>
      </c>
      <c r="AV245">
        <v>490</v>
      </c>
      <c r="AW245">
        <v>920</v>
      </c>
      <c r="AX245">
        <v>1400</v>
      </c>
      <c r="AY245">
        <v>1500</v>
      </c>
      <c r="AZ245">
        <v>170</v>
      </c>
      <c r="BA245">
        <v>150</v>
      </c>
      <c r="BB245">
        <v>920</v>
      </c>
      <c r="BC245">
        <v>740</v>
      </c>
      <c r="BD245">
        <v>180</v>
      </c>
      <c r="BE245">
        <v>1200</v>
      </c>
      <c r="BF245">
        <v>920</v>
      </c>
      <c r="BG245">
        <v>2000</v>
      </c>
      <c r="BH245">
        <v>2500</v>
      </c>
      <c r="BI245">
        <v>3300</v>
      </c>
      <c r="BJ245">
        <v>850</v>
      </c>
      <c r="BK245">
        <v>880</v>
      </c>
      <c r="BL245">
        <v>1100</v>
      </c>
      <c r="BM245">
        <v>530</v>
      </c>
      <c r="BO245">
        <v>377</v>
      </c>
    </row>
    <row r="246" spans="1:68">
      <c r="A246" s="30">
        <v>63002</v>
      </c>
      <c r="B246" s="31" t="s">
        <v>947</v>
      </c>
      <c r="C246" s="31" t="s">
        <v>948</v>
      </c>
      <c r="D246" s="35" t="s">
        <v>949</v>
      </c>
      <c r="E246" s="35" t="s">
        <v>76</v>
      </c>
      <c r="F246" s="35">
        <v>170002</v>
      </c>
      <c r="G246" s="35" t="s">
        <v>950</v>
      </c>
      <c r="H246">
        <v>4</v>
      </c>
      <c r="I246" t="s">
        <v>202</v>
      </c>
      <c r="K246">
        <v>4.37</v>
      </c>
      <c r="L246">
        <v>18.41</v>
      </c>
      <c r="M246">
        <v>5849</v>
      </c>
      <c r="N246">
        <v>3.04</v>
      </c>
      <c r="O246">
        <v>13.06</v>
      </c>
      <c r="P246">
        <v>0.15</v>
      </c>
      <c r="Q246">
        <v>0.26</v>
      </c>
      <c r="R246">
        <v>3.71</v>
      </c>
      <c r="S246">
        <v>0.73</v>
      </c>
      <c r="T246">
        <v>0.09</v>
      </c>
      <c r="U246">
        <v>36.46</v>
      </c>
      <c r="V246">
        <v>0</v>
      </c>
      <c r="W246">
        <v>0.74</v>
      </c>
      <c r="X246">
        <v>1.61</v>
      </c>
      <c r="Y246">
        <v>25.86</v>
      </c>
      <c r="AE246">
        <v>5.03</v>
      </c>
      <c r="AH246">
        <v>1.79</v>
      </c>
      <c r="AI246">
        <v>228</v>
      </c>
      <c r="AJ246">
        <v>1.08</v>
      </c>
      <c r="AK246">
        <v>4.59</v>
      </c>
      <c r="AL246">
        <v>318</v>
      </c>
      <c r="AN246">
        <v>446</v>
      </c>
      <c r="AO246">
        <v>699</v>
      </c>
      <c r="AQ246">
        <v>3.5</v>
      </c>
      <c r="AR246">
        <v>4.3600000000000003</v>
      </c>
      <c r="AS246">
        <v>38.340000000000003</v>
      </c>
      <c r="AT246">
        <v>13.22</v>
      </c>
      <c r="AV246">
        <v>408.7</v>
      </c>
      <c r="AW246">
        <v>438.16</v>
      </c>
      <c r="AX246">
        <v>740.08</v>
      </c>
      <c r="AY246">
        <v>419.75</v>
      </c>
      <c r="AZ246">
        <v>228.28</v>
      </c>
      <c r="BA246">
        <v>154.63999999999999</v>
      </c>
      <c r="BB246">
        <v>1032.8</v>
      </c>
      <c r="BC246">
        <v>519.16</v>
      </c>
      <c r="BD246">
        <v>163.85</v>
      </c>
      <c r="BE246">
        <v>819.25</v>
      </c>
      <c r="BF246">
        <v>773.22</v>
      </c>
      <c r="BG246">
        <v>2026.94</v>
      </c>
      <c r="BH246">
        <v>2166.86</v>
      </c>
      <c r="BI246">
        <v>5151.12</v>
      </c>
      <c r="BJ246">
        <v>1111.96</v>
      </c>
      <c r="BK246">
        <v>741.92</v>
      </c>
      <c r="BL246">
        <v>786.11</v>
      </c>
      <c r="BM246">
        <v>622.26</v>
      </c>
      <c r="BO246">
        <v>964</v>
      </c>
    </row>
    <row r="247" spans="1:68">
      <c r="A247" s="30">
        <v>63003</v>
      </c>
      <c r="B247" s="31" t="s">
        <v>951</v>
      </c>
      <c r="C247" s="31" t="s">
        <v>952</v>
      </c>
      <c r="D247" s="35" t="s">
        <v>953</v>
      </c>
      <c r="E247" s="35" t="s">
        <v>76</v>
      </c>
      <c r="F247" s="35">
        <v>60002</v>
      </c>
      <c r="G247" s="35" t="s">
        <v>954</v>
      </c>
      <c r="H247">
        <v>4</v>
      </c>
      <c r="I247" t="s">
        <v>202</v>
      </c>
      <c r="J247">
        <v>595</v>
      </c>
      <c r="K247">
        <v>5.9</v>
      </c>
      <c r="L247">
        <v>17.98</v>
      </c>
      <c r="M247">
        <v>46.9</v>
      </c>
      <c r="N247">
        <v>23.52</v>
      </c>
      <c r="O247">
        <v>3.3</v>
      </c>
      <c r="P247">
        <v>0.63</v>
      </c>
      <c r="Q247">
        <v>0.19</v>
      </c>
      <c r="R247">
        <v>1.2</v>
      </c>
      <c r="S247">
        <v>1.4</v>
      </c>
      <c r="T247">
        <v>0.42</v>
      </c>
      <c r="U247">
        <v>25</v>
      </c>
      <c r="V247">
        <v>0</v>
      </c>
      <c r="W247">
        <v>0</v>
      </c>
      <c r="X247">
        <v>3.85</v>
      </c>
      <c r="Y247">
        <v>0.85</v>
      </c>
      <c r="AA247">
        <v>0.24</v>
      </c>
      <c r="AB247">
        <v>0.74</v>
      </c>
      <c r="AC247">
        <v>0</v>
      </c>
      <c r="AD247">
        <v>6</v>
      </c>
      <c r="AE247">
        <v>5.87</v>
      </c>
      <c r="AH247">
        <v>3.21</v>
      </c>
      <c r="AI247">
        <v>50</v>
      </c>
      <c r="AJ247">
        <v>2.2000000000000002</v>
      </c>
      <c r="AK247">
        <v>5</v>
      </c>
      <c r="AL247">
        <v>292</v>
      </c>
      <c r="AN247">
        <v>593</v>
      </c>
      <c r="AO247">
        <v>660</v>
      </c>
      <c r="AQ247">
        <v>5.78</v>
      </c>
      <c r="AR247">
        <v>7.82</v>
      </c>
      <c r="AS247">
        <v>27.91</v>
      </c>
      <c r="AT247">
        <v>7.48</v>
      </c>
      <c r="AV247">
        <v>426.31</v>
      </c>
      <c r="AW247">
        <v>724.91</v>
      </c>
      <c r="AX247">
        <v>1318.36</v>
      </c>
      <c r="AY247">
        <v>901.44</v>
      </c>
      <c r="AZ247">
        <v>259.16000000000003</v>
      </c>
      <c r="BA247">
        <v>249.77</v>
      </c>
      <c r="BB247">
        <v>914.59</v>
      </c>
      <c r="BC247">
        <v>585.94000000000005</v>
      </c>
      <c r="BD247">
        <v>197.19</v>
      </c>
      <c r="BE247">
        <v>606.59</v>
      </c>
      <c r="BF247">
        <v>1004.73</v>
      </c>
      <c r="BG247">
        <v>1831.05</v>
      </c>
      <c r="BH247">
        <v>1849.83</v>
      </c>
      <c r="BI247">
        <v>4274.33</v>
      </c>
      <c r="BJ247">
        <v>985.95</v>
      </c>
      <c r="BK247">
        <v>745.57</v>
      </c>
      <c r="BL247">
        <v>1200.04</v>
      </c>
      <c r="BM247">
        <v>527.72</v>
      </c>
      <c r="BO247">
        <v>929</v>
      </c>
      <c r="BP247">
        <v>318</v>
      </c>
    </row>
    <row r="248" spans="1:68">
      <c r="A248" s="30"/>
      <c r="B248" s="31" t="s">
        <v>955</v>
      </c>
      <c r="C248" s="31" t="s">
        <v>956</v>
      </c>
      <c r="D248" s="35" t="s">
        <v>957</v>
      </c>
      <c r="E248" s="35" t="s">
        <v>76</v>
      </c>
      <c r="F248" s="35">
        <v>10028</v>
      </c>
      <c r="G248" s="35" t="s">
        <v>958</v>
      </c>
      <c r="H248">
        <v>19</v>
      </c>
      <c r="I248" t="s">
        <v>138</v>
      </c>
      <c r="J248">
        <v>147</v>
      </c>
      <c r="K248">
        <v>62.9</v>
      </c>
      <c r="L248">
        <v>3.47</v>
      </c>
      <c r="M248">
        <v>1.4</v>
      </c>
      <c r="N248">
        <v>28.68</v>
      </c>
      <c r="O248">
        <v>2.8</v>
      </c>
      <c r="P248">
        <v>0.12</v>
      </c>
      <c r="Q248">
        <v>0.09</v>
      </c>
      <c r="R248">
        <v>1.45</v>
      </c>
      <c r="S248">
        <v>0.32</v>
      </c>
      <c r="T248">
        <v>0.16</v>
      </c>
      <c r="U248">
        <v>28.5</v>
      </c>
      <c r="V248">
        <v>0</v>
      </c>
      <c r="W248">
        <v>5.93</v>
      </c>
      <c r="X248">
        <v>0</v>
      </c>
      <c r="Y248">
        <v>0.6</v>
      </c>
      <c r="AA248">
        <v>0</v>
      </c>
      <c r="AB248">
        <v>4.29</v>
      </c>
      <c r="AD248">
        <v>11</v>
      </c>
      <c r="AE248">
        <v>109</v>
      </c>
      <c r="AH248" t="s">
        <v>959</v>
      </c>
      <c r="AI248">
        <v>5</v>
      </c>
      <c r="AJ248">
        <v>0.13</v>
      </c>
      <c r="AK248">
        <v>0.7</v>
      </c>
      <c r="AL248">
        <v>30</v>
      </c>
      <c r="AN248">
        <v>111.5</v>
      </c>
      <c r="AO248">
        <v>228</v>
      </c>
      <c r="AQ248">
        <v>0.8</v>
      </c>
      <c r="AR248">
        <v>0.23</v>
      </c>
      <c r="AS248">
        <v>0.39</v>
      </c>
      <c r="AT248">
        <v>0.7</v>
      </c>
      <c r="AU248">
        <v>0</v>
      </c>
      <c r="AV248">
        <v>100</v>
      </c>
      <c r="AW248">
        <v>140</v>
      </c>
      <c r="AX248">
        <v>470</v>
      </c>
      <c r="AY248">
        <v>100</v>
      </c>
      <c r="AZ248">
        <v>71</v>
      </c>
      <c r="BA248">
        <v>59</v>
      </c>
      <c r="BB248">
        <v>190</v>
      </c>
      <c r="BC248">
        <v>140</v>
      </c>
      <c r="BD248">
        <v>24</v>
      </c>
      <c r="BE248">
        <v>180</v>
      </c>
      <c r="BF248">
        <v>280</v>
      </c>
      <c r="BG248">
        <v>150</v>
      </c>
      <c r="BH248">
        <v>240</v>
      </c>
      <c r="BI248">
        <v>760</v>
      </c>
      <c r="BJ248">
        <v>140</v>
      </c>
      <c r="BK248">
        <v>330</v>
      </c>
      <c r="BL248">
        <v>190</v>
      </c>
      <c r="BM248">
        <v>140</v>
      </c>
      <c r="BO248">
        <v>221</v>
      </c>
    </row>
    <row r="249" spans="1:68">
      <c r="A249" s="30"/>
      <c r="B249" s="30" t="s">
        <v>960</v>
      </c>
      <c r="C249" s="31" t="s">
        <v>961</v>
      </c>
      <c r="D249" s="35" t="s">
        <v>962</v>
      </c>
      <c r="E249" s="35" t="s">
        <v>76</v>
      </c>
      <c r="F249" s="35">
        <v>70005</v>
      </c>
      <c r="G249" s="35" t="s">
        <v>963</v>
      </c>
      <c r="H249">
        <v>21</v>
      </c>
      <c r="I249" t="s">
        <v>78</v>
      </c>
      <c r="J249">
        <v>267</v>
      </c>
      <c r="K249">
        <v>25.2</v>
      </c>
      <c r="L249">
        <v>5.2</v>
      </c>
      <c r="M249">
        <v>8.9</v>
      </c>
      <c r="N249">
        <v>27.37</v>
      </c>
      <c r="O249">
        <v>28.13</v>
      </c>
      <c r="P249">
        <v>0.08</v>
      </c>
      <c r="Q249">
        <v>0.13</v>
      </c>
      <c r="R249">
        <v>1.29</v>
      </c>
      <c r="S249">
        <v>0.36</v>
      </c>
      <c r="T249">
        <v>0.32</v>
      </c>
      <c r="U249">
        <v>20.75</v>
      </c>
      <c r="V249">
        <v>0</v>
      </c>
      <c r="W249">
        <v>0</v>
      </c>
      <c r="X249">
        <v>45.07</v>
      </c>
      <c r="Y249">
        <v>6.04</v>
      </c>
      <c r="AA249">
        <v>0</v>
      </c>
      <c r="AB249">
        <v>5.51</v>
      </c>
      <c r="AC249">
        <v>8.5500000000000007</v>
      </c>
      <c r="AD249">
        <v>30.81</v>
      </c>
      <c r="AE249">
        <v>16.899999999999999</v>
      </c>
      <c r="AH249">
        <v>1.55</v>
      </c>
      <c r="AI249">
        <v>740</v>
      </c>
      <c r="AJ249">
        <v>0.31</v>
      </c>
      <c r="AK249">
        <v>4.9000000000000004</v>
      </c>
      <c r="AL249">
        <v>214.95</v>
      </c>
      <c r="AN249">
        <v>86.31</v>
      </c>
      <c r="AO249">
        <v>846.51</v>
      </c>
      <c r="AQ249">
        <v>1.93</v>
      </c>
      <c r="AR249">
        <v>2.68</v>
      </c>
      <c r="AS249">
        <v>0.61</v>
      </c>
      <c r="AT249">
        <v>3.43</v>
      </c>
      <c r="AV249">
        <v>133.61000000000001</v>
      </c>
      <c r="AW249">
        <v>124.82</v>
      </c>
      <c r="AX249">
        <v>341.05</v>
      </c>
      <c r="AY249">
        <v>386.76</v>
      </c>
      <c r="AZ249">
        <v>73.84</v>
      </c>
      <c r="BA249">
        <v>47.47</v>
      </c>
      <c r="BB249">
        <v>240.26</v>
      </c>
      <c r="BC249">
        <v>175.21</v>
      </c>
      <c r="BD249">
        <v>52.74</v>
      </c>
      <c r="BE249">
        <v>252.57</v>
      </c>
      <c r="BF249">
        <v>252.57</v>
      </c>
      <c r="BG249">
        <v>373.87</v>
      </c>
      <c r="BH249">
        <v>645.19000000000005</v>
      </c>
      <c r="BI249">
        <v>1082.3399999999999</v>
      </c>
      <c r="BJ249">
        <v>268.39</v>
      </c>
      <c r="BK249">
        <v>228.54</v>
      </c>
      <c r="BL249">
        <v>311.75</v>
      </c>
      <c r="BM249">
        <v>150.6</v>
      </c>
      <c r="BO249">
        <v>349</v>
      </c>
    </row>
    <row r="250" spans="1:68">
      <c r="A250" s="30"/>
      <c r="B250" s="31" t="s">
        <v>964</v>
      </c>
      <c r="C250" s="31" t="s">
        <v>965</v>
      </c>
      <c r="D250" s="35" t="s">
        <v>966</v>
      </c>
      <c r="E250" s="35" t="s">
        <v>76</v>
      </c>
      <c r="F250" s="35">
        <v>70018</v>
      </c>
      <c r="G250" s="35" t="s">
        <v>967</v>
      </c>
      <c r="H250">
        <v>21</v>
      </c>
      <c r="I250" t="s">
        <v>78</v>
      </c>
      <c r="J250">
        <v>302</v>
      </c>
      <c r="K250">
        <v>11.67</v>
      </c>
      <c r="L250">
        <v>11.84</v>
      </c>
      <c r="M250">
        <v>3.29</v>
      </c>
      <c r="N250">
        <v>43.51</v>
      </c>
      <c r="O250">
        <v>25.3</v>
      </c>
      <c r="P250">
        <v>0.11</v>
      </c>
      <c r="Q250">
        <v>0.2</v>
      </c>
      <c r="R250">
        <v>1.1299999999999999</v>
      </c>
      <c r="S250">
        <v>0.3</v>
      </c>
      <c r="T250">
        <v>0.34</v>
      </c>
      <c r="U250">
        <v>13.5</v>
      </c>
      <c r="V250">
        <v>0</v>
      </c>
      <c r="W250">
        <v>0</v>
      </c>
      <c r="X250">
        <v>25.54</v>
      </c>
      <c r="Y250">
        <v>0.72</v>
      </c>
      <c r="AA250">
        <v>0</v>
      </c>
      <c r="AB250">
        <v>27.38</v>
      </c>
      <c r="AC250">
        <v>12</v>
      </c>
      <c r="AD250">
        <v>310</v>
      </c>
      <c r="AE250">
        <v>650</v>
      </c>
      <c r="AG250">
        <v>165</v>
      </c>
      <c r="AH250">
        <v>158</v>
      </c>
      <c r="AI250">
        <v>442.5</v>
      </c>
      <c r="AJ250">
        <v>1.2</v>
      </c>
      <c r="AK250">
        <v>16.649999999999999</v>
      </c>
      <c r="AL250">
        <v>185</v>
      </c>
      <c r="AN250">
        <v>167</v>
      </c>
      <c r="AO250">
        <v>1280</v>
      </c>
      <c r="AQ250">
        <v>1.34</v>
      </c>
      <c r="AR250">
        <v>0.65</v>
      </c>
      <c r="AS250">
        <v>0.46</v>
      </c>
      <c r="AT250">
        <v>1.08</v>
      </c>
      <c r="AV250">
        <v>129.54</v>
      </c>
      <c r="AW250">
        <v>389.62</v>
      </c>
      <c r="AX250">
        <v>834.9</v>
      </c>
      <c r="AY250">
        <v>225.68</v>
      </c>
      <c r="AZ250">
        <v>60.72</v>
      </c>
      <c r="BA250">
        <v>127.51</v>
      </c>
      <c r="BB250">
        <v>521.17999999999995</v>
      </c>
      <c r="BC250">
        <v>266.16000000000003</v>
      </c>
      <c r="BD250">
        <v>55.66</v>
      </c>
      <c r="BE250">
        <v>366.34</v>
      </c>
      <c r="BF250">
        <v>551.54</v>
      </c>
      <c r="BG250">
        <v>233.77</v>
      </c>
      <c r="BH250">
        <v>1225.53</v>
      </c>
      <c r="BI250">
        <v>1615.15</v>
      </c>
      <c r="BJ250">
        <v>477.66</v>
      </c>
      <c r="BK250">
        <v>665.9</v>
      </c>
      <c r="BL250">
        <v>420.99</v>
      </c>
      <c r="BM250">
        <v>455.4</v>
      </c>
      <c r="BO250">
        <v>383</v>
      </c>
    </row>
    <row r="251" spans="1:68">
      <c r="A251" s="30">
        <v>76002</v>
      </c>
      <c r="B251" s="30" t="s">
        <v>968</v>
      </c>
      <c r="C251" s="31" t="s">
        <v>969</v>
      </c>
      <c r="D251" s="35" t="s">
        <v>750</v>
      </c>
      <c r="E251" s="35" t="s">
        <v>76</v>
      </c>
      <c r="F251" s="35">
        <v>140001</v>
      </c>
      <c r="G251" s="35" t="s">
        <v>970</v>
      </c>
      <c r="H251">
        <v>22</v>
      </c>
      <c r="I251" t="s">
        <v>971</v>
      </c>
      <c r="J251">
        <v>20</v>
      </c>
      <c r="K251">
        <v>94.52</v>
      </c>
      <c r="L251">
        <v>0.56000000000000005</v>
      </c>
      <c r="M251">
        <v>0.28000000000000003</v>
      </c>
      <c r="N251">
        <v>3.19</v>
      </c>
      <c r="O251">
        <v>1.1000000000000001</v>
      </c>
      <c r="P251">
        <v>0.06</v>
      </c>
      <c r="Q251">
        <v>0.03</v>
      </c>
      <c r="R251">
        <v>0.09</v>
      </c>
      <c r="S251">
        <v>0.26</v>
      </c>
      <c r="T251">
        <v>0.03</v>
      </c>
      <c r="U251">
        <v>3</v>
      </c>
      <c r="V251">
        <v>0</v>
      </c>
      <c r="W251">
        <v>3.29</v>
      </c>
      <c r="X251">
        <v>0</v>
      </c>
      <c r="Y251">
        <v>0.45</v>
      </c>
      <c r="AA251">
        <v>0</v>
      </c>
      <c r="AB251">
        <v>0</v>
      </c>
      <c r="AC251">
        <v>0</v>
      </c>
      <c r="AD251">
        <v>0</v>
      </c>
      <c r="AE251">
        <v>4.53</v>
      </c>
      <c r="AI251">
        <v>20.2</v>
      </c>
      <c r="AJ251">
        <v>0.04</v>
      </c>
      <c r="AK251">
        <v>0.17</v>
      </c>
      <c r="AL251">
        <v>24.5</v>
      </c>
      <c r="AN251">
        <v>17.670000000000002</v>
      </c>
      <c r="AO251">
        <v>260</v>
      </c>
      <c r="AQ251">
        <v>0.1</v>
      </c>
      <c r="AR251">
        <v>0.09</v>
      </c>
      <c r="AS251">
        <v>0.02</v>
      </c>
      <c r="AT251">
        <v>0</v>
      </c>
      <c r="AV251">
        <v>4.55</v>
      </c>
      <c r="AW251">
        <v>4.1100000000000003</v>
      </c>
      <c r="AX251">
        <v>6.11</v>
      </c>
      <c r="AY251">
        <v>9.98</v>
      </c>
      <c r="AZ251">
        <v>1.53</v>
      </c>
      <c r="BA251">
        <v>2.57</v>
      </c>
      <c r="BB251">
        <v>5.07</v>
      </c>
      <c r="BC251">
        <v>6.99</v>
      </c>
      <c r="BD251">
        <v>2.0299999999999998</v>
      </c>
      <c r="BE251">
        <v>7.85</v>
      </c>
      <c r="BF251">
        <v>52.73</v>
      </c>
      <c r="BG251">
        <v>13.34</v>
      </c>
      <c r="BH251">
        <v>28.11</v>
      </c>
      <c r="BI251">
        <v>80.63</v>
      </c>
      <c r="BJ251">
        <v>5.12</v>
      </c>
      <c r="BK251">
        <v>11.05</v>
      </c>
      <c r="BL251">
        <v>13.13</v>
      </c>
      <c r="BM251">
        <v>4.08</v>
      </c>
      <c r="BP251">
        <v>318</v>
      </c>
    </row>
    <row r="252" spans="1:68" s="58" customFormat="1">
      <c r="A252" s="55">
        <v>73001</v>
      </c>
      <c r="B252" s="55" t="s">
        <v>972</v>
      </c>
      <c r="C252" s="56" t="s">
        <v>973</v>
      </c>
      <c r="D252" s="57"/>
      <c r="E252" s="57"/>
      <c r="F252" s="57"/>
      <c r="G252" s="57"/>
      <c r="H252" s="58">
        <v>14</v>
      </c>
      <c r="I252" s="58" t="s">
        <v>291</v>
      </c>
    </row>
    <row r="253" spans="1:68" s="58" customFormat="1">
      <c r="A253" s="55">
        <v>73003</v>
      </c>
      <c r="B253" s="55" t="s">
        <v>974</v>
      </c>
      <c r="C253" s="56" t="s">
        <v>975</v>
      </c>
      <c r="D253" s="57"/>
      <c r="E253" s="57"/>
      <c r="F253" s="57"/>
      <c r="G253" s="57"/>
      <c r="H253" s="58">
        <v>14</v>
      </c>
      <c r="I253" s="58" t="s">
        <v>291</v>
      </c>
    </row>
    <row r="254" spans="1:68">
      <c r="A254" s="30">
        <v>73004</v>
      </c>
      <c r="B254" s="30" t="s">
        <v>976</v>
      </c>
      <c r="C254" s="31" t="s">
        <v>977</v>
      </c>
      <c r="E254" s="35" t="s">
        <v>76</v>
      </c>
      <c r="F254" s="35">
        <v>140006</v>
      </c>
      <c r="G254" s="35" t="s">
        <v>819</v>
      </c>
      <c r="H254">
        <v>22</v>
      </c>
      <c r="I254" t="s">
        <v>971</v>
      </c>
      <c r="J254">
        <v>33</v>
      </c>
      <c r="K254">
        <v>91.7</v>
      </c>
      <c r="L254">
        <v>0.7</v>
      </c>
      <c r="M254">
        <v>0</v>
      </c>
      <c r="N254">
        <v>7.5</v>
      </c>
      <c r="O254">
        <v>0</v>
      </c>
      <c r="P254">
        <v>0.04</v>
      </c>
      <c r="Q254">
        <v>0.04</v>
      </c>
      <c r="R254">
        <v>0.14000000000000001</v>
      </c>
      <c r="S254">
        <v>0.23</v>
      </c>
      <c r="T254">
        <v>0.4</v>
      </c>
      <c r="U254">
        <v>44.53</v>
      </c>
      <c r="W254">
        <v>6.73</v>
      </c>
      <c r="X254">
        <v>0.41</v>
      </c>
      <c r="Y254">
        <v>0.02</v>
      </c>
      <c r="AA254">
        <v>0</v>
      </c>
      <c r="AB254">
        <v>0</v>
      </c>
      <c r="AC254">
        <v>0</v>
      </c>
      <c r="AD254">
        <v>7.87</v>
      </c>
      <c r="AE254">
        <v>8.36</v>
      </c>
      <c r="AI254">
        <v>8</v>
      </c>
      <c r="AJ254">
        <v>0.06</v>
      </c>
      <c r="AK254">
        <v>1.1000000000000001</v>
      </c>
      <c r="AL254">
        <v>10.31</v>
      </c>
      <c r="AN254">
        <v>6.19</v>
      </c>
      <c r="AO254">
        <v>24.92</v>
      </c>
      <c r="AQ254">
        <v>0.01</v>
      </c>
      <c r="AR254">
        <v>0.14000000000000001</v>
      </c>
      <c r="AS254">
        <v>0.03</v>
      </c>
      <c r="AT254">
        <v>0.17</v>
      </c>
      <c r="AV254">
        <v>2.86</v>
      </c>
      <c r="AW254">
        <v>6.1</v>
      </c>
      <c r="AX254">
        <v>5.68</v>
      </c>
      <c r="AY254">
        <v>4.05</v>
      </c>
      <c r="AZ254">
        <v>0.64</v>
      </c>
      <c r="BA254">
        <v>0.83</v>
      </c>
      <c r="BB254">
        <v>8.18</v>
      </c>
      <c r="BC254">
        <v>4.83</v>
      </c>
      <c r="BD254">
        <v>1.2</v>
      </c>
      <c r="BE254">
        <v>6.7</v>
      </c>
      <c r="BF254">
        <v>8.35</v>
      </c>
      <c r="BG254">
        <v>5.49</v>
      </c>
      <c r="BH254">
        <v>48.78</v>
      </c>
      <c r="BI254">
        <v>18.559999999999999</v>
      </c>
      <c r="BJ254">
        <v>4.32</v>
      </c>
      <c r="BK254">
        <v>3.94</v>
      </c>
      <c r="BL254">
        <v>5.68</v>
      </c>
      <c r="BM254">
        <v>3.76</v>
      </c>
    </row>
    <row r="255" spans="1:68" s="58" customFormat="1">
      <c r="A255" s="55">
        <v>73005</v>
      </c>
      <c r="B255" s="55" t="s">
        <v>978</v>
      </c>
      <c r="C255" s="56" t="s">
        <v>979</v>
      </c>
      <c r="D255" s="57"/>
      <c r="E255" s="57"/>
      <c r="F255" s="57"/>
      <c r="G255" s="57"/>
      <c r="H255" s="58">
        <v>22</v>
      </c>
      <c r="I255" s="58" t="s">
        <v>971</v>
      </c>
    </row>
    <row r="256" spans="1:68">
      <c r="A256" s="30"/>
      <c r="B256" s="30" t="s">
        <v>980</v>
      </c>
      <c r="C256" s="31" t="s">
        <v>981</v>
      </c>
      <c r="E256" s="35" t="s">
        <v>76</v>
      </c>
      <c r="F256" s="35">
        <v>140003</v>
      </c>
      <c r="G256" s="35" t="s">
        <v>982</v>
      </c>
      <c r="H256">
        <v>22</v>
      </c>
      <c r="I256" t="s">
        <v>971</v>
      </c>
      <c r="J256">
        <v>355</v>
      </c>
      <c r="K256">
        <v>3.1</v>
      </c>
      <c r="L256">
        <v>12.2</v>
      </c>
      <c r="M256">
        <v>0.5</v>
      </c>
      <c r="N256">
        <v>75.400000000000006</v>
      </c>
      <c r="O256">
        <v>0</v>
      </c>
      <c r="P256">
        <v>0.01</v>
      </c>
      <c r="Q256">
        <v>7.0000000000000007E-2</v>
      </c>
      <c r="R256">
        <v>28.17</v>
      </c>
      <c r="T256">
        <v>0.03</v>
      </c>
      <c r="U256">
        <v>0</v>
      </c>
      <c r="V256">
        <v>0</v>
      </c>
      <c r="W256">
        <v>0</v>
      </c>
      <c r="X256">
        <v>0</v>
      </c>
      <c r="Y256">
        <v>0</v>
      </c>
      <c r="AA256">
        <v>0</v>
      </c>
      <c r="AB256">
        <v>0</v>
      </c>
      <c r="AC256">
        <v>0</v>
      </c>
      <c r="AD256">
        <v>0</v>
      </c>
      <c r="AI256">
        <v>141</v>
      </c>
      <c r="AJ256">
        <v>0.14000000000000001</v>
      </c>
      <c r="AK256">
        <v>4.41</v>
      </c>
      <c r="AL256">
        <v>327</v>
      </c>
      <c r="AN256">
        <v>303</v>
      </c>
      <c r="AO256">
        <v>3540</v>
      </c>
      <c r="AQ256">
        <v>0.35</v>
      </c>
    </row>
    <row r="257" spans="1:68">
      <c r="A257" s="30">
        <v>73006</v>
      </c>
      <c r="B257" s="31" t="s">
        <v>983</v>
      </c>
      <c r="C257" s="31" t="s">
        <v>984</v>
      </c>
      <c r="E257" s="53" t="s">
        <v>103</v>
      </c>
      <c r="F257" s="35">
        <v>9442</v>
      </c>
      <c r="G257" s="202" t="s">
        <v>985</v>
      </c>
      <c r="H257">
        <v>14</v>
      </c>
      <c r="I257" t="s">
        <v>291</v>
      </c>
    </row>
    <row r="258" spans="1:68">
      <c r="A258" s="30">
        <v>73007</v>
      </c>
      <c r="B258" s="31" t="s">
        <v>986</v>
      </c>
      <c r="C258" s="31" t="s">
        <v>987</v>
      </c>
      <c r="E258" s="35" t="s">
        <v>76</v>
      </c>
      <c r="F258" s="35">
        <v>80030</v>
      </c>
      <c r="G258" s="35" t="s">
        <v>988</v>
      </c>
      <c r="H258">
        <v>14</v>
      </c>
      <c r="I258" t="s">
        <v>291</v>
      </c>
      <c r="J258">
        <v>9</v>
      </c>
      <c r="K258">
        <v>97.7</v>
      </c>
      <c r="L258">
        <v>0.2</v>
      </c>
      <c r="M258">
        <v>0.1</v>
      </c>
      <c r="N258">
        <v>1.7</v>
      </c>
      <c r="O258">
        <v>0.2</v>
      </c>
      <c r="P258">
        <v>0.06</v>
      </c>
      <c r="Q258">
        <v>0.02</v>
      </c>
      <c r="R258">
        <v>0.2</v>
      </c>
      <c r="S258">
        <v>0.15</v>
      </c>
      <c r="T258">
        <v>0.05</v>
      </c>
      <c r="U258">
        <v>6</v>
      </c>
      <c r="V258">
        <v>0</v>
      </c>
      <c r="W258">
        <v>64</v>
      </c>
      <c r="X258">
        <v>0</v>
      </c>
      <c r="Y258">
        <v>0.17</v>
      </c>
      <c r="AA258">
        <v>0</v>
      </c>
      <c r="AB258">
        <v>1.97</v>
      </c>
      <c r="AC258">
        <v>1.18</v>
      </c>
      <c r="AD258">
        <v>6.49</v>
      </c>
      <c r="AI258">
        <v>5</v>
      </c>
      <c r="AJ258">
        <v>0.04</v>
      </c>
      <c r="AK258">
        <v>0.7</v>
      </c>
      <c r="AL258">
        <v>8</v>
      </c>
      <c r="AN258">
        <v>13</v>
      </c>
      <c r="AO258">
        <v>150</v>
      </c>
      <c r="AQ258">
        <v>0.05</v>
      </c>
    </row>
    <row r="259" spans="1:68">
      <c r="A259" s="30">
        <v>73008</v>
      </c>
      <c r="B259" s="31" t="s">
        <v>989</v>
      </c>
      <c r="C259" s="31" t="s">
        <v>990</v>
      </c>
      <c r="E259" s="52" t="s">
        <v>122</v>
      </c>
      <c r="F259" s="35">
        <v>2003595</v>
      </c>
      <c r="G259" t="s">
        <v>991</v>
      </c>
      <c r="H259">
        <v>14</v>
      </c>
      <c r="I259" t="s">
        <v>291</v>
      </c>
    </row>
    <row r="260" spans="1:68">
      <c r="A260" s="30"/>
      <c r="B260" s="31" t="s">
        <v>992</v>
      </c>
      <c r="C260" s="31" t="s">
        <v>993</v>
      </c>
      <c r="E260" s="52" t="s">
        <v>122</v>
      </c>
      <c r="F260" s="35">
        <v>2259792</v>
      </c>
      <c r="G260" t="s">
        <v>994</v>
      </c>
      <c r="H260">
        <v>5</v>
      </c>
      <c r="I260" t="s">
        <v>649</v>
      </c>
    </row>
    <row r="261" spans="1:68">
      <c r="A261" s="30">
        <v>79001</v>
      </c>
      <c r="B261" s="31" t="s">
        <v>995</v>
      </c>
      <c r="C261" s="31" t="s">
        <v>996</v>
      </c>
      <c r="D261" s="34"/>
      <c r="E261" s="35" t="s">
        <v>76</v>
      </c>
      <c r="F261" s="35">
        <v>120006</v>
      </c>
      <c r="G261" s="35" t="s">
        <v>997</v>
      </c>
      <c r="H261">
        <v>5</v>
      </c>
      <c r="I261" t="s">
        <v>649</v>
      </c>
      <c r="J261">
        <v>497</v>
      </c>
      <c r="K261">
        <v>3.2</v>
      </c>
      <c r="L261">
        <v>26.65</v>
      </c>
      <c r="M261">
        <v>26.69</v>
      </c>
      <c r="N261">
        <v>37.53</v>
      </c>
      <c r="O261">
        <v>0</v>
      </c>
      <c r="P261">
        <v>0.31</v>
      </c>
      <c r="Q261">
        <v>1.37</v>
      </c>
      <c r="R261">
        <v>0.68</v>
      </c>
      <c r="T261">
        <v>0.28000000000000003</v>
      </c>
      <c r="U261">
        <v>38</v>
      </c>
      <c r="V261">
        <v>3.25</v>
      </c>
      <c r="W261">
        <v>10.65</v>
      </c>
      <c r="Y261">
        <v>0.59</v>
      </c>
      <c r="AA261">
        <v>227.67</v>
      </c>
      <c r="AB261">
        <v>237.96</v>
      </c>
      <c r="AI261">
        <v>959.33</v>
      </c>
      <c r="AJ261">
        <v>0.06</v>
      </c>
      <c r="AK261">
        <v>0.65</v>
      </c>
      <c r="AL261">
        <v>92</v>
      </c>
      <c r="AN261">
        <v>758.33</v>
      </c>
      <c r="AO261">
        <v>1180</v>
      </c>
      <c r="AQ261">
        <v>3.71</v>
      </c>
      <c r="AR261">
        <v>2.71</v>
      </c>
      <c r="AS261">
        <v>1.21</v>
      </c>
      <c r="AT261">
        <v>0.14000000000000001</v>
      </c>
    </row>
    <row r="262" spans="1:68">
      <c r="A262" s="30"/>
      <c r="B262" s="31" t="s">
        <v>998</v>
      </c>
      <c r="C262" s="31"/>
      <c r="D262" s="34"/>
      <c r="E262" s="35" t="s">
        <v>76</v>
      </c>
      <c r="F262" s="35">
        <v>120005</v>
      </c>
      <c r="G262" s="35" t="s">
        <v>999</v>
      </c>
      <c r="H262">
        <v>13</v>
      </c>
      <c r="I262" t="s">
        <v>295</v>
      </c>
      <c r="J262">
        <v>358</v>
      </c>
      <c r="K262">
        <v>3.8</v>
      </c>
      <c r="L262">
        <v>37.57</v>
      </c>
      <c r="M262">
        <v>1</v>
      </c>
      <c r="N262">
        <v>49.78</v>
      </c>
      <c r="O262">
        <v>0</v>
      </c>
      <c r="P262">
        <v>0.45</v>
      </c>
      <c r="Q262">
        <v>1.64</v>
      </c>
      <c r="R262">
        <v>2.44</v>
      </c>
      <c r="T262">
        <v>0.65</v>
      </c>
      <c r="U262">
        <v>21</v>
      </c>
      <c r="W262">
        <v>5</v>
      </c>
      <c r="Y262">
        <v>0.1</v>
      </c>
      <c r="AA262">
        <v>0</v>
      </c>
      <c r="AB262">
        <v>0</v>
      </c>
      <c r="AD262">
        <v>0</v>
      </c>
      <c r="AI262">
        <v>1370</v>
      </c>
      <c r="AJ262">
        <v>0.1</v>
      </c>
      <c r="AK262">
        <v>1.1000000000000001</v>
      </c>
      <c r="AL262">
        <v>110</v>
      </c>
      <c r="AN262">
        <v>956</v>
      </c>
      <c r="AO262">
        <v>1600</v>
      </c>
      <c r="AQ262">
        <v>4.7</v>
      </c>
    </row>
    <row r="263" spans="1:68">
      <c r="A263" s="30"/>
      <c r="B263" s="30" t="s">
        <v>1000</v>
      </c>
      <c r="C263" s="31" t="s">
        <v>1001</v>
      </c>
      <c r="D263" s="35" t="s">
        <v>1002</v>
      </c>
      <c r="E263" s="35" t="s">
        <v>76</v>
      </c>
      <c r="F263" s="35">
        <v>70020</v>
      </c>
      <c r="G263" s="35" t="s">
        <v>1003</v>
      </c>
      <c r="H263">
        <v>13</v>
      </c>
      <c r="I263" t="s">
        <v>295</v>
      </c>
      <c r="J263">
        <v>35</v>
      </c>
      <c r="K263">
        <v>87.38</v>
      </c>
      <c r="L263">
        <v>3</v>
      </c>
      <c r="M263">
        <v>0.73</v>
      </c>
      <c r="N263">
        <v>0.56999999999999995</v>
      </c>
      <c r="O263">
        <v>6.91</v>
      </c>
      <c r="P263">
        <v>0.09</v>
      </c>
      <c r="Q263">
        <v>0.26</v>
      </c>
      <c r="R263">
        <v>0.95</v>
      </c>
      <c r="S263">
        <v>0.34</v>
      </c>
      <c r="T263">
        <v>0.16</v>
      </c>
      <c r="U263">
        <v>114</v>
      </c>
      <c r="V263">
        <v>0</v>
      </c>
      <c r="W263">
        <v>21.95</v>
      </c>
      <c r="X263">
        <v>3.37</v>
      </c>
      <c r="Y263">
        <v>5</v>
      </c>
      <c r="AA263">
        <v>0</v>
      </c>
      <c r="AB263">
        <v>62</v>
      </c>
      <c r="AD263">
        <v>4602</v>
      </c>
      <c r="AI263">
        <v>110.12</v>
      </c>
      <c r="AJ263">
        <v>0.15</v>
      </c>
      <c r="AK263">
        <v>15.6</v>
      </c>
      <c r="AL263">
        <v>42.27</v>
      </c>
      <c r="AN263">
        <v>62</v>
      </c>
      <c r="AO263">
        <v>354.8</v>
      </c>
      <c r="AQ263">
        <v>1.76</v>
      </c>
      <c r="AR263">
        <v>0.13</v>
      </c>
      <c r="AS263">
        <v>0.01</v>
      </c>
      <c r="AT263">
        <v>0.35</v>
      </c>
      <c r="AV263">
        <v>75.489999999999995</v>
      </c>
      <c r="AW263">
        <v>202.24</v>
      </c>
      <c r="AX263">
        <v>383.05</v>
      </c>
      <c r="AY263">
        <v>136.54</v>
      </c>
      <c r="AZ263">
        <v>65.709999999999994</v>
      </c>
      <c r="BA263">
        <v>33.549999999999997</v>
      </c>
      <c r="BB263">
        <v>248.84</v>
      </c>
      <c r="BC263">
        <v>212.96</v>
      </c>
      <c r="BD263">
        <v>57.32</v>
      </c>
      <c r="BE263">
        <v>267.02</v>
      </c>
      <c r="BF263">
        <v>244.65</v>
      </c>
      <c r="BG263">
        <v>231.14</v>
      </c>
      <c r="BH263">
        <v>615.59</v>
      </c>
      <c r="BI263">
        <v>720.9</v>
      </c>
      <c r="BJ263">
        <v>254.44</v>
      </c>
      <c r="BK263">
        <v>224.15</v>
      </c>
      <c r="BL263">
        <v>211.56</v>
      </c>
      <c r="BM263">
        <v>154.71</v>
      </c>
      <c r="BO263">
        <v>48.05</v>
      </c>
      <c r="BP263">
        <v>33</v>
      </c>
    </row>
    <row r="264" spans="1:68">
      <c r="A264" s="30">
        <v>35002</v>
      </c>
      <c r="B264" s="31" t="s">
        <v>1004</v>
      </c>
      <c r="C264" s="31" t="s">
        <v>1005</v>
      </c>
      <c r="D264" s="35" t="s">
        <v>1006</v>
      </c>
      <c r="E264" s="35" t="s">
        <v>82</v>
      </c>
      <c r="F264" s="35" t="s">
        <v>1007</v>
      </c>
      <c r="G264" s="35" t="s">
        <v>1008</v>
      </c>
      <c r="H264">
        <v>13</v>
      </c>
      <c r="I264" t="s">
        <v>295</v>
      </c>
      <c r="J264">
        <v>21.75</v>
      </c>
      <c r="K264">
        <v>92.27</v>
      </c>
      <c r="L264">
        <v>1.54</v>
      </c>
      <c r="M264">
        <v>0.27</v>
      </c>
      <c r="N264">
        <v>3.01</v>
      </c>
      <c r="O264">
        <v>1.79</v>
      </c>
      <c r="P264">
        <v>0.05</v>
      </c>
      <c r="Q264">
        <v>0.09</v>
      </c>
      <c r="R264">
        <v>0.17</v>
      </c>
      <c r="S264">
        <v>0.11</v>
      </c>
      <c r="T264">
        <v>0.08</v>
      </c>
      <c r="U264">
        <v>30.69</v>
      </c>
      <c r="W264">
        <v>11.91</v>
      </c>
      <c r="Y264">
        <v>0.01</v>
      </c>
      <c r="Z264">
        <v>91.08</v>
      </c>
      <c r="AA264" t="s">
        <v>85</v>
      </c>
      <c r="AC264" t="s">
        <v>85</v>
      </c>
      <c r="AD264">
        <v>1285</v>
      </c>
      <c r="AE264">
        <v>1858</v>
      </c>
      <c r="AF264" t="s">
        <v>85</v>
      </c>
      <c r="AG264" t="s">
        <v>85</v>
      </c>
      <c r="AH264">
        <v>5.64</v>
      </c>
      <c r="AI264">
        <v>56.71</v>
      </c>
      <c r="AJ264">
        <v>0.14000000000000001</v>
      </c>
      <c r="AK264">
        <v>2.73</v>
      </c>
      <c r="AL264">
        <v>43.22</v>
      </c>
      <c r="AM264">
        <v>0.38</v>
      </c>
      <c r="AN264">
        <v>44.1</v>
      </c>
      <c r="AO264">
        <v>279</v>
      </c>
      <c r="AP264">
        <v>5.56</v>
      </c>
      <c r="AQ264">
        <v>0.51</v>
      </c>
      <c r="AR264">
        <v>0.11600000000000001</v>
      </c>
      <c r="AS264">
        <v>2.2200000000000001E-2</v>
      </c>
      <c r="AT264">
        <v>0.20799999999999999</v>
      </c>
      <c r="AU264" t="s">
        <v>85</v>
      </c>
      <c r="AV264">
        <v>1.74</v>
      </c>
      <c r="AW264">
        <v>3.49</v>
      </c>
      <c r="AX264">
        <v>6.9</v>
      </c>
      <c r="AY264">
        <v>5.22</v>
      </c>
      <c r="AZ264">
        <v>0.95</v>
      </c>
      <c r="BA264">
        <v>0.87</v>
      </c>
      <c r="BB264">
        <v>3.61</v>
      </c>
      <c r="BC264">
        <v>4.5</v>
      </c>
      <c r="BD264">
        <v>1.23</v>
      </c>
      <c r="BE264">
        <v>4.95</v>
      </c>
      <c r="BF264">
        <v>6.51</v>
      </c>
      <c r="BG264">
        <v>4.7699999999999996</v>
      </c>
      <c r="BH264">
        <v>11.32</v>
      </c>
      <c r="BI264">
        <v>16.100000000000001</v>
      </c>
      <c r="BJ264">
        <v>5.68</v>
      </c>
      <c r="BK264">
        <v>4.51</v>
      </c>
      <c r="BL264">
        <v>3.8</v>
      </c>
      <c r="BM264">
        <v>3</v>
      </c>
      <c r="BN264">
        <v>19.47</v>
      </c>
      <c r="BO264">
        <v>42.28</v>
      </c>
      <c r="BP264">
        <v>364</v>
      </c>
    </row>
    <row r="265" spans="1:68">
      <c r="A265" s="30">
        <v>90101</v>
      </c>
      <c r="B265" s="30" t="s">
        <v>1009</v>
      </c>
      <c r="C265" s="31" t="s">
        <v>1010</v>
      </c>
      <c r="D265" s="34"/>
      <c r="E265" s="35" t="s">
        <v>76</v>
      </c>
      <c r="F265" s="35">
        <v>130009</v>
      </c>
      <c r="G265" s="35" t="s">
        <v>1009</v>
      </c>
      <c r="H265">
        <v>16</v>
      </c>
      <c r="I265" t="s">
        <v>1011</v>
      </c>
      <c r="J265">
        <v>900</v>
      </c>
      <c r="K265">
        <v>0</v>
      </c>
      <c r="L265">
        <v>0</v>
      </c>
      <c r="M265">
        <v>99.97</v>
      </c>
      <c r="N265">
        <v>0</v>
      </c>
      <c r="O265">
        <v>0</v>
      </c>
      <c r="P265">
        <v>0</v>
      </c>
      <c r="Q265">
        <v>0</v>
      </c>
      <c r="R265">
        <v>0</v>
      </c>
      <c r="T265">
        <v>0</v>
      </c>
      <c r="U265">
        <v>0</v>
      </c>
      <c r="W265">
        <v>0</v>
      </c>
      <c r="X265">
        <v>0</v>
      </c>
      <c r="Y265">
        <v>33.119999999999997</v>
      </c>
      <c r="AA265">
        <v>0</v>
      </c>
      <c r="AB265">
        <v>0</v>
      </c>
      <c r="AC265">
        <v>0</v>
      </c>
      <c r="AD265">
        <v>0</v>
      </c>
      <c r="AI265">
        <v>0</v>
      </c>
      <c r="AJ265">
        <v>0</v>
      </c>
      <c r="AK265">
        <v>0.01</v>
      </c>
      <c r="AL265">
        <v>0</v>
      </c>
      <c r="AN265">
        <v>0</v>
      </c>
      <c r="AO265">
        <v>0</v>
      </c>
      <c r="AQ265">
        <v>0</v>
      </c>
      <c r="AR265">
        <v>43.5</v>
      </c>
      <c r="AS265">
        <v>82.64</v>
      </c>
      <c r="AT265">
        <v>32.03</v>
      </c>
      <c r="AU265">
        <v>0</v>
      </c>
    </row>
    <row r="266" spans="1:68">
      <c r="A266" s="30">
        <v>90201</v>
      </c>
      <c r="B266" s="30" t="s">
        <v>1012</v>
      </c>
      <c r="C266" s="31" t="s">
        <v>1013</v>
      </c>
      <c r="E266" s="35" t="s">
        <v>76</v>
      </c>
      <c r="F266" s="35">
        <v>130008</v>
      </c>
      <c r="G266" s="35" t="s">
        <v>1014</v>
      </c>
      <c r="H266">
        <v>17</v>
      </c>
      <c r="I266" t="s">
        <v>124</v>
      </c>
      <c r="J266">
        <v>900</v>
      </c>
      <c r="K266">
        <v>0</v>
      </c>
      <c r="L266">
        <v>0</v>
      </c>
      <c r="M266">
        <v>100</v>
      </c>
      <c r="N266">
        <v>0</v>
      </c>
      <c r="O266">
        <v>0</v>
      </c>
      <c r="P266">
        <v>0</v>
      </c>
      <c r="Q266">
        <v>0</v>
      </c>
      <c r="R266">
        <v>0</v>
      </c>
      <c r="T266">
        <v>0</v>
      </c>
      <c r="U266">
        <v>0</v>
      </c>
      <c r="W266">
        <v>0</v>
      </c>
      <c r="AA266">
        <v>0</v>
      </c>
      <c r="AB266">
        <v>0</v>
      </c>
      <c r="AI266">
        <v>0</v>
      </c>
      <c r="AJ266">
        <v>0</v>
      </c>
      <c r="AK266">
        <v>0</v>
      </c>
      <c r="AL266">
        <v>0</v>
      </c>
      <c r="AN266">
        <v>0</v>
      </c>
      <c r="AO266">
        <v>0</v>
      </c>
      <c r="AQ266">
        <v>0</v>
      </c>
      <c r="AR266">
        <v>5.5</v>
      </c>
      <c r="AS266">
        <v>65.27</v>
      </c>
      <c r="AT266">
        <v>14.88</v>
      </c>
      <c r="AU266">
        <v>0</v>
      </c>
    </row>
    <row r="267" spans="1:68">
      <c r="A267" s="30">
        <v>90301</v>
      </c>
      <c r="B267" s="30" t="s">
        <v>1015</v>
      </c>
      <c r="C267" s="31" t="s">
        <v>1016</v>
      </c>
      <c r="E267" s="35" t="s">
        <v>76</v>
      </c>
      <c r="F267" s="35">
        <v>130012</v>
      </c>
      <c r="G267" s="35" t="s">
        <v>1017</v>
      </c>
      <c r="H267">
        <v>17</v>
      </c>
      <c r="I267" t="s">
        <v>124</v>
      </c>
      <c r="J267">
        <v>900</v>
      </c>
      <c r="K267">
        <v>0</v>
      </c>
      <c r="L267">
        <v>0</v>
      </c>
      <c r="M267">
        <v>100</v>
      </c>
      <c r="N267">
        <v>0</v>
      </c>
      <c r="O267">
        <v>0</v>
      </c>
      <c r="P267">
        <v>0</v>
      </c>
      <c r="Q267">
        <v>0</v>
      </c>
      <c r="R267">
        <v>0</v>
      </c>
      <c r="T267">
        <v>0</v>
      </c>
      <c r="U267">
        <v>0</v>
      </c>
      <c r="W267">
        <v>0</v>
      </c>
      <c r="X267">
        <v>0</v>
      </c>
      <c r="Y267">
        <v>16.059999999999999</v>
      </c>
      <c r="AA267">
        <v>0</v>
      </c>
      <c r="AB267">
        <v>0</v>
      </c>
      <c r="AC267">
        <v>0</v>
      </c>
      <c r="AD267">
        <v>0</v>
      </c>
      <c r="AI267">
        <v>0</v>
      </c>
      <c r="AJ267">
        <v>0</v>
      </c>
      <c r="AK267">
        <v>0.05</v>
      </c>
      <c r="AL267">
        <v>0</v>
      </c>
      <c r="AN267">
        <v>0</v>
      </c>
      <c r="AO267">
        <v>0</v>
      </c>
      <c r="AQ267">
        <v>0.01</v>
      </c>
      <c r="AR267">
        <v>14.15</v>
      </c>
      <c r="AS267">
        <v>21.17</v>
      </c>
      <c r="AT267">
        <v>61.38</v>
      </c>
    </row>
    <row r="268" spans="1:68">
      <c r="A268" s="30">
        <v>90311</v>
      </c>
      <c r="B268" s="30" t="s">
        <v>1018</v>
      </c>
      <c r="C268" s="30" t="s">
        <v>1019</v>
      </c>
      <c r="E268" s="52" t="s">
        <v>122</v>
      </c>
      <c r="F268" s="35">
        <v>748366</v>
      </c>
      <c r="G268" s="202" t="s">
        <v>1020</v>
      </c>
      <c r="H268">
        <v>17</v>
      </c>
      <c r="I268" t="s">
        <v>124</v>
      </c>
    </row>
    <row r="269" spans="1:68" s="58" customFormat="1">
      <c r="A269" s="55"/>
      <c r="B269" s="55" t="s">
        <v>1021</v>
      </c>
      <c r="C269" s="55" t="s">
        <v>1022</v>
      </c>
      <c r="D269" s="57"/>
      <c r="E269" s="57"/>
      <c r="F269" s="57"/>
      <c r="G269" s="57"/>
      <c r="H269" s="58">
        <v>19</v>
      </c>
      <c r="I269" s="58" t="s">
        <v>138</v>
      </c>
    </row>
    <row r="270" spans="1:68" s="58" customFormat="1">
      <c r="A270" s="55">
        <v>73002</v>
      </c>
      <c r="B270" s="55" t="s">
        <v>1023</v>
      </c>
      <c r="C270" s="55" t="s">
        <v>1024</v>
      </c>
      <c r="D270" s="64"/>
      <c r="E270" s="57"/>
      <c r="F270" s="57"/>
      <c r="G270" s="57"/>
      <c r="H270" s="58">
        <v>22</v>
      </c>
      <c r="I270" s="58" t="s">
        <v>971</v>
      </c>
    </row>
    <row r="271" spans="1:68">
      <c r="A271" s="30">
        <v>90801</v>
      </c>
      <c r="B271" s="33" t="s">
        <v>1025</v>
      </c>
      <c r="C271" s="33" t="s">
        <v>1026</v>
      </c>
      <c r="D271" s="35" t="s">
        <v>1027</v>
      </c>
      <c r="E271" s="35" t="s">
        <v>76</v>
      </c>
      <c r="F271" s="35">
        <v>70021</v>
      </c>
      <c r="G271" s="35" t="s">
        <v>1028</v>
      </c>
      <c r="H271">
        <v>21</v>
      </c>
      <c r="I271" t="s">
        <v>78</v>
      </c>
      <c r="J271">
        <v>335</v>
      </c>
      <c r="K271">
        <v>11.45</v>
      </c>
      <c r="L271">
        <v>6.94</v>
      </c>
      <c r="M271">
        <v>8.44</v>
      </c>
      <c r="N271">
        <v>47.3</v>
      </c>
      <c r="O271">
        <v>21.1</v>
      </c>
      <c r="P271">
        <v>0.09</v>
      </c>
      <c r="Q271">
        <v>0.17</v>
      </c>
      <c r="R271">
        <v>4.42</v>
      </c>
      <c r="S271">
        <v>0.13</v>
      </c>
      <c r="T271">
        <v>1.8</v>
      </c>
      <c r="U271">
        <v>39</v>
      </c>
      <c r="V271">
        <v>0</v>
      </c>
      <c r="W271">
        <v>0</v>
      </c>
      <c r="X271">
        <v>18</v>
      </c>
      <c r="Y271">
        <v>3.1</v>
      </c>
      <c r="AA271">
        <v>0</v>
      </c>
      <c r="AB271">
        <v>1</v>
      </c>
      <c r="AD271">
        <v>55.1</v>
      </c>
      <c r="AE271">
        <v>99.8</v>
      </c>
      <c r="AH271">
        <v>3.56</v>
      </c>
      <c r="AI271">
        <v>167.67</v>
      </c>
      <c r="AJ271">
        <v>0.8</v>
      </c>
      <c r="AK271">
        <v>33.17</v>
      </c>
      <c r="AL271">
        <v>191.5</v>
      </c>
      <c r="AN271">
        <v>279</v>
      </c>
      <c r="AO271">
        <v>2720</v>
      </c>
      <c r="AQ271">
        <v>3.78</v>
      </c>
      <c r="AR271">
        <v>1.63</v>
      </c>
      <c r="AS271">
        <v>2.35</v>
      </c>
      <c r="AT271">
        <v>13.87</v>
      </c>
      <c r="AV271">
        <v>144.01</v>
      </c>
      <c r="AW271">
        <v>347.76</v>
      </c>
      <c r="AX271">
        <v>634.25</v>
      </c>
      <c r="AY271">
        <v>288.02</v>
      </c>
      <c r="AZ271">
        <v>86.56</v>
      </c>
      <c r="BA271">
        <v>58.98</v>
      </c>
      <c r="BB271">
        <v>425.9</v>
      </c>
      <c r="BC271">
        <v>340.87</v>
      </c>
      <c r="BD271">
        <v>157.80000000000001</v>
      </c>
      <c r="BE271">
        <v>445.05</v>
      </c>
      <c r="BF271">
        <v>287.25</v>
      </c>
      <c r="BG271">
        <v>409.81</v>
      </c>
      <c r="BH271">
        <v>1122.96</v>
      </c>
      <c r="BI271">
        <v>1029.5</v>
      </c>
      <c r="BJ271">
        <v>347</v>
      </c>
      <c r="BK271">
        <v>199.93</v>
      </c>
      <c r="BL271">
        <v>341.64</v>
      </c>
      <c r="BM271">
        <v>238.99</v>
      </c>
      <c r="BO271">
        <v>358</v>
      </c>
    </row>
    <row r="272" spans="1:68">
      <c r="A272" s="30">
        <v>90401</v>
      </c>
      <c r="B272" s="31" t="s">
        <v>1029</v>
      </c>
      <c r="C272" s="31" t="s">
        <v>1030</v>
      </c>
      <c r="D272" s="35" t="s">
        <v>1031</v>
      </c>
      <c r="E272" s="35" t="s">
        <v>82</v>
      </c>
      <c r="F272" s="35" t="s">
        <v>1032</v>
      </c>
      <c r="G272" s="35" t="s">
        <v>1029</v>
      </c>
      <c r="H272">
        <v>17</v>
      </c>
      <c r="I272" t="s">
        <v>124</v>
      </c>
      <c r="J272" t="e">
        <v>#VALUE!</v>
      </c>
      <c r="K272" t="s">
        <v>85</v>
      </c>
      <c r="L272" t="s">
        <v>85</v>
      </c>
      <c r="M272" t="s">
        <v>85</v>
      </c>
      <c r="N272" t="s">
        <v>85</v>
      </c>
      <c r="O272" t="s">
        <v>85</v>
      </c>
      <c r="P272" t="s">
        <v>85</v>
      </c>
      <c r="Q272" t="s">
        <v>85</v>
      </c>
      <c r="R272" t="s">
        <v>85</v>
      </c>
      <c r="S272" t="s">
        <v>85</v>
      </c>
      <c r="T272" t="s">
        <v>85</v>
      </c>
      <c r="U272" t="s">
        <v>85</v>
      </c>
      <c r="W272" t="s">
        <v>85</v>
      </c>
      <c r="Y272" t="s">
        <v>85</v>
      </c>
      <c r="Z272" t="s">
        <v>85</v>
      </c>
      <c r="AA272" t="s">
        <v>85</v>
      </c>
      <c r="AC272" t="s">
        <v>85</v>
      </c>
      <c r="AD272" t="s">
        <v>85</v>
      </c>
      <c r="AE272" t="s">
        <v>85</v>
      </c>
      <c r="AF272" t="s">
        <v>85</v>
      </c>
      <c r="AG272" t="s">
        <v>85</v>
      </c>
      <c r="AH272" t="s">
        <v>85</v>
      </c>
      <c r="AI272" t="s">
        <v>85</v>
      </c>
      <c r="AJ272" t="s">
        <v>85</v>
      </c>
      <c r="AK272" t="s">
        <v>85</v>
      </c>
      <c r="AL272" t="s">
        <v>85</v>
      </c>
      <c r="AM272" t="s">
        <v>85</v>
      </c>
      <c r="AN272" t="s">
        <v>85</v>
      </c>
      <c r="AO272" t="s">
        <v>85</v>
      </c>
      <c r="AP272" t="s">
        <v>85</v>
      </c>
      <c r="AQ272" t="s">
        <v>85</v>
      </c>
      <c r="AR272">
        <v>1.14E-2</v>
      </c>
      <c r="AS272">
        <v>2.5999999999999999E-2</v>
      </c>
      <c r="AT272">
        <v>6.2700000000000006E-2</v>
      </c>
      <c r="AU272" t="s">
        <v>85</v>
      </c>
      <c r="AV272" t="s">
        <v>85</v>
      </c>
      <c r="AW272" t="s">
        <v>85</v>
      </c>
      <c r="AX272" t="s">
        <v>85</v>
      </c>
      <c r="AY272" t="s">
        <v>85</v>
      </c>
      <c r="AZ272" t="s">
        <v>85</v>
      </c>
      <c r="BA272" t="s">
        <v>85</v>
      </c>
      <c r="BB272" t="s">
        <v>85</v>
      </c>
      <c r="BC272" t="s">
        <v>85</v>
      </c>
      <c r="BD272" t="s">
        <v>85</v>
      </c>
      <c r="BE272" t="s">
        <v>85</v>
      </c>
      <c r="BF272" t="s">
        <v>85</v>
      </c>
      <c r="BG272" t="s">
        <v>85</v>
      </c>
      <c r="BH272" t="s">
        <v>85</v>
      </c>
      <c r="BI272" t="s">
        <v>85</v>
      </c>
      <c r="BJ272" t="s">
        <v>85</v>
      </c>
      <c r="BK272" t="s">
        <v>85</v>
      </c>
      <c r="BL272" t="s">
        <v>85</v>
      </c>
      <c r="BM272" t="s">
        <v>85</v>
      </c>
      <c r="BN272" t="s">
        <v>85</v>
      </c>
      <c r="BO272" t="s">
        <v>85</v>
      </c>
      <c r="BP272" t="s">
        <v>85</v>
      </c>
    </row>
    <row r="273" spans="1:68">
      <c r="A273" s="30">
        <v>90402</v>
      </c>
      <c r="B273" s="31" t="s">
        <v>1033</v>
      </c>
      <c r="C273" s="31" t="s">
        <v>1034</v>
      </c>
      <c r="D273" s="35" t="s">
        <v>148</v>
      </c>
      <c r="E273" s="35" t="s">
        <v>82</v>
      </c>
      <c r="F273" s="35" t="s">
        <v>1035</v>
      </c>
      <c r="G273" s="35" t="s">
        <v>1033</v>
      </c>
      <c r="H273">
        <v>17</v>
      </c>
      <c r="I273" t="s">
        <v>124</v>
      </c>
      <c r="J273" t="e">
        <v>#VALUE!</v>
      </c>
      <c r="K273" t="s">
        <v>85</v>
      </c>
      <c r="L273" t="s">
        <v>85</v>
      </c>
      <c r="M273" t="s">
        <v>85</v>
      </c>
      <c r="N273" t="s">
        <v>85</v>
      </c>
      <c r="O273" t="s">
        <v>85</v>
      </c>
      <c r="P273" t="s">
        <v>85</v>
      </c>
      <c r="Q273" t="s">
        <v>85</v>
      </c>
      <c r="R273" t="s">
        <v>85</v>
      </c>
      <c r="S273" t="s">
        <v>85</v>
      </c>
      <c r="T273" t="s">
        <v>85</v>
      </c>
      <c r="U273" t="s">
        <v>85</v>
      </c>
      <c r="W273" t="s">
        <v>85</v>
      </c>
      <c r="Y273" t="s">
        <v>85</v>
      </c>
      <c r="Z273" t="s">
        <v>85</v>
      </c>
      <c r="AA273" t="s">
        <v>85</v>
      </c>
      <c r="AC273" t="s">
        <v>85</v>
      </c>
      <c r="AD273" t="s">
        <v>85</v>
      </c>
      <c r="AE273" t="s">
        <v>85</v>
      </c>
      <c r="AF273" t="s">
        <v>85</v>
      </c>
      <c r="AG273" t="s">
        <v>85</v>
      </c>
      <c r="AH273" t="s">
        <v>85</v>
      </c>
      <c r="AI273" t="s">
        <v>85</v>
      </c>
      <c r="AJ273" t="s">
        <v>85</v>
      </c>
      <c r="AK273" t="s">
        <v>85</v>
      </c>
      <c r="AL273" t="s">
        <v>85</v>
      </c>
      <c r="AM273" t="s">
        <v>85</v>
      </c>
      <c r="AN273" t="s">
        <v>85</v>
      </c>
      <c r="AO273" t="s">
        <v>85</v>
      </c>
      <c r="AP273" t="s">
        <v>85</v>
      </c>
      <c r="AQ273" t="s">
        <v>85</v>
      </c>
      <c r="AR273">
        <v>2.3800000000000002E-2</v>
      </c>
      <c r="AS273">
        <v>4.41E-2</v>
      </c>
      <c r="AT273">
        <v>3.2099999999999997E-2</v>
      </c>
      <c r="AU273" t="s">
        <v>85</v>
      </c>
      <c r="AV273" t="s">
        <v>85</v>
      </c>
      <c r="AW273" t="s">
        <v>85</v>
      </c>
      <c r="AX273" t="s">
        <v>85</v>
      </c>
      <c r="AY273" t="s">
        <v>85</v>
      </c>
      <c r="AZ273" t="s">
        <v>85</v>
      </c>
      <c r="BA273" t="s">
        <v>85</v>
      </c>
      <c r="BB273" t="s">
        <v>85</v>
      </c>
      <c r="BC273" t="s">
        <v>85</v>
      </c>
      <c r="BD273" t="s">
        <v>85</v>
      </c>
      <c r="BE273" t="s">
        <v>85</v>
      </c>
      <c r="BF273" t="s">
        <v>85</v>
      </c>
      <c r="BG273" t="s">
        <v>85</v>
      </c>
      <c r="BH273" t="s">
        <v>85</v>
      </c>
      <c r="BI273" t="s">
        <v>85</v>
      </c>
      <c r="BJ273" t="s">
        <v>85</v>
      </c>
      <c r="BK273" t="s">
        <v>85</v>
      </c>
      <c r="BL273" t="s">
        <v>85</v>
      </c>
      <c r="BM273" t="s">
        <v>85</v>
      </c>
      <c r="BN273" t="s">
        <v>85</v>
      </c>
      <c r="BO273" t="s">
        <v>85</v>
      </c>
      <c r="BP273" t="s">
        <v>85</v>
      </c>
    </row>
    <row r="274" spans="1:68">
      <c r="A274" s="30">
        <v>90403</v>
      </c>
      <c r="B274" s="31" t="s">
        <v>1036</v>
      </c>
      <c r="C274" s="31" t="s">
        <v>1037</v>
      </c>
      <c r="D274" s="35" t="s">
        <v>502</v>
      </c>
      <c r="E274" s="35" t="s">
        <v>76</v>
      </c>
      <c r="F274" s="35">
        <v>130011</v>
      </c>
      <c r="G274" s="35" t="s">
        <v>1036</v>
      </c>
      <c r="H274">
        <v>17</v>
      </c>
      <c r="I274" t="s">
        <v>124</v>
      </c>
      <c r="J274">
        <v>900</v>
      </c>
      <c r="K274">
        <v>0</v>
      </c>
      <c r="L274">
        <v>0</v>
      </c>
      <c r="M274">
        <v>100</v>
      </c>
      <c r="N274">
        <v>0</v>
      </c>
      <c r="O274">
        <v>0</v>
      </c>
      <c r="P274">
        <v>0</v>
      </c>
      <c r="Q274">
        <v>0</v>
      </c>
      <c r="R274">
        <v>0</v>
      </c>
      <c r="T274">
        <v>0</v>
      </c>
      <c r="U274">
        <v>0</v>
      </c>
      <c r="V274">
        <v>0</v>
      </c>
      <c r="W274">
        <v>0</v>
      </c>
      <c r="X274">
        <v>0</v>
      </c>
      <c r="Y274">
        <v>1.4</v>
      </c>
      <c r="AA274">
        <v>0</v>
      </c>
      <c r="AB274">
        <v>0</v>
      </c>
      <c r="AC274">
        <v>0</v>
      </c>
      <c r="AD274">
        <v>0</v>
      </c>
      <c r="AI274">
        <v>0</v>
      </c>
      <c r="AJ274">
        <v>0</v>
      </c>
      <c r="AK274">
        <v>0</v>
      </c>
      <c r="AL274">
        <v>0</v>
      </c>
      <c r="AN274">
        <v>0</v>
      </c>
      <c r="AO274">
        <v>0</v>
      </c>
      <c r="AQ274">
        <v>0</v>
      </c>
      <c r="AR274">
        <v>15.76</v>
      </c>
      <c r="AS274">
        <v>81.75</v>
      </c>
      <c r="AT274">
        <v>61.38</v>
      </c>
      <c r="AU274">
        <v>0</v>
      </c>
    </row>
    <row r="275" spans="1:68">
      <c r="A275" s="30">
        <v>90405</v>
      </c>
      <c r="B275" s="31" t="s">
        <v>1038</v>
      </c>
      <c r="C275" s="31" t="s">
        <v>1039</v>
      </c>
      <c r="D275" s="35" t="s">
        <v>1040</v>
      </c>
      <c r="E275" s="52" t="s">
        <v>122</v>
      </c>
      <c r="F275" s="35">
        <v>748608</v>
      </c>
      <c r="G275" t="s">
        <v>1041</v>
      </c>
      <c r="H275">
        <v>17</v>
      </c>
      <c r="I275" t="s">
        <v>124</v>
      </c>
    </row>
    <row r="276" spans="1:68">
      <c r="A276" s="30">
        <v>90601</v>
      </c>
      <c r="B276" s="31" t="s">
        <v>1042</v>
      </c>
      <c r="C276" s="31" t="s">
        <v>1043</v>
      </c>
      <c r="E276" s="35" t="s">
        <v>76</v>
      </c>
      <c r="F276" s="35">
        <v>130005</v>
      </c>
      <c r="G276" s="35" t="s">
        <v>1044</v>
      </c>
      <c r="H276">
        <v>17</v>
      </c>
      <c r="I276" t="s">
        <v>124</v>
      </c>
      <c r="J276">
        <v>900</v>
      </c>
      <c r="K276">
        <v>0</v>
      </c>
      <c r="L276">
        <v>0</v>
      </c>
      <c r="M276">
        <v>100</v>
      </c>
      <c r="N276">
        <v>0</v>
      </c>
      <c r="O276">
        <v>0</v>
      </c>
      <c r="P276">
        <v>0</v>
      </c>
      <c r="Q276">
        <v>0</v>
      </c>
      <c r="U276">
        <v>0</v>
      </c>
      <c r="V276">
        <v>0</v>
      </c>
      <c r="W276">
        <v>0</v>
      </c>
      <c r="X276">
        <v>0</v>
      </c>
      <c r="Y276">
        <v>10.27</v>
      </c>
      <c r="AA276">
        <v>0</v>
      </c>
      <c r="AB276">
        <v>0</v>
      </c>
      <c r="AI276">
        <v>2.17</v>
      </c>
      <c r="AJ276">
        <v>0.01</v>
      </c>
      <c r="AK276">
        <v>0.19</v>
      </c>
      <c r="AO276">
        <v>0.75</v>
      </c>
      <c r="AQ276">
        <v>0.04</v>
      </c>
      <c r="AR276">
        <v>57.5</v>
      </c>
      <c r="AS276">
        <v>37.44</v>
      </c>
      <c r="AT276">
        <v>5.6</v>
      </c>
    </row>
    <row r="277" spans="1:68">
      <c r="A277" s="30">
        <v>90602</v>
      </c>
      <c r="B277" s="31" t="s">
        <v>1045</v>
      </c>
      <c r="C277" s="31" t="s">
        <v>1046</v>
      </c>
      <c r="E277" s="35" t="s">
        <v>76</v>
      </c>
      <c r="F277" s="35">
        <v>130004</v>
      </c>
      <c r="G277" s="35" t="s">
        <v>1047</v>
      </c>
      <c r="H277">
        <v>17</v>
      </c>
      <c r="I277" t="s">
        <v>124</v>
      </c>
      <c r="J277">
        <v>898</v>
      </c>
      <c r="K277">
        <v>0.1</v>
      </c>
      <c r="L277">
        <v>0</v>
      </c>
      <c r="M277">
        <v>99.8</v>
      </c>
      <c r="N277">
        <v>0</v>
      </c>
      <c r="O277">
        <v>0</v>
      </c>
      <c r="P277">
        <v>0</v>
      </c>
      <c r="U277">
        <v>0</v>
      </c>
      <c r="W277">
        <v>0</v>
      </c>
      <c r="X277">
        <v>1.9</v>
      </c>
      <c r="Y277">
        <v>3.31</v>
      </c>
      <c r="AA277">
        <v>600</v>
      </c>
      <c r="AB277">
        <v>641.66999999999996</v>
      </c>
      <c r="AI277">
        <v>1</v>
      </c>
      <c r="AJ277">
        <v>0.01</v>
      </c>
      <c r="AK277">
        <v>0.2</v>
      </c>
      <c r="AO277">
        <v>0.95</v>
      </c>
      <c r="AQ277">
        <v>0.01</v>
      </c>
      <c r="AR277">
        <v>38</v>
      </c>
      <c r="AS277">
        <v>36.74</v>
      </c>
      <c r="AT277">
        <v>5.6</v>
      </c>
    </row>
    <row r="278" spans="1:68" s="58" customFormat="1">
      <c r="A278" s="55"/>
      <c r="B278" s="56" t="s">
        <v>1048</v>
      </c>
      <c r="C278" s="56" t="s">
        <v>1049</v>
      </c>
      <c r="D278" s="57"/>
      <c r="E278" s="57"/>
      <c r="F278" s="57"/>
      <c r="G278" s="57"/>
      <c r="H278" s="58">
        <v>21</v>
      </c>
      <c r="I278" s="58" t="s">
        <v>78</v>
      </c>
    </row>
    <row r="279" spans="1:68" s="58" customFormat="1">
      <c r="A279" s="55"/>
      <c r="B279" s="55" t="s">
        <v>1050</v>
      </c>
      <c r="C279" s="55" t="s">
        <v>1051</v>
      </c>
      <c r="D279" s="57"/>
      <c r="E279" s="57"/>
      <c r="F279" s="57"/>
      <c r="G279" s="57"/>
      <c r="H279" s="58">
        <v>22</v>
      </c>
      <c r="I279" s="58" t="s">
        <v>971</v>
      </c>
    </row>
  </sheetData>
  <autoFilter ref="A1:BP279" xr:uid="{0358F13C-EE28-4FA3-88E1-AF662B1B307B}">
    <filterColumn colId="4">
      <filters>
        <filter val="BD22"/>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5C3F4-F53D-4ACC-A159-3F7474E24179}">
  <dimension ref="A1:CL273"/>
  <sheetViews>
    <sheetView workbookViewId="0">
      <pane xSplit="2" topLeftCell="Y1" activePane="topRight" state="frozen"/>
      <selection pane="topRight" activeCell="B1" sqref="B1"/>
    </sheetView>
  </sheetViews>
  <sheetFormatPr defaultColWidth="9.140625" defaultRowHeight="14.85"/>
  <cols>
    <col min="1" max="1" width="10" style="129" hidden="1" customWidth="1"/>
    <col min="2" max="2" width="32.5703125" style="130" customWidth="1"/>
    <col min="3" max="3" width="26.42578125" style="130" customWidth="1"/>
    <col min="4" max="4" width="24.28515625" style="129" customWidth="1"/>
    <col min="5" max="5" width="20" style="130" customWidth="1"/>
    <col min="6" max="6" width="18.85546875" style="130" customWidth="1"/>
    <col min="7" max="7" width="69.28515625" style="165" customWidth="1"/>
    <col min="8" max="8" width="14.42578125" style="130" customWidth="1"/>
    <col min="9" max="9" width="38.42578125" style="130" customWidth="1"/>
    <col min="10" max="10" width="13.7109375" style="119" customWidth="1"/>
    <col min="11" max="11" width="12.42578125" style="119" customWidth="1"/>
    <col min="12" max="12" width="13.5703125" style="119" customWidth="1"/>
    <col min="13" max="13" width="13.140625" style="119" customWidth="1"/>
    <col min="14" max="14" width="15.28515625" style="119" customWidth="1"/>
    <col min="15" max="15" width="13.5703125" style="119" customWidth="1"/>
    <col min="16" max="17" width="13.42578125" style="119" customWidth="1"/>
    <col min="18" max="18" width="13.5703125" style="119" customWidth="1"/>
    <col min="19" max="19" width="13.28515625" style="119" customWidth="1"/>
    <col min="20" max="22" width="13.5703125" style="119" customWidth="1"/>
    <col min="23" max="23" width="13.42578125" style="119" customWidth="1"/>
    <col min="24" max="24" width="13.28515625" style="119" customWidth="1"/>
    <col min="25" max="27" width="13.42578125" style="119" customWidth="1"/>
    <col min="28" max="28" width="12.5703125" style="119" customWidth="1"/>
    <col min="29" max="30" width="13.7109375" style="119" customWidth="1"/>
    <col min="31" max="31" width="13.28515625" style="119" customWidth="1"/>
    <col min="32" max="33" width="13.42578125" style="119" customWidth="1"/>
    <col min="34" max="34" width="13.140625" style="119" customWidth="1"/>
    <col min="35" max="36" width="13.28515625" style="119" customWidth="1"/>
    <col min="37" max="37" width="13.140625" style="119" customWidth="1"/>
    <col min="38" max="38" width="13.5703125" style="119" customWidth="1"/>
    <col min="39" max="39" width="13.7109375" style="119" customWidth="1"/>
    <col min="40" max="40" width="13.42578125" style="119" customWidth="1"/>
    <col min="41" max="41" width="13.5703125" style="119" customWidth="1"/>
    <col min="42" max="42" width="13.42578125" style="119" customWidth="1"/>
    <col min="43" max="44" width="13.140625" style="119" customWidth="1"/>
    <col min="45" max="45" width="13.5703125" style="119" customWidth="1"/>
    <col min="46" max="46" width="13.7109375" style="119" customWidth="1"/>
    <col min="47" max="47" width="13.5703125" style="119" customWidth="1"/>
    <col min="48" max="50" width="13.42578125" style="131" customWidth="1"/>
    <col min="51" max="51" width="12.5703125" style="131" customWidth="1"/>
    <col min="52" max="52" width="13.140625" style="131" customWidth="1"/>
    <col min="53" max="53" width="13.5703125" style="131" customWidth="1"/>
    <col min="54" max="54" width="13.140625" style="131" customWidth="1"/>
    <col min="55" max="55" width="13.42578125" style="131" customWidth="1"/>
    <col min="56" max="56" width="13.5703125" style="131" customWidth="1"/>
    <col min="57" max="57" width="12.7109375" style="131" customWidth="1"/>
    <col min="58" max="58" width="13.28515625" style="131" customWidth="1"/>
    <col min="59" max="59" width="13.5703125" style="131" customWidth="1"/>
    <col min="60" max="60" width="12.5703125" style="131" customWidth="1"/>
    <col min="61" max="61" width="13.28515625" style="131" customWidth="1"/>
    <col min="62" max="62" width="13.5703125" style="131" customWidth="1"/>
    <col min="63" max="63" width="13.42578125" style="131" customWidth="1"/>
    <col min="64" max="64" width="12.7109375" style="131" customWidth="1"/>
    <col min="65" max="65" width="13.5703125" style="131" customWidth="1"/>
    <col min="66" max="66" width="13.5703125" style="119" customWidth="1"/>
    <col min="67" max="68" width="12.85546875" style="119" customWidth="1"/>
    <col min="69" max="69" width="7.85546875" style="119" bestFit="1" customWidth="1"/>
    <col min="70" max="16384" width="9.140625" style="119"/>
  </cols>
  <sheetData>
    <row r="1" spans="1:85" s="134" customFormat="1" ht="88.5">
      <c r="A1" s="132" t="s">
        <v>0</v>
      </c>
      <c r="B1" s="132" t="s">
        <v>1</v>
      </c>
      <c r="C1" s="132" t="s">
        <v>2</v>
      </c>
      <c r="D1" s="132" t="s">
        <v>3</v>
      </c>
      <c r="E1" s="132" t="s">
        <v>4</v>
      </c>
      <c r="F1" s="132" t="s">
        <v>5</v>
      </c>
      <c r="G1" s="162" t="s">
        <v>6</v>
      </c>
      <c r="H1" s="132" t="s">
        <v>7</v>
      </c>
      <c r="I1" s="132" t="s">
        <v>8</v>
      </c>
      <c r="J1" s="116" t="s">
        <v>9</v>
      </c>
      <c r="K1" s="116" t="s">
        <v>10</v>
      </c>
      <c r="L1" s="116" t="s">
        <v>11</v>
      </c>
      <c r="M1" s="116" t="s">
        <v>12</v>
      </c>
      <c r="N1" s="116" t="s">
        <v>13</v>
      </c>
      <c r="O1" s="116" t="s">
        <v>14</v>
      </c>
      <c r="P1" s="116" t="s">
        <v>15</v>
      </c>
      <c r="Q1" s="116" t="s">
        <v>16</v>
      </c>
      <c r="R1" s="116" t="s">
        <v>17</v>
      </c>
      <c r="S1" s="116" t="s">
        <v>18</v>
      </c>
      <c r="T1" s="116" t="s">
        <v>19</v>
      </c>
      <c r="U1" s="116" t="s">
        <v>20</v>
      </c>
      <c r="V1" s="116" t="s">
        <v>21</v>
      </c>
      <c r="W1" s="116" t="s">
        <v>22</v>
      </c>
      <c r="X1" s="116" t="s">
        <v>23</v>
      </c>
      <c r="Y1" s="117" t="s">
        <v>24</v>
      </c>
      <c r="Z1" s="117" t="s">
        <v>25</v>
      </c>
      <c r="AA1" s="116" t="s">
        <v>26</v>
      </c>
      <c r="AB1" s="116" t="s">
        <v>27</v>
      </c>
      <c r="AC1" s="116" t="s">
        <v>28</v>
      </c>
      <c r="AD1" s="116" t="s">
        <v>29</v>
      </c>
      <c r="AE1" s="116" t="s">
        <v>30</v>
      </c>
      <c r="AF1" s="116" t="s">
        <v>31</v>
      </c>
      <c r="AG1" s="116" t="s">
        <v>32</v>
      </c>
      <c r="AH1" s="116" t="s">
        <v>33</v>
      </c>
      <c r="AI1" s="116" t="s">
        <v>34</v>
      </c>
      <c r="AJ1" s="116" t="s">
        <v>35</v>
      </c>
      <c r="AK1" s="116" t="s">
        <v>36</v>
      </c>
      <c r="AL1" s="116" t="s">
        <v>37</v>
      </c>
      <c r="AM1" s="116" t="s">
        <v>38</v>
      </c>
      <c r="AN1" s="116" t="s">
        <v>39</v>
      </c>
      <c r="AO1" s="116" t="s">
        <v>40</v>
      </c>
      <c r="AP1" s="116" t="s">
        <v>41</v>
      </c>
      <c r="AQ1" s="116" t="s">
        <v>42</v>
      </c>
      <c r="AR1" s="116" t="s">
        <v>43</v>
      </c>
      <c r="AS1" s="116" t="s">
        <v>44</v>
      </c>
      <c r="AT1" s="116" t="s">
        <v>45</v>
      </c>
      <c r="AU1" s="116" t="s">
        <v>46</v>
      </c>
      <c r="AV1" s="133" t="s">
        <v>47</v>
      </c>
      <c r="AW1" s="133" t="s">
        <v>48</v>
      </c>
      <c r="AX1" s="133" t="s">
        <v>49</v>
      </c>
      <c r="AY1" s="133" t="s">
        <v>50</v>
      </c>
      <c r="AZ1" s="133" t="s">
        <v>51</v>
      </c>
      <c r="BA1" s="133" t="s">
        <v>52</v>
      </c>
      <c r="BB1" s="133" t="s">
        <v>53</v>
      </c>
      <c r="BC1" s="133" t="s">
        <v>54</v>
      </c>
      <c r="BD1" s="133" t="s">
        <v>55</v>
      </c>
      <c r="BE1" s="133" t="s">
        <v>56</v>
      </c>
      <c r="BF1" s="133" t="s">
        <v>57</v>
      </c>
      <c r="BG1" s="133" t="s">
        <v>58</v>
      </c>
      <c r="BH1" s="133" t="s">
        <v>59</v>
      </c>
      <c r="BI1" s="133" t="s">
        <v>60</v>
      </c>
      <c r="BJ1" s="133" t="s">
        <v>61</v>
      </c>
      <c r="BK1" s="133" t="s">
        <v>62</v>
      </c>
      <c r="BL1" s="133" t="s">
        <v>63</v>
      </c>
      <c r="BM1" s="133" t="s">
        <v>64</v>
      </c>
      <c r="BN1" s="116" t="s">
        <v>65</v>
      </c>
      <c r="BO1" s="116" t="s">
        <v>66</v>
      </c>
      <c r="BP1" s="116" t="s">
        <v>67</v>
      </c>
      <c r="BQ1" s="116" t="s">
        <v>1052</v>
      </c>
      <c r="BR1" s="203" t="s">
        <v>1053</v>
      </c>
      <c r="BS1" s="203" t="s">
        <v>1054</v>
      </c>
      <c r="BT1" s="203" t="s">
        <v>1055</v>
      </c>
      <c r="BU1" s="203" t="s">
        <v>1056</v>
      </c>
      <c r="BV1" s="203" t="s">
        <v>1057</v>
      </c>
      <c r="BW1" s="203" t="s">
        <v>1058</v>
      </c>
      <c r="BX1" s="203" t="s">
        <v>1059</v>
      </c>
      <c r="BY1" s="203" t="s">
        <v>1060</v>
      </c>
      <c r="BZ1" s="203" t="s">
        <v>1061</v>
      </c>
      <c r="CA1" s="203" t="s">
        <v>1062</v>
      </c>
      <c r="CB1" s="203" t="s">
        <v>1063</v>
      </c>
      <c r="CC1" s="203" t="s">
        <v>1064</v>
      </c>
      <c r="CD1" s="203" t="s">
        <v>1065</v>
      </c>
      <c r="CE1" s="203" t="s">
        <v>1066</v>
      </c>
      <c r="CF1" s="204" t="s">
        <v>1067</v>
      </c>
      <c r="CG1" s="116" t="s">
        <v>1068</v>
      </c>
    </row>
    <row r="2" spans="1:85">
      <c r="A2" s="121" t="s">
        <v>1069</v>
      </c>
      <c r="B2" s="122" t="s">
        <v>1070</v>
      </c>
      <c r="C2" s="122"/>
      <c r="D2" s="122"/>
      <c r="E2" s="122"/>
      <c r="F2" s="122"/>
      <c r="G2" s="163"/>
      <c r="H2" s="122"/>
      <c r="I2" s="122"/>
      <c r="J2" s="118">
        <v>0</v>
      </c>
      <c r="K2" s="118">
        <v>100</v>
      </c>
      <c r="L2" s="118">
        <v>0</v>
      </c>
      <c r="M2" s="118">
        <v>0</v>
      </c>
      <c r="N2" s="118">
        <v>0</v>
      </c>
      <c r="O2" s="118">
        <v>0</v>
      </c>
      <c r="P2" s="118">
        <v>0</v>
      </c>
      <c r="Q2" s="118">
        <v>0</v>
      </c>
      <c r="R2" s="118">
        <v>0</v>
      </c>
      <c r="S2" s="118">
        <v>0</v>
      </c>
      <c r="T2" s="118">
        <v>0</v>
      </c>
      <c r="U2" s="118">
        <v>0</v>
      </c>
      <c r="V2" s="118">
        <v>0</v>
      </c>
      <c r="W2" s="118">
        <v>0</v>
      </c>
      <c r="X2" s="118">
        <v>0</v>
      </c>
      <c r="Y2" s="118">
        <v>0</v>
      </c>
      <c r="Z2" s="118">
        <v>0</v>
      </c>
      <c r="AA2" s="118">
        <v>0</v>
      </c>
      <c r="AB2" s="118">
        <v>0</v>
      </c>
      <c r="AC2" s="118">
        <v>0</v>
      </c>
      <c r="AD2" s="118">
        <v>0</v>
      </c>
      <c r="AE2" s="118">
        <v>0</v>
      </c>
      <c r="AF2" s="118">
        <v>0</v>
      </c>
      <c r="AG2" s="118">
        <v>0</v>
      </c>
      <c r="AH2" s="118">
        <v>0</v>
      </c>
      <c r="AI2" s="118">
        <v>0</v>
      </c>
      <c r="AJ2" s="118">
        <v>0</v>
      </c>
      <c r="AK2" s="118">
        <v>0</v>
      </c>
      <c r="AL2" s="118">
        <v>0</v>
      </c>
      <c r="AM2" s="118">
        <v>0</v>
      </c>
      <c r="AN2" s="118">
        <v>0</v>
      </c>
      <c r="AO2" s="118">
        <v>0</v>
      </c>
      <c r="AP2" s="118">
        <v>0</v>
      </c>
      <c r="AQ2" s="118">
        <v>0</v>
      </c>
      <c r="AR2" s="118">
        <v>0</v>
      </c>
      <c r="AS2" s="118">
        <v>0</v>
      </c>
      <c r="AT2" s="118">
        <v>0</v>
      </c>
      <c r="AU2" s="118">
        <v>0</v>
      </c>
      <c r="AV2" s="118">
        <v>0</v>
      </c>
      <c r="AW2" s="118">
        <v>0</v>
      </c>
      <c r="AX2" s="118">
        <v>0</v>
      </c>
      <c r="AY2" s="118">
        <v>0</v>
      </c>
      <c r="AZ2" s="118">
        <v>0</v>
      </c>
      <c r="BA2" s="118">
        <v>0</v>
      </c>
      <c r="BB2" s="118">
        <v>0</v>
      </c>
      <c r="BC2" s="118">
        <v>0</v>
      </c>
      <c r="BD2" s="118">
        <v>0</v>
      </c>
      <c r="BE2" s="118">
        <v>0</v>
      </c>
      <c r="BF2" s="118">
        <v>0</v>
      </c>
      <c r="BG2" s="118">
        <v>0</v>
      </c>
      <c r="BH2" s="118">
        <v>0</v>
      </c>
      <c r="BI2" s="118">
        <v>0</v>
      </c>
      <c r="BJ2" s="118">
        <v>0</v>
      </c>
      <c r="BK2" s="118">
        <v>0</v>
      </c>
      <c r="BL2" s="118">
        <v>0</v>
      </c>
      <c r="BM2" s="118">
        <v>0</v>
      </c>
      <c r="BN2" s="118">
        <v>0</v>
      </c>
      <c r="BO2" s="118">
        <v>0</v>
      </c>
      <c r="BP2" s="118">
        <v>0</v>
      </c>
      <c r="BQ2" s="118"/>
      <c r="BR2" s="205"/>
      <c r="BS2" s="205"/>
      <c r="BT2" s="205"/>
      <c r="BU2" s="205"/>
      <c r="BV2" s="205"/>
      <c r="BW2" s="205"/>
      <c r="BX2" s="205"/>
      <c r="BY2" s="205"/>
      <c r="BZ2" s="205"/>
      <c r="CA2" s="205"/>
      <c r="CB2" s="205"/>
      <c r="CC2" s="205"/>
      <c r="CD2" s="205"/>
      <c r="CE2" s="205"/>
      <c r="CF2" s="205"/>
      <c r="CG2" s="205"/>
    </row>
    <row r="3" spans="1:85">
      <c r="A3" s="122">
        <v>13201</v>
      </c>
      <c r="B3" s="122" t="s">
        <v>68</v>
      </c>
      <c r="C3" s="122" t="s">
        <v>69</v>
      </c>
      <c r="D3" s="122" t="s">
        <v>70</v>
      </c>
      <c r="E3" s="122" t="s">
        <v>71</v>
      </c>
      <c r="F3" s="122">
        <v>13041</v>
      </c>
      <c r="G3" s="163" t="s">
        <v>68</v>
      </c>
      <c r="H3" s="122">
        <v>3</v>
      </c>
      <c r="I3" s="123" t="s">
        <v>72</v>
      </c>
      <c r="J3" s="118">
        <v>53.8</v>
      </c>
      <c r="K3" s="118">
        <v>1.72</v>
      </c>
      <c r="L3" s="118">
        <v>1.57</v>
      </c>
      <c r="M3" s="118">
        <v>0.12</v>
      </c>
      <c r="N3" s="118">
        <v>11.39</v>
      </c>
      <c r="O3" s="118">
        <v>0.45</v>
      </c>
      <c r="P3" s="118">
        <v>0.02</v>
      </c>
      <c r="Q3" s="118">
        <v>0.01</v>
      </c>
      <c r="R3" s="118">
        <v>0.12</v>
      </c>
      <c r="S3" s="118"/>
      <c r="T3" s="118">
        <v>0.01</v>
      </c>
      <c r="U3" s="118">
        <v>2.5499999999999998</v>
      </c>
      <c r="V3" s="118">
        <v>0</v>
      </c>
      <c r="W3" s="118">
        <v>0.3</v>
      </c>
      <c r="X3" s="118"/>
      <c r="Y3" s="118">
        <v>0.01</v>
      </c>
      <c r="Z3" s="118"/>
      <c r="AA3" s="118">
        <v>0</v>
      </c>
      <c r="AB3" s="118"/>
      <c r="AC3" s="118">
        <v>0</v>
      </c>
      <c r="AD3" s="118">
        <v>0.6</v>
      </c>
      <c r="AE3" s="118"/>
      <c r="AF3" s="118"/>
      <c r="AG3" s="118"/>
      <c r="AH3" s="118"/>
      <c r="AI3" s="118">
        <v>3.56</v>
      </c>
      <c r="AJ3" s="118"/>
      <c r="AK3" s="118">
        <v>0.28000000000000003</v>
      </c>
      <c r="AL3" s="118"/>
      <c r="AM3" s="118"/>
      <c r="AN3" s="118"/>
      <c r="AO3" s="118"/>
      <c r="AP3" s="118"/>
      <c r="AQ3" s="118">
        <v>0.14000000000000001</v>
      </c>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v>18.71</v>
      </c>
      <c r="BP3" s="118"/>
      <c r="BQ3" s="118"/>
      <c r="BR3" s="206"/>
      <c r="BS3" s="206"/>
      <c r="BT3" s="206"/>
      <c r="BU3" s="206"/>
      <c r="BV3" s="206"/>
      <c r="BW3" s="206"/>
      <c r="BX3" s="206"/>
      <c r="BY3" s="206"/>
      <c r="BZ3" s="206"/>
      <c r="CA3" s="206"/>
      <c r="CB3" s="206"/>
      <c r="CC3" s="206"/>
      <c r="CD3" s="206"/>
      <c r="CE3" s="206"/>
      <c r="CF3" s="206"/>
      <c r="CG3" s="205"/>
    </row>
    <row r="4" spans="1:85">
      <c r="A4" s="122">
        <v>11002</v>
      </c>
      <c r="B4" s="122" t="s">
        <v>1071</v>
      </c>
      <c r="C4" s="122"/>
      <c r="D4" s="122"/>
      <c r="E4" s="122" t="s">
        <v>1072</v>
      </c>
      <c r="F4" s="122" t="s">
        <v>1073</v>
      </c>
      <c r="G4" s="163" t="s">
        <v>1074</v>
      </c>
      <c r="H4" s="122">
        <v>1</v>
      </c>
      <c r="I4" s="122" t="s">
        <v>150</v>
      </c>
      <c r="J4" s="118">
        <v>343</v>
      </c>
      <c r="K4" s="118">
        <v>12.77</v>
      </c>
      <c r="L4" s="118">
        <v>6.73</v>
      </c>
      <c r="M4" s="118">
        <v>0.65</v>
      </c>
      <c r="N4" s="118">
        <v>76.150000000000006</v>
      </c>
      <c r="O4" s="118">
        <v>3.06</v>
      </c>
      <c r="P4" s="118">
        <v>0.06</v>
      </c>
      <c r="Q4" s="118">
        <v>0.04</v>
      </c>
      <c r="R4" s="118">
        <v>1.25</v>
      </c>
      <c r="S4" s="118"/>
      <c r="T4" s="118"/>
      <c r="U4" s="118">
        <v>9</v>
      </c>
      <c r="V4" s="118"/>
      <c r="W4" s="118">
        <v>0</v>
      </c>
      <c r="X4" s="118">
        <v>0</v>
      </c>
      <c r="Y4" s="118">
        <v>0.11</v>
      </c>
      <c r="Z4" s="118"/>
      <c r="AA4" s="118">
        <v>0</v>
      </c>
      <c r="AB4" s="118">
        <v>0</v>
      </c>
      <c r="AC4" s="118">
        <v>0</v>
      </c>
      <c r="AD4" s="118">
        <v>0</v>
      </c>
      <c r="AE4" s="118"/>
      <c r="AF4" s="118"/>
      <c r="AG4" s="118"/>
      <c r="AH4" s="118"/>
      <c r="AI4" s="118">
        <v>10</v>
      </c>
      <c r="AJ4" s="118">
        <v>0.14000000000000001</v>
      </c>
      <c r="AK4" s="118">
        <v>0.9</v>
      </c>
      <c r="AL4" s="118">
        <v>43</v>
      </c>
      <c r="AM4" s="118"/>
      <c r="AN4" s="118">
        <v>126</v>
      </c>
      <c r="AO4" s="118">
        <v>113</v>
      </c>
      <c r="AP4" s="118"/>
      <c r="AQ4" s="118">
        <v>1.0900000000000001</v>
      </c>
      <c r="AR4" s="118">
        <v>0.1</v>
      </c>
      <c r="AS4" s="118">
        <v>0.12</v>
      </c>
      <c r="AT4" s="118">
        <v>0.1</v>
      </c>
      <c r="AU4" s="118">
        <v>0</v>
      </c>
      <c r="AV4" s="118">
        <v>0.16</v>
      </c>
      <c r="AW4" s="118">
        <v>0.28999999999999998</v>
      </c>
      <c r="AX4" s="118">
        <v>0.56000000000000005</v>
      </c>
      <c r="AY4" s="118">
        <v>0.24</v>
      </c>
      <c r="AZ4" s="118">
        <v>0.16</v>
      </c>
      <c r="BA4" s="118">
        <v>0.14000000000000001</v>
      </c>
      <c r="BB4" s="118">
        <v>0.36</v>
      </c>
      <c r="BC4" s="118">
        <v>0.24</v>
      </c>
      <c r="BD4" s="118">
        <v>0.08</v>
      </c>
      <c r="BE4" s="118">
        <v>0.41</v>
      </c>
      <c r="BF4" s="118">
        <v>0.39</v>
      </c>
      <c r="BG4" s="118">
        <v>0.56000000000000005</v>
      </c>
      <c r="BH4" s="118">
        <v>0.63</v>
      </c>
      <c r="BI4" s="118">
        <v>1.31</v>
      </c>
      <c r="BJ4" s="118">
        <v>0.31</v>
      </c>
      <c r="BK4" s="118">
        <v>0.32</v>
      </c>
      <c r="BL4" s="118">
        <v>0.35</v>
      </c>
      <c r="BM4" s="118">
        <v>0.22</v>
      </c>
      <c r="BN4" s="118"/>
      <c r="BO4" s="118">
        <v>92</v>
      </c>
      <c r="BP4" s="118">
        <v>1</v>
      </c>
      <c r="BQ4" s="197">
        <v>2.1</v>
      </c>
      <c r="BR4" s="154">
        <v>0.85</v>
      </c>
      <c r="BS4" s="154" t="s">
        <v>85</v>
      </c>
      <c r="BT4" s="154">
        <v>13.19</v>
      </c>
      <c r="BU4" s="154">
        <v>143</v>
      </c>
      <c r="BV4" s="154" t="s">
        <v>85</v>
      </c>
      <c r="BW4" s="154">
        <v>109</v>
      </c>
      <c r="BX4" s="154">
        <v>1.54</v>
      </c>
      <c r="BY4" s="154" t="s">
        <v>85</v>
      </c>
      <c r="BZ4" s="154">
        <v>234</v>
      </c>
      <c r="CA4" s="154">
        <v>9.51</v>
      </c>
      <c r="CB4" s="154"/>
      <c r="CC4" s="154" t="s">
        <v>85</v>
      </c>
      <c r="CD4" s="154">
        <v>14.5</v>
      </c>
      <c r="CE4" s="154" t="s">
        <v>85</v>
      </c>
      <c r="CF4" s="154" t="s">
        <v>85</v>
      </c>
      <c r="CG4" s="207" t="s">
        <v>1075</v>
      </c>
    </row>
    <row r="5" spans="1:85">
      <c r="A5" s="122">
        <v>90802</v>
      </c>
      <c r="B5" s="122" t="s">
        <v>73</v>
      </c>
      <c r="C5" s="122" t="s">
        <v>74</v>
      </c>
      <c r="D5" s="122" t="s">
        <v>75</v>
      </c>
      <c r="E5" s="122" t="s">
        <v>1076</v>
      </c>
      <c r="F5" s="122" t="s">
        <v>1077</v>
      </c>
      <c r="G5" s="163" t="s">
        <v>1078</v>
      </c>
      <c r="H5" s="122">
        <v>21</v>
      </c>
      <c r="I5" s="122" t="s">
        <v>78</v>
      </c>
      <c r="J5" s="118">
        <v>261</v>
      </c>
      <c r="K5" s="118">
        <v>20</v>
      </c>
      <c r="L5" s="118">
        <v>10.199999999999999</v>
      </c>
      <c r="M5" s="118">
        <v>2.2000000000000002</v>
      </c>
      <c r="N5" s="118">
        <v>37.78</v>
      </c>
      <c r="O5" s="118">
        <v>24.42</v>
      </c>
      <c r="P5" s="118">
        <v>0.22</v>
      </c>
      <c r="Q5" s="118">
        <v>0.17</v>
      </c>
      <c r="R5" s="118">
        <v>0.8</v>
      </c>
      <c r="S5" s="118">
        <v>0.27</v>
      </c>
      <c r="T5" s="118">
        <v>0.23</v>
      </c>
      <c r="U5" s="118">
        <v>3.91</v>
      </c>
      <c r="V5" s="118">
        <v>0</v>
      </c>
      <c r="W5" s="118">
        <v>0</v>
      </c>
      <c r="X5" s="118">
        <v>38.35</v>
      </c>
      <c r="Y5" s="118"/>
      <c r="Z5" s="118"/>
      <c r="AA5" s="118">
        <v>0</v>
      </c>
      <c r="AB5" s="118">
        <v>0</v>
      </c>
      <c r="AC5" s="118"/>
      <c r="AD5" s="118">
        <v>60.65</v>
      </c>
      <c r="AE5" s="118">
        <v>65.45</v>
      </c>
      <c r="AF5" s="118"/>
      <c r="AG5" s="118"/>
      <c r="AH5" s="118">
        <v>38.01</v>
      </c>
      <c r="AI5" s="118">
        <v>130</v>
      </c>
      <c r="AJ5" s="118">
        <v>0.47</v>
      </c>
      <c r="AK5" s="118">
        <v>4.5999999999999996</v>
      </c>
      <c r="AL5" s="118">
        <v>173</v>
      </c>
      <c r="AM5" s="118">
        <v>28</v>
      </c>
      <c r="AN5" s="118">
        <v>160</v>
      </c>
      <c r="AO5" s="118">
        <v>976.01</v>
      </c>
      <c r="AP5" s="118"/>
      <c r="AQ5" s="118">
        <v>2.81</v>
      </c>
      <c r="AR5" s="118">
        <v>0.41</v>
      </c>
      <c r="AS5" s="118">
        <v>0.99</v>
      </c>
      <c r="AT5" s="118">
        <v>0.55000000000000004</v>
      </c>
      <c r="AU5" s="118"/>
      <c r="AV5" s="124">
        <v>0.13800999999999999</v>
      </c>
      <c r="AW5" s="124">
        <v>0.14615</v>
      </c>
      <c r="AX5" s="124">
        <v>0.49062</v>
      </c>
      <c r="AY5" s="124">
        <v>0.21534</v>
      </c>
      <c r="AZ5" s="124">
        <v>7.6219999999999996E-2</v>
      </c>
      <c r="BA5" s="124">
        <v>6.8449999999999997E-2</v>
      </c>
      <c r="BB5" s="124">
        <v>0.28526999999999997</v>
      </c>
      <c r="BC5" s="124">
        <v>0.22125999999999998</v>
      </c>
      <c r="BD5" s="124">
        <v>6.7339999999999997E-2</v>
      </c>
      <c r="BE5" s="124">
        <v>0.20313000000000001</v>
      </c>
      <c r="BF5" s="124">
        <v>0.45991000000000004</v>
      </c>
      <c r="BG5" s="124">
        <v>0.61753000000000002</v>
      </c>
      <c r="BH5" s="124">
        <v>1.0027000000000001</v>
      </c>
      <c r="BI5" s="124">
        <v>1.36974</v>
      </c>
      <c r="BJ5" s="124">
        <v>0.40441000000000005</v>
      </c>
      <c r="BK5" s="124">
        <v>0.29044999999999999</v>
      </c>
      <c r="BL5" s="124">
        <v>0.41402999999999995</v>
      </c>
      <c r="BM5" s="124">
        <v>0.16131999999999999</v>
      </c>
      <c r="BN5" s="118"/>
      <c r="BO5" s="118">
        <v>463.66</v>
      </c>
      <c r="BP5" s="118"/>
      <c r="BQ5" s="118"/>
      <c r="BR5" s="208" t="s">
        <v>85</v>
      </c>
      <c r="BS5" s="208" t="s">
        <v>85</v>
      </c>
      <c r="BT5" s="208" t="s">
        <v>85</v>
      </c>
      <c r="BU5" s="208">
        <v>557</v>
      </c>
      <c r="BV5" s="208" t="s">
        <v>85</v>
      </c>
      <c r="BW5" s="208">
        <v>858</v>
      </c>
      <c r="BX5" s="208" t="s">
        <v>85</v>
      </c>
      <c r="BY5" s="208" t="s">
        <v>85</v>
      </c>
      <c r="BZ5" s="208">
        <v>411</v>
      </c>
      <c r="CA5" s="208">
        <v>172</v>
      </c>
      <c r="CB5" s="208"/>
      <c r="CC5" s="208" t="s">
        <v>85</v>
      </c>
      <c r="CD5" s="208">
        <v>141</v>
      </c>
      <c r="CE5" s="208" t="s">
        <v>85</v>
      </c>
      <c r="CF5" s="208" t="s">
        <v>85</v>
      </c>
      <c r="CG5" s="205"/>
    </row>
    <row r="6" spans="1:85">
      <c r="A6" s="122">
        <v>90803</v>
      </c>
      <c r="B6" s="122" t="s">
        <v>79</v>
      </c>
      <c r="C6" s="122" t="s">
        <v>80</v>
      </c>
      <c r="D6" s="122" t="s">
        <v>81</v>
      </c>
      <c r="E6" s="122" t="s">
        <v>82</v>
      </c>
      <c r="F6" s="122" t="s">
        <v>83</v>
      </c>
      <c r="G6" s="163" t="s">
        <v>84</v>
      </c>
      <c r="H6" s="122">
        <v>21</v>
      </c>
      <c r="I6" s="122" t="s">
        <v>78</v>
      </c>
      <c r="J6" s="118">
        <v>270.55</v>
      </c>
      <c r="K6" s="118">
        <v>6.69</v>
      </c>
      <c r="L6" s="118">
        <v>6.69</v>
      </c>
      <c r="M6" s="118">
        <v>2.8</v>
      </c>
      <c r="N6" s="118">
        <v>52.53</v>
      </c>
      <c r="O6" s="118">
        <v>23.46</v>
      </c>
      <c r="P6" s="118">
        <v>0.05</v>
      </c>
      <c r="Q6" s="118">
        <v>0.13</v>
      </c>
      <c r="R6" s="118">
        <v>0.52</v>
      </c>
      <c r="S6" s="118">
        <v>0.27</v>
      </c>
      <c r="T6" s="118">
        <v>0.2</v>
      </c>
      <c r="U6" s="118">
        <v>4.96</v>
      </c>
      <c r="V6" s="118"/>
      <c r="W6" s="118">
        <v>21</v>
      </c>
      <c r="X6" s="118">
        <v>43.55</v>
      </c>
      <c r="Y6" s="118">
        <v>0.36</v>
      </c>
      <c r="Z6" s="118">
        <v>5.74</v>
      </c>
      <c r="AA6" s="118"/>
      <c r="AB6" s="125">
        <f>AA6+1/12*(AD6)+1/24*(AC6)+1/24*(AG6)</f>
        <v>6.456666666666667</v>
      </c>
      <c r="AC6" s="118"/>
      <c r="AD6" s="118">
        <v>77.48</v>
      </c>
      <c r="AE6" s="118">
        <v>56.9</v>
      </c>
      <c r="AF6" s="118"/>
      <c r="AG6" s="118"/>
      <c r="AH6" s="118">
        <v>10.31</v>
      </c>
      <c r="AI6" s="118">
        <v>312</v>
      </c>
      <c r="AJ6" s="118">
        <v>0.75</v>
      </c>
      <c r="AK6" s="118">
        <v>7.94</v>
      </c>
      <c r="AL6" s="118">
        <v>286</v>
      </c>
      <c r="AM6" s="118">
        <v>30.25</v>
      </c>
      <c r="AN6" s="118">
        <v>117</v>
      </c>
      <c r="AO6" s="118">
        <v>1331</v>
      </c>
      <c r="AP6" s="118">
        <v>3.99</v>
      </c>
      <c r="AQ6" s="118">
        <v>4.75</v>
      </c>
      <c r="AR6" s="118">
        <v>0.49</v>
      </c>
      <c r="AS6" s="118">
        <v>1.08</v>
      </c>
      <c r="AT6" s="118">
        <v>0.52</v>
      </c>
      <c r="AU6" s="118"/>
      <c r="AV6" s="118">
        <v>1.82</v>
      </c>
      <c r="AW6" s="118">
        <v>1.8</v>
      </c>
      <c r="AX6" s="118">
        <v>6.02</v>
      </c>
      <c r="AY6" s="118">
        <v>2.58</v>
      </c>
      <c r="AZ6" s="118">
        <v>0.86</v>
      </c>
      <c r="BA6" s="118">
        <v>0.79</v>
      </c>
      <c r="BB6" s="118">
        <v>3.39</v>
      </c>
      <c r="BC6" s="118">
        <v>2.95</v>
      </c>
      <c r="BD6" s="118">
        <v>0.86</v>
      </c>
      <c r="BE6" s="118">
        <v>2.64</v>
      </c>
      <c r="BF6" s="118">
        <v>6.19</v>
      </c>
      <c r="BG6" s="118">
        <v>7.36</v>
      </c>
      <c r="BH6" s="118">
        <v>15.14</v>
      </c>
      <c r="BI6" s="118">
        <v>17.809999999999999</v>
      </c>
      <c r="BJ6" s="118">
        <v>5.64</v>
      </c>
      <c r="BK6" s="118">
        <v>4.25</v>
      </c>
      <c r="BL6" s="118">
        <v>5.37</v>
      </c>
      <c r="BM6" s="118">
        <v>1.97</v>
      </c>
      <c r="BN6" s="118">
        <v>134</v>
      </c>
      <c r="BO6" s="118">
        <v>670</v>
      </c>
      <c r="BP6" s="118">
        <v>247</v>
      </c>
      <c r="BQ6" s="118" t="s">
        <v>85</v>
      </c>
      <c r="BR6" s="206" t="s">
        <v>85</v>
      </c>
      <c r="BS6" s="206" t="s">
        <v>85</v>
      </c>
      <c r="BT6" s="206">
        <v>430</v>
      </c>
      <c r="BU6" s="206" t="s">
        <v>85</v>
      </c>
      <c r="BV6" s="206">
        <v>1043</v>
      </c>
      <c r="BW6" s="206" t="s">
        <v>85</v>
      </c>
      <c r="BX6" s="206" t="s">
        <v>85</v>
      </c>
      <c r="BY6" s="206">
        <v>320</v>
      </c>
      <c r="BZ6" s="206">
        <v>197</v>
      </c>
      <c r="CA6" s="206"/>
      <c r="CB6" s="206" t="s">
        <v>85</v>
      </c>
      <c r="CC6" s="206">
        <v>98.2</v>
      </c>
      <c r="CD6" s="206" t="s">
        <v>85</v>
      </c>
      <c r="CE6" s="206" t="s">
        <v>85</v>
      </c>
      <c r="CF6" s="206"/>
      <c r="CG6" s="205"/>
    </row>
    <row r="7" spans="1:85">
      <c r="A7" s="122">
        <v>90808</v>
      </c>
      <c r="B7" s="122" t="s">
        <v>86</v>
      </c>
      <c r="C7" s="122" t="s">
        <v>87</v>
      </c>
      <c r="D7" s="122" t="s">
        <v>88</v>
      </c>
      <c r="E7" s="122" t="s">
        <v>82</v>
      </c>
      <c r="F7" s="122" t="s">
        <v>89</v>
      </c>
      <c r="G7" s="163" t="s">
        <v>90</v>
      </c>
      <c r="H7" s="122">
        <v>21</v>
      </c>
      <c r="I7" s="122" t="s">
        <v>78</v>
      </c>
      <c r="J7" s="118">
        <v>304.49</v>
      </c>
      <c r="K7" s="118">
        <v>10.59</v>
      </c>
      <c r="L7" s="118">
        <v>13.91</v>
      </c>
      <c r="M7" s="118">
        <v>16.64</v>
      </c>
      <c r="N7" s="118">
        <v>22.62</v>
      </c>
      <c r="O7" s="118">
        <v>30.35</v>
      </c>
      <c r="P7" s="118">
        <v>0.52</v>
      </c>
      <c r="Q7" s="118">
        <v>0.13</v>
      </c>
      <c r="R7" s="118">
        <v>2.87</v>
      </c>
      <c r="S7" s="118">
        <v>0.22</v>
      </c>
      <c r="T7" s="118">
        <v>0.39</v>
      </c>
      <c r="U7" s="118">
        <v>27.79</v>
      </c>
      <c r="V7" s="118"/>
      <c r="W7" s="118">
        <v>7.7</v>
      </c>
      <c r="X7" s="118">
        <v>12.1</v>
      </c>
      <c r="Y7" s="120">
        <v>1.49</v>
      </c>
      <c r="Z7" s="120">
        <v>146</v>
      </c>
      <c r="AA7" s="118">
        <v>0</v>
      </c>
      <c r="AB7" s="125">
        <f>AA7+1/12*(AD7)+1/24*(AC7)+1/24*(AG7)</f>
        <v>7.4324999999999992</v>
      </c>
      <c r="AC7" s="118"/>
      <c r="AD7" s="120">
        <v>89.19</v>
      </c>
      <c r="AE7" s="120">
        <v>170</v>
      </c>
      <c r="AF7" s="118"/>
      <c r="AG7" s="118"/>
      <c r="AH7" s="120">
        <v>42.6</v>
      </c>
      <c r="AI7" s="120">
        <v>878</v>
      </c>
      <c r="AJ7" s="120">
        <v>1.1399999999999999</v>
      </c>
      <c r="AK7" s="120">
        <v>20.58</v>
      </c>
      <c r="AL7" s="120">
        <v>442</v>
      </c>
      <c r="AM7" s="120">
        <v>4.21</v>
      </c>
      <c r="AN7" s="120">
        <v>382</v>
      </c>
      <c r="AO7" s="120">
        <v>1886</v>
      </c>
      <c r="AP7" s="120">
        <v>4.01</v>
      </c>
      <c r="AQ7" s="120">
        <v>4.29</v>
      </c>
      <c r="AR7" s="120">
        <v>0.62</v>
      </c>
      <c r="AS7" s="120">
        <v>8.3800000000000008</v>
      </c>
      <c r="AT7" s="120">
        <v>4.3099999999999996</v>
      </c>
      <c r="AU7" s="118"/>
      <c r="AV7" s="120">
        <v>2.87</v>
      </c>
      <c r="AW7" s="120">
        <v>4.43</v>
      </c>
      <c r="AX7" s="120">
        <v>6.23</v>
      </c>
      <c r="AY7" s="120">
        <v>4.8499999999999996</v>
      </c>
      <c r="AZ7" s="120">
        <v>1.25</v>
      </c>
      <c r="BA7" s="120">
        <v>1.02</v>
      </c>
      <c r="BB7" s="120">
        <v>4.46</v>
      </c>
      <c r="BC7" s="120">
        <v>3.91</v>
      </c>
      <c r="BD7" s="120">
        <v>0.95</v>
      </c>
      <c r="BE7" s="120">
        <v>5.13</v>
      </c>
      <c r="BF7" s="120">
        <v>5.22</v>
      </c>
      <c r="BG7" s="120">
        <v>6.82</v>
      </c>
      <c r="BH7" s="120">
        <v>8.9600000000000009</v>
      </c>
      <c r="BI7" s="120">
        <v>20.91</v>
      </c>
      <c r="BJ7" s="120">
        <v>7.22</v>
      </c>
      <c r="BK7" s="120">
        <v>4.33</v>
      </c>
      <c r="BL7" s="120">
        <v>5.07</v>
      </c>
      <c r="BM7" s="120">
        <v>3.27</v>
      </c>
      <c r="BN7" s="120">
        <v>165</v>
      </c>
      <c r="BO7" s="120">
        <v>445</v>
      </c>
      <c r="BP7" s="120">
        <v>817</v>
      </c>
      <c r="BQ7" s="198"/>
      <c r="BR7" s="154" t="s">
        <v>85</v>
      </c>
      <c r="BS7" s="154" t="s">
        <v>85</v>
      </c>
      <c r="BT7" s="154" t="s">
        <v>85</v>
      </c>
      <c r="BU7" s="154">
        <v>500</v>
      </c>
      <c r="BV7" s="154" t="s">
        <v>85</v>
      </c>
      <c r="BW7" s="154">
        <v>8344</v>
      </c>
      <c r="BX7" s="154" t="s">
        <v>85</v>
      </c>
      <c r="BY7" s="154" t="s">
        <v>85</v>
      </c>
      <c r="BZ7" s="154">
        <v>4269</v>
      </c>
      <c r="CA7" s="154">
        <v>44</v>
      </c>
      <c r="CB7" s="154"/>
      <c r="CC7" s="154" t="s">
        <v>85</v>
      </c>
      <c r="CD7" s="154">
        <v>177</v>
      </c>
      <c r="CE7" s="154" t="s">
        <v>85</v>
      </c>
      <c r="CF7" s="154" t="s">
        <v>85</v>
      </c>
      <c r="CG7" s="207"/>
    </row>
    <row r="8" spans="1:85">
      <c r="A8" s="122">
        <v>90804</v>
      </c>
      <c r="B8" s="122" t="s">
        <v>91</v>
      </c>
      <c r="C8" s="122" t="s">
        <v>92</v>
      </c>
      <c r="D8" s="122" t="s">
        <v>93</v>
      </c>
      <c r="E8" s="122" t="s">
        <v>76</v>
      </c>
      <c r="F8" s="122" t="s">
        <v>1079</v>
      </c>
      <c r="G8" s="163" t="s">
        <v>1080</v>
      </c>
      <c r="H8" s="122">
        <v>21</v>
      </c>
      <c r="I8" s="122" t="s">
        <v>78</v>
      </c>
      <c r="J8" s="118">
        <v>353</v>
      </c>
      <c r="K8" s="118">
        <v>5.44</v>
      </c>
      <c r="L8" s="118">
        <v>7.61</v>
      </c>
      <c r="M8" s="118">
        <v>8.36</v>
      </c>
      <c r="N8" s="118">
        <v>48.67</v>
      </c>
      <c r="O8" s="118">
        <v>26.3</v>
      </c>
      <c r="P8" s="118">
        <v>0.01</v>
      </c>
      <c r="Q8" s="118">
        <v>0.42</v>
      </c>
      <c r="R8" s="118">
        <v>2.0099999999999998</v>
      </c>
      <c r="S8" s="118"/>
      <c r="T8" s="118">
        <v>1.74</v>
      </c>
      <c r="U8" s="118">
        <v>180</v>
      </c>
      <c r="V8" s="118">
        <v>0</v>
      </c>
      <c r="W8" s="120">
        <v>46.5</v>
      </c>
      <c r="X8" s="120">
        <v>0</v>
      </c>
      <c r="Y8" s="118"/>
      <c r="Z8" s="118"/>
      <c r="AA8" s="118">
        <v>0</v>
      </c>
      <c r="AB8" s="118">
        <v>309.17</v>
      </c>
      <c r="AC8" s="118"/>
      <c r="AD8" s="118">
        <v>3710</v>
      </c>
      <c r="AE8" s="118"/>
      <c r="AF8" s="118"/>
      <c r="AG8" s="118"/>
      <c r="AH8" s="118"/>
      <c r="AI8" s="118">
        <v>834</v>
      </c>
      <c r="AJ8" s="118">
        <v>0.42</v>
      </c>
      <c r="AK8" s="118">
        <v>43</v>
      </c>
      <c r="AL8" s="118">
        <v>120</v>
      </c>
      <c r="AM8" s="118">
        <v>8.17</v>
      </c>
      <c r="AN8" s="118">
        <v>113</v>
      </c>
      <c r="AO8" s="118">
        <v>529</v>
      </c>
      <c r="AP8" s="118">
        <v>2.8</v>
      </c>
      <c r="AQ8" s="118">
        <v>3.7</v>
      </c>
      <c r="AR8" s="118"/>
      <c r="AS8" s="118"/>
      <c r="AT8" s="118"/>
      <c r="AU8" s="118"/>
      <c r="AV8" s="124"/>
      <c r="AW8" s="124"/>
      <c r="AX8" s="124"/>
      <c r="AY8" s="124"/>
      <c r="AZ8" s="124"/>
      <c r="BA8" s="124"/>
      <c r="BB8" s="124"/>
      <c r="BC8" s="124"/>
      <c r="BD8" s="124"/>
      <c r="BE8" s="124"/>
      <c r="BF8" s="124"/>
      <c r="BG8" s="124"/>
      <c r="BH8" s="124"/>
      <c r="BI8" s="124"/>
      <c r="BJ8" s="124"/>
      <c r="BK8" s="124"/>
      <c r="BL8" s="124"/>
      <c r="BM8" s="124"/>
      <c r="BN8" s="118"/>
      <c r="BO8" s="118"/>
      <c r="BP8" s="118"/>
      <c r="BQ8" s="118"/>
      <c r="BR8" s="208"/>
      <c r="BS8" s="208"/>
      <c r="BT8" s="208"/>
      <c r="BU8" s="208"/>
      <c r="BV8" s="208"/>
      <c r="BW8" s="208"/>
      <c r="BX8" s="208"/>
      <c r="BY8" s="208"/>
      <c r="BZ8" s="208"/>
      <c r="CA8" s="208"/>
      <c r="CB8" s="208"/>
      <c r="CC8" s="208"/>
      <c r="CD8" s="208"/>
      <c r="CE8" s="208"/>
      <c r="CF8" s="208"/>
      <c r="CG8" s="205"/>
    </row>
    <row r="9" spans="1:85">
      <c r="A9" s="122">
        <v>90805</v>
      </c>
      <c r="B9" s="122" t="s">
        <v>95</v>
      </c>
      <c r="C9" s="122" t="s">
        <v>96</v>
      </c>
      <c r="D9" s="122" t="s">
        <v>97</v>
      </c>
      <c r="E9" s="122" t="s">
        <v>1081</v>
      </c>
      <c r="F9" s="122" t="s">
        <v>1082</v>
      </c>
      <c r="G9" s="163" t="s">
        <v>1083</v>
      </c>
      <c r="H9" s="122">
        <v>21</v>
      </c>
      <c r="I9" s="122" t="s">
        <v>78</v>
      </c>
      <c r="J9" s="118">
        <v>313</v>
      </c>
      <c r="K9" s="118">
        <v>10</v>
      </c>
      <c r="L9" s="118">
        <v>15.9</v>
      </c>
      <c r="M9" s="118">
        <v>6.2</v>
      </c>
      <c r="N9" s="125">
        <v>35.18</v>
      </c>
      <c r="O9" s="125">
        <v>26.62</v>
      </c>
      <c r="P9" s="125">
        <v>0.93</v>
      </c>
      <c r="Q9" s="125">
        <v>0.43</v>
      </c>
      <c r="R9" s="125">
        <v>8.6999999999999993</v>
      </c>
      <c r="S9" s="125">
        <v>0.56999999999999995</v>
      </c>
      <c r="T9" s="125">
        <v>2.4500000000000002</v>
      </c>
      <c r="U9" s="125">
        <v>106</v>
      </c>
      <c r="V9" s="125">
        <v>0</v>
      </c>
      <c r="W9" s="125">
        <v>47.4</v>
      </c>
      <c r="X9" s="125">
        <v>0</v>
      </c>
      <c r="Y9" s="125">
        <v>19.71</v>
      </c>
      <c r="Z9" s="118">
        <v>106</v>
      </c>
      <c r="AA9" s="125">
        <v>0</v>
      </c>
      <c r="AB9" s="125">
        <v>746.91</v>
      </c>
      <c r="AC9" s="125">
        <v>0</v>
      </c>
      <c r="AD9" s="125">
        <v>7840.65</v>
      </c>
      <c r="AE9" s="125">
        <v>1843</v>
      </c>
      <c r="AF9" s="125">
        <v>36.44</v>
      </c>
      <c r="AG9" s="125">
        <v>1599</v>
      </c>
      <c r="AH9" s="125">
        <v>2712</v>
      </c>
      <c r="AI9" s="118">
        <v>160</v>
      </c>
      <c r="AJ9" s="118">
        <v>0.37</v>
      </c>
      <c r="AK9" s="118">
        <v>2.2999999999999998</v>
      </c>
      <c r="AL9" s="118">
        <v>152</v>
      </c>
      <c r="AM9" s="118">
        <v>1.7</v>
      </c>
      <c r="AN9" s="118">
        <v>293</v>
      </c>
      <c r="AO9" s="118">
        <v>2010</v>
      </c>
      <c r="AP9" s="118">
        <v>20.399999999999999</v>
      </c>
      <c r="AQ9" s="118">
        <v>2.48</v>
      </c>
      <c r="AR9" s="118">
        <v>1.1399999999999999</v>
      </c>
      <c r="AS9" s="118">
        <v>0.72</v>
      </c>
      <c r="AT9" s="118">
        <v>3.2629999999999999</v>
      </c>
      <c r="AU9" s="118"/>
      <c r="AV9" s="124">
        <v>0.26776</v>
      </c>
      <c r="AW9" s="124">
        <v>0.47587999999999997</v>
      </c>
      <c r="AX9" s="124">
        <v>0.80962000000000001</v>
      </c>
      <c r="AY9" s="124">
        <v>0.53171000000000002</v>
      </c>
      <c r="AZ9" s="124">
        <v>0.15988999999999998</v>
      </c>
      <c r="BA9" s="124">
        <v>0.22081000000000001</v>
      </c>
      <c r="BB9" s="124">
        <v>0.64591999999999994</v>
      </c>
      <c r="BC9" s="124">
        <v>0.51775000000000004</v>
      </c>
      <c r="BD9" s="124">
        <v>0.11675000000000001</v>
      </c>
      <c r="BE9" s="124">
        <v>0.61165999999999998</v>
      </c>
      <c r="BF9" s="124">
        <v>0.6053099999999999</v>
      </c>
      <c r="BG9" s="124">
        <v>0.62941999999999998</v>
      </c>
      <c r="BH9" s="124">
        <v>1.78295</v>
      </c>
      <c r="BI9" s="124">
        <v>2.1979099999999998</v>
      </c>
      <c r="BJ9" s="124">
        <v>0.65100000000000002</v>
      </c>
      <c r="BK9" s="124">
        <v>0.71951999999999994</v>
      </c>
      <c r="BL9" s="124">
        <v>0.54821000000000009</v>
      </c>
      <c r="BM9" s="124">
        <v>0.39212000000000002</v>
      </c>
      <c r="BN9" s="118"/>
      <c r="BO9" s="118">
        <v>264</v>
      </c>
      <c r="BP9" s="118">
        <v>67</v>
      </c>
      <c r="BQ9" s="118">
        <v>34.299999999999997</v>
      </c>
      <c r="BR9" s="205" t="s">
        <v>85</v>
      </c>
      <c r="BS9" s="205" t="s">
        <v>85</v>
      </c>
      <c r="BT9" s="205">
        <v>60.26</v>
      </c>
      <c r="BU9" s="205">
        <v>890</v>
      </c>
      <c r="BV9" s="205" t="s">
        <v>85</v>
      </c>
      <c r="BW9" s="205">
        <v>646</v>
      </c>
      <c r="BX9" s="205">
        <v>6.75</v>
      </c>
      <c r="BY9" s="205" t="s">
        <v>85</v>
      </c>
      <c r="BZ9" s="205">
        <v>3081</v>
      </c>
      <c r="CA9" s="205">
        <v>182</v>
      </c>
      <c r="CB9" s="205"/>
      <c r="CC9" s="205" t="s">
        <v>85</v>
      </c>
      <c r="CD9" s="205">
        <v>188</v>
      </c>
      <c r="CE9" s="205" t="s">
        <v>85</v>
      </c>
      <c r="CF9" s="205" t="s">
        <v>85</v>
      </c>
      <c r="CG9" s="205"/>
    </row>
    <row r="10" spans="1:85">
      <c r="A10" s="122">
        <v>24002</v>
      </c>
      <c r="B10" s="122" t="s">
        <v>100</v>
      </c>
      <c r="C10" s="122" t="s">
        <v>101</v>
      </c>
      <c r="D10" s="122" t="s">
        <v>102</v>
      </c>
      <c r="E10" s="122" t="s">
        <v>103</v>
      </c>
      <c r="F10" s="121" t="s">
        <v>104</v>
      </c>
      <c r="G10" s="163" t="s">
        <v>105</v>
      </c>
      <c r="H10" s="122">
        <v>21</v>
      </c>
      <c r="I10" s="122" t="s">
        <v>78</v>
      </c>
      <c r="J10" s="118">
        <v>335</v>
      </c>
      <c r="K10" s="126">
        <v>9.94</v>
      </c>
      <c r="L10" s="118">
        <v>8.98</v>
      </c>
      <c r="M10" s="118">
        <v>4.24</v>
      </c>
      <c r="N10" s="118">
        <v>71.599999999999994</v>
      </c>
      <c r="O10" s="118">
        <v>14.1</v>
      </c>
      <c r="P10" s="118">
        <v>4.5999999999999999E-2</v>
      </c>
      <c r="Q10" s="118">
        <v>0.17</v>
      </c>
      <c r="R10" s="118">
        <v>9.6199999999999992</v>
      </c>
      <c r="S10" s="118">
        <v>0.47699999999999998</v>
      </c>
      <c r="T10" s="126">
        <v>0.626</v>
      </c>
      <c r="U10" s="118">
        <v>13</v>
      </c>
      <c r="V10" s="118">
        <v>0</v>
      </c>
      <c r="W10" s="118">
        <v>0.7</v>
      </c>
      <c r="X10" s="118">
        <v>0</v>
      </c>
      <c r="Y10" s="118">
        <v>0</v>
      </c>
      <c r="Z10" s="118">
        <v>0.8</v>
      </c>
      <c r="AA10" s="118">
        <v>0</v>
      </c>
      <c r="AB10" s="118">
        <v>2</v>
      </c>
      <c r="AC10" s="118">
        <v>0</v>
      </c>
      <c r="AD10" s="118">
        <v>18</v>
      </c>
      <c r="AE10" s="118">
        <v>0</v>
      </c>
      <c r="AF10" s="118">
        <v>0</v>
      </c>
      <c r="AG10" s="118">
        <v>0</v>
      </c>
      <c r="AH10" s="120"/>
      <c r="AI10" s="118">
        <v>114</v>
      </c>
      <c r="AJ10" s="118">
        <v>0.48</v>
      </c>
      <c r="AK10" s="118">
        <v>19.8</v>
      </c>
      <c r="AL10" s="126">
        <v>214</v>
      </c>
      <c r="AM10" s="118">
        <v>33.299999999999997</v>
      </c>
      <c r="AN10" s="118">
        <v>168</v>
      </c>
      <c r="AO10" s="118">
        <v>1320</v>
      </c>
      <c r="AP10" s="126">
        <v>55.8</v>
      </c>
      <c r="AQ10" s="118">
        <v>3.64</v>
      </c>
      <c r="AR10" s="118">
        <v>2.6</v>
      </c>
      <c r="AS10" s="118">
        <v>0.47899999999999998</v>
      </c>
      <c r="AT10" s="118">
        <v>0.92900000000000005</v>
      </c>
      <c r="AU10" s="118">
        <v>0</v>
      </c>
      <c r="AV10" s="118" t="s">
        <v>1084</v>
      </c>
      <c r="AW10" s="118">
        <v>0.34100000000000003</v>
      </c>
      <c r="AX10" s="118">
        <v>0.51300000000000001</v>
      </c>
      <c r="AY10" s="118">
        <v>0.24099999999999999</v>
      </c>
      <c r="AZ10" s="118">
        <v>8.8999999999999996E-2</v>
      </c>
      <c r="BA10" s="118">
        <v>9.9000000000000005E-2</v>
      </c>
      <c r="BB10" s="118">
        <v>0.311</v>
      </c>
      <c r="BC10" s="118">
        <v>0.28899999999999998</v>
      </c>
      <c r="BD10" s="118">
        <v>0.152</v>
      </c>
      <c r="BE10" s="118">
        <v>0.41099999999999998</v>
      </c>
      <c r="BF10" s="118">
        <v>0.27200000000000002</v>
      </c>
      <c r="BG10" s="118">
        <v>0.70799999999999996</v>
      </c>
      <c r="BH10" s="118">
        <v>1.39</v>
      </c>
      <c r="BI10" s="118">
        <v>0.79</v>
      </c>
      <c r="BJ10" s="118">
        <v>0.497</v>
      </c>
      <c r="BK10" s="118">
        <v>0.33400000000000002</v>
      </c>
      <c r="BL10" s="118">
        <v>0.25</v>
      </c>
      <c r="BM10" s="118">
        <v>0.24299999999999999</v>
      </c>
      <c r="BN10" s="118"/>
      <c r="BO10" s="118"/>
      <c r="BP10" s="118"/>
      <c r="BQ10" s="118"/>
      <c r="BR10" s="205" t="s">
        <v>85</v>
      </c>
      <c r="BS10" s="205">
        <v>24.21</v>
      </c>
      <c r="BT10" s="205">
        <v>11.05</v>
      </c>
      <c r="BU10" s="205">
        <v>176</v>
      </c>
      <c r="BV10" s="205" t="s">
        <v>85</v>
      </c>
      <c r="BW10" s="205">
        <v>67.97</v>
      </c>
      <c r="BX10" s="205" t="s">
        <v>85</v>
      </c>
      <c r="BY10" s="205" t="s">
        <v>85</v>
      </c>
      <c r="BZ10" s="205">
        <v>302</v>
      </c>
      <c r="CA10" s="205">
        <v>78.989999999999995</v>
      </c>
      <c r="CB10" s="205"/>
      <c r="CC10" s="205" t="s">
        <v>85</v>
      </c>
      <c r="CD10" s="205">
        <v>4.08</v>
      </c>
      <c r="CE10" s="205" t="s">
        <v>85</v>
      </c>
      <c r="CF10" s="205" t="s">
        <v>85</v>
      </c>
      <c r="CG10" s="205"/>
    </row>
    <row r="11" spans="1:85">
      <c r="A11" s="122">
        <v>90807</v>
      </c>
      <c r="B11" s="122" t="s">
        <v>106</v>
      </c>
      <c r="C11" s="122" t="s">
        <v>107</v>
      </c>
      <c r="D11" s="122" t="s">
        <v>88</v>
      </c>
      <c r="E11" s="122" t="s">
        <v>103</v>
      </c>
      <c r="F11" s="122">
        <v>170923</v>
      </c>
      <c r="G11" s="163" t="s">
        <v>108</v>
      </c>
      <c r="H11" s="122">
        <v>21</v>
      </c>
      <c r="I11" s="122" t="s">
        <v>78</v>
      </c>
      <c r="J11" s="118">
        <v>375</v>
      </c>
      <c r="K11" s="118">
        <v>8.06</v>
      </c>
      <c r="L11" s="118">
        <v>17.8</v>
      </c>
      <c r="M11" s="118">
        <v>22.3</v>
      </c>
      <c r="N11" s="118">
        <v>44.2</v>
      </c>
      <c r="O11" s="118">
        <v>10.5</v>
      </c>
      <c r="P11" s="118">
        <v>0.628</v>
      </c>
      <c r="Q11" s="118">
        <v>0.32700000000000001</v>
      </c>
      <c r="R11" s="118">
        <v>4.58</v>
      </c>
      <c r="S11" s="118"/>
      <c r="T11" s="118">
        <v>0.435</v>
      </c>
      <c r="U11" s="118">
        <v>10</v>
      </c>
      <c r="V11" s="118">
        <v>0</v>
      </c>
      <c r="W11" s="118">
        <v>7.7</v>
      </c>
      <c r="X11" s="118">
        <v>0</v>
      </c>
      <c r="Y11" s="118">
        <v>3.33</v>
      </c>
      <c r="Z11" s="118">
        <v>5.4</v>
      </c>
      <c r="AA11" s="118">
        <v>0</v>
      </c>
      <c r="AB11" s="118">
        <v>64</v>
      </c>
      <c r="AC11" s="118">
        <v>0</v>
      </c>
      <c r="AD11" s="118">
        <v>762</v>
      </c>
      <c r="AE11" s="118"/>
      <c r="AF11" s="118">
        <v>0</v>
      </c>
      <c r="AG11" s="118">
        <v>0</v>
      </c>
      <c r="AH11" s="118"/>
      <c r="AI11" s="118">
        <v>931</v>
      </c>
      <c r="AJ11" s="118">
        <v>0.86699999999999999</v>
      </c>
      <c r="AK11" s="118">
        <v>66.400000000000006</v>
      </c>
      <c r="AL11" s="118">
        <v>366</v>
      </c>
      <c r="AM11" s="118">
        <v>3.33</v>
      </c>
      <c r="AN11" s="118">
        <v>499</v>
      </c>
      <c r="AO11" s="118">
        <v>1790</v>
      </c>
      <c r="AP11" s="118">
        <v>5.2</v>
      </c>
      <c r="AQ11" s="118">
        <v>4.8</v>
      </c>
      <c r="AR11" s="118">
        <v>1.54</v>
      </c>
      <c r="AS11" s="118">
        <v>14</v>
      </c>
      <c r="AT11" s="118">
        <v>3.28</v>
      </c>
      <c r="AU11" s="118">
        <v>0</v>
      </c>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205" t="s">
        <v>85</v>
      </c>
      <c r="BS11" s="205" t="s">
        <v>85</v>
      </c>
      <c r="BT11" s="205" t="s">
        <v>85</v>
      </c>
      <c r="BU11" s="205">
        <v>500</v>
      </c>
      <c r="BV11" s="205" t="s">
        <v>85</v>
      </c>
      <c r="BW11" s="205">
        <v>8344</v>
      </c>
      <c r="BX11" s="205" t="s">
        <v>85</v>
      </c>
      <c r="BY11" s="205" t="s">
        <v>85</v>
      </c>
      <c r="BZ11" s="205">
        <v>4269</v>
      </c>
      <c r="CA11" s="205">
        <v>44</v>
      </c>
      <c r="CB11" s="205"/>
      <c r="CC11" s="205" t="s">
        <v>85</v>
      </c>
      <c r="CD11" s="205">
        <v>177</v>
      </c>
      <c r="CE11" s="205" t="s">
        <v>85</v>
      </c>
      <c r="CF11" s="205" t="s">
        <v>85</v>
      </c>
      <c r="CG11" s="205"/>
    </row>
    <row r="12" spans="1:85">
      <c r="A12" s="122">
        <v>90812</v>
      </c>
      <c r="B12" s="122" t="s">
        <v>109</v>
      </c>
      <c r="C12" s="122"/>
      <c r="D12" s="122"/>
      <c r="E12" s="122" t="s">
        <v>76</v>
      </c>
      <c r="F12" s="122" t="s">
        <v>1085</v>
      </c>
      <c r="G12" s="163" t="s">
        <v>1086</v>
      </c>
      <c r="H12" s="122">
        <v>21</v>
      </c>
      <c r="I12" s="122" t="s">
        <v>78</v>
      </c>
      <c r="J12" s="118">
        <v>336</v>
      </c>
      <c r="K12" s="118">
        <v>11.2</v>
      </c>
      <c r="L12" s="118">
        <v>14.1</v>
      </c>
      <c r="M12" s="118">
        <v>16.100000000000001</v>
      </c>
      <c r="N12" s="118">
        <v>13.38</v>
      </c>
      <c r="O12" s="118">
        <v>40.82</v>
      </c>
      <c r="P12" s="118">
        <v>0.22</v>
      </c>
      <c r="Q12" s="118">
        <v>0.35</v>
      </c>
      <c r="R12" s="118">
        <v>2.13</v>
      </c>
      <c r="S12" s="118">
        <v>0.28000000000000003</v>
      </c>
      <c r="T12" s="118">
        <v>0.04</v>
      </c>
      <c r="U12" s="118">
        <v>22.07</v>
      </c>
      <c r="V12" s="118">
        <v>0</v>
      </c>
      <c r="W12" s="118">
        <v>0</v>
      </c>
      <c r="X12" s="118">
        <v>1.31</v>
      </c>
      <c r="Y12" s="118">
        <v>1.01</v>
      </c>
      <c r="Z12" s="118"/>
      <c r="AA12" s="118">
        <v>0</v>
      </c>
      <c r="AB12" s="118">
        <v>0</v>
      </c>
      <c r="AC12" s="118">
        <v>0</v>
      </c>
      <c r="AD12" s="118">
        <v>122</v>
      </c>
      <c r="AE12" s="118">
        <v>225</v>
      </c>
      <c r="AF12" s="118"/>
      <c r="AG12" s="118"/>
      <c r="AH12" s="118">
        <v>10.96</v>
      </c>
      <c r="AI12" s="118">
        <v>630</v>
      </c>
      <c r="AJ12" s="118">
        <v>0.95</v>
      </c>
      <c r="AK12" s="118">
        <v>17.899999999999999</v>
      </c>
      <c r="AL12" s="118">
        <v>321.52999999999997</v>
      </c>
      <c r="AM12" s="118">
        <v>1.9</v>
      </c>
      <c r="AN12" s="118">
        <v>398.5</v>
      </c>
      <c r="AO12" s="118">
        <v>1230</v>
      </c>
      <c r="AP12" s="118">
        <v>26.2</v>
      </c>
      <c r="AQ12" s="118">
        <v>4.58</v>
      </c>
      <c r="AR12" s="118">
        <v>0.93</v>
      </c>
      <c r="AS12" s="118">
        <v>10.77</v>
      </c>
      <c r="AT12" s="118">
        <v>2.25</v>
      </c>
      <c r="AU12" s="118"/>
      <c r="AV12" s="124">
        <v>0.30381000000000002</v>
      </c>
      <c r="AW12" s="124">
        <v>0.48182999999999998</v>
      </c>
      <c r="AX12" s="124">
        <v>0.71741999999999995</v>
      </c>
      <c r="AY12" s="124">
        <v>0.59909000000000001</v>
      </c>
      <c r="AZ12" s="124">
        <v>0.21746000000000001</v>
      </c>
      <c r="BA12" s="124">
        <v>0.10553</v>
      </c>
      <c r="BB12" s="124">
        <v>0.43598999999999999</v>
      </c>
      <c r="BC12" s="124">
        <v>0.42852999999999997</v>
      </c>
      <c r="BD12" s="124">
        <v>0.12579000000000001</v>
      </c>
      <c r="BE12" s="124">
        <v>0.66517999999999999</v>
      </c>
      <c r="BF12" s="124">
        <v>0.52979999999999994</v>
      </c>
      <c r="BG12" s="124">
        <v>0.64066999999999996</v>
      </c>
      <c r="BH12" s="124">
        <v>1.1427499999999999</v>
      </c>
      <c r="BI12" s="124">
        <v>1.66509</v>
      </c>
      <c r="BJ12" s="124">
        <v>0.67050999999999994</v>
      </c>
      <c r="BK12" s="124">
        <v>0.52340999999999993</v>
      </c>
      <c r="BL12" s="124">
        <v>0.50102000000000002</v>
      </c>
      <c r="BM12" s="124">
        <v>0.32512999999999997</v>
      </c>
      <c r="BN12" s="118"/>
      <c r="BO12" s="118">
        <v>1008</v>
      </c>
      <c r="BP12" s="118"/>
      <c r="BQ12" s="118"/>
      <c r="BR12" s="205" t="s">
        <v>85</v>
      </c>
      <c r="BS12" s="205" t="s">
        <v>85</v>
      </c>
      <c r="BT12" s="205">
        <v>54.98</v>
      </c>
      <c r="BU12" s="205">
        <v>631</v>
      </c>
      <c r="BV12" s="205" t="s">
        <v>85</v>
      </c>
      <c r="BW12" s="205">
        <v>10702</v>
      </c>
      <c r="BX12" s="205">
        <v>40.020000000000003</v>
      </c>
      <c r="BY12" s="205" t="s">
        <v>85</v>
      </c>
      <c r="BZ12" s="205">
        <v>2203</v>
      </c>
      <c r="CA12" s="205">
        <v>44.01</v>
      </c>
      <c r="CB12" s="205"/>
      <c r="CC12" s="205" t="s">
        <v>85</v>
      </c>
      <c r="CD12" s="205">
        <v>2041</v>
      </c>
      <c r="CE12" s="205" t="s">
        <v>85</v>
      </c>
      <c r="CF12" s="205" t="s">
        <v>85</v>
      </c>
      <c r="CG12" s="205"/>
    </row>
    <row r="13" spans="1:85">
      <c r="A13" s="122">
        <v>90809</v>
      </c>
      <c r="B13" s="122" t="s">
        <v>111</v>
      </c>
      <c r="C13" s="122" t="s">
        <v>112</v>
      </c>
      <c r="D13" s="122" t="s">
        <v>113</v>
      </c>
      <c r="E13" s="122" t="s">
        <v>76</v>
      </c>
      <c r="F13" s="122" t="s">
        <v>1087</v>
      </c>
      <c r="G13" s="163" t="s">
        <v>1088</v>
      </c>
      <c r="H13" s="122">
        <v>21</v>
      </c>
      <c r="I13" s="122" t="s">
        <v>78</v>
      </c>
      <c r="J13" s="118">
        <v>243</v>
      </c>
      <c r="K13" s="125">
        <v>10.58</v>
      </c>
      <c r="L13" s="125">
        <v>3.99</v>
      </c>
      <c r="M13" s="125">
        <v>1.24</v>
      </c>
      <c r="N13" s="125">
        <v>27.49</v>
      </c>
      <c r="O13" s="125">
        <v>53.1</v>
      </c>
      <c r="P13" s="125">
        <v>0.02</v>
      </c>
      <c r="Q13" s="125">
        <v>0.04</v>
      </c>
      <c r="R13" s="125">
        <v>1.33</v>
      </c>
      <c r="S13" s="125"/>
      <c r="T13" s="125">
        <v>0.16</v>
      </c>
      <c r="U13" s="125">
        <v>6</v>
      </c>
      <c r="V13" s="125">
        <v>0</v>
      </c>
      <c r="W13" s="125">
        <v>3.8</v>
      </c>
      <c r="X13" s="125">
        <v>0</v>
      </c>
      <c r="Y13" s="125">
        <v>2.3199999999999998</v>
      </c>
      <c r="Z13" s="118">
        <v>31.2</v>
      </c>
      <c r="AA13" s="125">
        <v>0</v>
      </c>
      <c r="AB13" s="125">
        <v>14.75</v>
      </c>
      <c r="AC13" s="125">
        <v>1</v>
      </c>
      <c r="AD13" s="125">
        <v>112</v>
      </c>
      <c r="AE13" s="125"/>
      <c r="AF13" s="125"/>
      <c r="AG13" s="125"/>
      <c r="AH13" s="125"/>
      <c r="AI13" s="125">
        <v>1000</v>
      </c>
      <c r="AJ13" s="125">
        <v>0.34</v>
      </c>
      <c r="AK13" s="125">
        <v>8.32</v>
      </c>
      <c r="AL13" s="125">
        <v>60</v>
      </c>
      <c r="AM13" s="118">
        <v>17.5</v>
      </c>
      <c r="AN13" s="118">
        <v>64</v>
      </c>
      <c r="AO13" s="118">
        <v>431</v>
      </c>
      <c r="AP13" s="118">
        <v>3.1</v>
      </c>
      <c r="AQ13" s="118">
        <v>1.83</v>
      </c>
      <c r="AR13" s="118"/>
      <c r="AS13" s="118"/>
      <c r="AT13" s="118"/>
      <c r="AU13" s="118"/>
      <c r="AV13" s="124"/>
      <c r="AW13" s="124"/>
      <c r="AX13" s="124"/>
      <c r="AY13" s="124"/>
      <c r="AZ13" s="124"/>
      <c r="BA13" s="124"/>
      <c r="BB13" s="124"/>
      <c r="BC13" s="124"/>
      <c r="BD13" s="124"/>
      <c r="BE13" s="124"/>
      <c r="BF13" s="124"/>
      <c r="BG13" s="124"/>
      <c r="BH13" s="124"/>
      <c r="BI13" s="124"/>
      <c r="BJ13" s="124"/>
      <c r="BK13" s="124"/>
      <c r="BL13" s="124"/>
      <c r="BM13" s="124"/>
      <c r="BN13" s="118"/>
      <c r="BO13" s="118"/>
      <c r="BP13" s="118"/>
      <c r="BQ13" s="118"/>
      <c r="BR13" s="205"/>
      <c r="BS13" s="205"/>
      <c r="BT13" s="205"/>
      <c r="BU13" s="205"/>
      <c r="BV13" s="205"/>
      <c r="BW13" s="205"/>
      <c r="BX13" s="205"/>
      <c r="BY13" s="205"/>
      <c r="BZ13" s="205"/>
      <c r="CA13" s="205"/>
      <c r="CB13" s="205"/>
      <c r="CC13" s="205"/>
      <c r="CD13" s="205"/>
      <c r="CE13" s="205"/>
      <c r="CF13" s="205"/>
      <c r="CG13" s="205"/>
    </row>
    <row r="14" spans="1:85">
      <c r="A14" s="122">
        <v>90810</v>
      </c>
      <c r="B14" s="122" t="s">
        <v>115</v>
      </c>
      <c r="C14" s="122" t="s">
        <v>116</v>
      </c>
      <c r="D14" s="122" t="s">
        <v>117</v>
      </c>
      <c r="E14" s="122" t="s">
        <v>76</v>
      </c>
      <c r="F14" s="122" t="s">
        <v>1089</v>
      </c>
      <c r="G14" s="163" t="s">
        <v>1090</v>
      </c>
      <c r="H14" s="122">
        <v>21</v>
      </c>
      <c r="I14" s="122" t="s">
        <v>78</v>
      </c>
      <c r="J14" s="118">
        <v>330</v>
      </c>
      <c r="K14" s="118">
        <v>10.68</v>
      </c>
      <c r="L14" s="118">
        <v>21.8</v>
      </c>
      <c r="M14" s="118">
        <v>6.91</v>
      </c>
      <c r="N14" s="118">
        <v>32.81</v>
      </c>
      <c r="O14" s="118">
        <v>24.6</v>
      </c>
      <c r="P14" s="118">
        <v>0.33</v>
      </c>
      <c r="Q14" s="118">
        <v>0.34</v>
      </c>
      <c r="R14" s="118">
        <v>1.47</v>
      </c>
      <c r="S14" s="118">
        <v>0.27</v>
      </c>
      <c r="T14" s="118">
        <v>0.6</v>
      </c>
      <c r="U14" s="118">
        <v>64</v>
      </c>
      <c r="V14" s="118">
        <v>0</v>
      </c>
      <c r="W14" s="118"/>
      <c r="X14" s="118">
        <v>0.3</v>
      </c>
      <c r="Y14" s="118"/>
      <c r="Z14" s="118">
        <v>1.5</v>
      </c>
      <c r="AA14" s="118">
        <v>0</v>
      </c>
      <c r="AB14" s="118">
        <v>8.33</v>
      </c>
      <c r="AC14" s="118">
        <v>0</v>
      </c>
      <c r="AD14" s="118">
        <v>11</v>
      </c>
      <c r="AE14" s="118">
        <v>585</v>
      </c>
      <c r="AF14" s="118"/>
      <c r="AG14" s="118"/>
      <c r="AH14" s="118">
        <v>201</v>
      </c>
      <c r="AI14" s="118">
        <v>155.33000000000001</v>
      </c>
      <c r="AJ14" s="118">
        <v>1.46</v>
      </c>
      <c r="AK14" s="118">
        <v>23.64</v>
      </c>
      <c r="AL14" s="118">
        <v>180.5</v>
      </c>
      <c r="AM14" s="118">
        <v>1.6</v>
      </c>
      <c r="AN14" s="118">
        <v>318</v>
      </c>
      <c r="AO14" s="118">
        <v>710</v>
      </c>
      <c r="AP14" s="118">
        <v>9.98</v>
      </c>
      <c r="AQ14" s="118">
        <v>4.7</v>
      </c>
      <c r="AR14" s="118">
        <v>0.77</v>
      </c>
      <c r="AS14" s="118">
        <v>0.68</v>
      </c>
      <c r="AT14" s="118">
        <v>3.13</v>
      </c>
      <c r="AU14" s="118"/>
      <c r="AV14" s="124">
        <v>0.57935000000000003</v>
      </c>
      <c r="AW14" s="124">
        <v>1.16124</v>
      </c>
      <c r="AX14" s="124">
        <v>1.5246</v>
      </c>
      <c r="AY14" s="124">
        <v>1.67706</v>
      </c>
      <c r="AZ14" s="124">
        <v>0.31</v>
      </c>
      <c r="BA14" s="124">
        <v>0.35066000000000003</v>
      </c>
      <c r="BB14" s="124">
        <v>1.0418099999999999</v>
      </c>
      <c r="BC14" s="124">
        <v>0.72419</v>
      </c>
      <c r="BD14" s="124">
        <v>0.30237999999999998</v>
      </c>
      <c r="BE14" s="124">
        <v>1.1256600000000001</v>
      </c>
      <c r="BF14" s="124">
        <v>1.09517</v>
      </c>
      <c r="BG14" s="124">
        <v>2.1293600000000001</v>
      </c>
      <c r="BH14" s="124">
        <v>2.7976399999999999</v>
      </c>
      <c r="BI14" s="124">
        <v>4.6932299999999998</v>
      </c>
      <c r="BJ14" s="124">
        <v>1.25017</v>
      </c>
      <c r="BK14" s="124">
        <v>0.99099000000000004</v>
      </c>
      <c r="BL14" s="124">
        <v>1.35181</v>
      </c>
      <c r="BM14" s="124">
        <v>0.65303999999999995</v>
      </c>
      <c r="BN14" s="118">
        <v>94.73</v>
      </c>
      <c r="BO14" s="118">
        <v>570</v>
      </c>
      <c r="BP14" s="118"/>
      <c r="BQ14" s="118"/>
      <c r="BR14" s="205" t="s">
        <v>85</v>
      </c>
      <c r="BS14" s="205" t="s">
        <v>85</v>
      </c>
      <c r="BT14" s="205" t="s">
        <v>85</v>
      </c>
      <c r="BU14" s="205">
        <v>501</v>
      </c>
      <c r="BV14" s="205" t="s">
        <v>85</v>
      </c>
      <c r="BW14" s="205">
        <v>663</v>
      </c>
      <c r="BX14" s="205">
        <v>12.15</v>
      </c>
      <c r="BY14" s="205" t="s">
        <v>85</v>
      </c>
      <c r="BZ14" s="205">
        <v>2051</v>
      </c>
      <c r="CA14" s="205">
        <v>1082</v>
      </c>
      <c r="CB14" s="205"/>
      <c r="CC14" s="205" t="s">
        <v>85</v>
      </c>
      <c r="CD14" s="205">
        <v>165</v>
      </c>
      <c r="CE14" s="205" t="s">
        <v>85</v>
      </c>
      <c r="CF14" s="205" t="s">
        <v>85</v>
      </c>
      <c r="CG14" s="205"/>
    </row>
    <row r="15" spans="1:85">
      <c r="A15" s="122">
        <v>90404</v>
      </c>
      <c r="B15" s="122" t="s">
        <v>119</v>
      </c>
      <c r="C15" s="122" t="s">
        <v>120</v>
      </c>
      <c r="D15" s="122" t="s">
        <v>121</v>
      </c>
      <c r="E15" s="122" t="s">
        <v>122</v>
      </c>
      <c r="F15" s="122">
        <v>2284215</v>
      </c>
      <c r="G15" s="163" t="s">
        <v>123</v>
      </c>
      <c r="H15" s="122">
        <v>17</v>
      </c>
      <c r="I15" s="122" t="s">
        <v>124</v>
      </c>
      <c r="J15" s="118">
        <v>900</v>
      </c>
      <c r="K15" s="118"/>
      <c r="L15" s="118">
        <v>0</v>
      </c>
      <c r="M15" s="118">
        <v>100</v>
      </c>
      <c r="N15" s="118">
        <v>0</v>
      </c>
      <c r="O15" s="118"/>
      <c r="P15" s="118"/>
      <c r="Q15" s="118"/>
      <c r="R15" s="118"/>
      <c r="S15" s="118"/>
      <c r="T15" s="118"/>
      <c r="U15" s="118"/>
      <c r="V15" s="118"/>
      <c r="W15" s="118"/>
      <c r="X15" s="118"/>
      <c r="Y15" s="118"/>
      <c r="Z15" s="118"/>
      <c r="AA15" s="118">
        <v>0</v>
      </c>
      <c r="AB15" s="118"/>
      <c r="AC15" s="118"/>
      <c r="AD15" s="118"/>
      <c r="AE15" s="118"/>
      <c r="AF15" s="118"/>
      <c r="AG15" s="118"/>
      <c r="AH15" s="118"/>
      <c r="AI15" s="118"/>
      <c r="AJ15" s="118"/>
      <c r="AK15" s="118">
        <v>0</v>
      </c>
      <c r="AL15" s="118"/>
      <c r="AM15" s="118"/>
      <c r="AN15" s="118"/>
      <c r="AO15" s="118"/>
      <c r="AP15" s="118"/>
      <c r="AQ15" s="118"/>
      <c r="AR15" s="118">
        <v>20</v>
      </c>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205"/>
      <c r="BS15" s="205"/>
      <c r="BT15" s="205"/>
      <c r="BU15" s="205"/>
      <c r="BV15" s="205"/>
      <c r="BW15" s="205"/>
      <c r="BX15" s="205"/>
      <c r="BY15" s="205"/>
      <c r="BZ15" s="205"/>
      <c r="CA15" s="205"/>
      <c r="CB15" s="205"/>
      <c r="CC15" s="205"/>
      <c r="CD15" s="205"/>
      <c r="CE15" s="205"/>
      <c r="CF15" s="205"/>
      <c r="CG15" s="205"/>
    </row>
    <row r="16" spans="1:85">
      <c r="A16" s="122">
        <v>90811</v>
      </c>
      <c r="B16" s="122" t="s">
        <v>125</v>
      </c>
      <c r="C16" s="122" t="s">
        <v>126</v>
      </c>
      <c r="D16" s="122" t="s">
        <v>127</v>
      </c>
      <c r="E16" s="122" t="s">
        <v>76</v>
      </c>
      <c r="F16" s="122" t="s">
        <v>1091</v>
      </c>
      <c r="G16" s="163" t="s">
        <v>1092</v>
      </c>
      <c r="H16" s="122">
        <v>21</v>
      </c>
      <c r="I16" s="122" t="s">
        <v>78</v>
      </c>
      <c r="J16" s="118">
        <v>329</v>
      </c>
      <c r="K16" s="118">
        <v>8.27</v>
      </c>
      <c r="L16" s="118">
        <v>15.8</v>
      </c>
      <c r="M16" s="118">
        <v>14.89</v>
      </c>
      <c r="N16" s="118">
        <v>13.03</v>
      </c>
      <c r="O16" s="118">
        <v>39.799999999999997</v>
      </c>
      <c r="P16" s="118">
        <v>0.41</v>
      </c>
      <c r="Q16" s="118">
        <v>0.35</v>
      </c>
      <c r="R16" s="118">
        <v>7.47</v>
      </c>
      <c r="S16" s="118"/>
      <c r="T16" s="118">
        <v>0.47</v>
      </c>
      <c r="U16" s="118"/>
      <c r="V16" s="118">
        <v>0</v>
      </c>
      <c r="W16" s="118">
        <v>0</v>
      </c>
      <c r="X16" s="118">
        <v>0</v>
      </c>
      <c r="Y16" s="118"/>
      <c r="Z16" s="118"/>
      <c r="AA16" s="118">
        <v>0</v>
      </c>
      <c r="AB16" s="118">
        <v>7</v>
      </c>
      <c r="AC16" s="118"/>
      <c r="AD16" s="118"/>
      <c r="AE16" s="118"/>
      <c r="AF16" s="118"/>
      <c r="AG16" s="118"/>
      <c r="AH16" s="118"/>
      <c r="AI16" s="118">
        <v>1200</v>
      </c>
      <c r="AJ16" s="118">
        <v>1.07</v>
      </c>
      <c r="AK16" s="118">
        <v>16.45</v>
      </c>
      <c r="AL16" s="118">
        <v>386.67</v>
      </c>
      <c r="AM16" s="118"/>
      <c r="AN16" s="118">
        <v>494.67</v>
      </c>
      <c r="AO16" s="118">
        <v>1680</v>
      </c>
      <c r="AP16" s="118"/>
      <c r="AQ16" s="118">
        <v>3.7</v>
      </c>
      <c r="AR16" s="118"/>
      <c r="AS16" s="118"/>
      <c r="AT16" s="118"/>
      <c r="AU16" s="118"/>
      <c r="AV16" s="124"/>
      <c r="AW16" s="124"/>
      <c r="AX16" s="124"/>
      <c r="AY16" s="124"/>
      <c r="AZ16" s="124"/>
      <c r="BA16" s="124"/>
      <c r="BB16" s="124"/>
      <c r="BC16" s="124"/>
      <c r="BD16" s="124"/>
      <c r="BE16" s="124"/>
      <c r="BF16" s="124"/>
      <c r="BG16" s="124"/>
      <c r="BH16" s="124"/>
      <c r="BI16" s="124"/>
      <c r="BJ16" s="124"/>
      <c r="BK16" s="124"/>
      <c r="BL16" s="124"/>
      <c r="BM16" s="124"/>
      <c r="BN16" s="118"/>
      <c r="BO16" s="118"/>
      <c r="BP16" s="118"/>
      <c r="BQ16" s="118"/>
      <c r="BR16" s="205"/>
      <c r="BS16" s="205"/>
      <c r="BT16" s="205"/>
      <c r="BU16" s="205"/>
      <c r="BV16" s="205"/>
      <c r="BW16" s="205"/>
      <c r="BX16" s="205"/>
      <c r="BY16" s="205"/>
      <c r="BZ16" s="205"/>
      <c r="CA16" s="205"/>
      <c r="CB16" s="205"/>
      <c r="CC16" s="205"/>
      <c r="CD16" s="205"/>
      <c r="CE16" s="205"/>
      <c r="CF16" s="205"/>
      <c r="CG16" s="205"/>
    </row>
    <row r="17" spans="1:85">
      <c r="A17" s="122">
        <v>90806</v>
      </c>
      <c r="B17" s="122" t="s">
        <v>129</v>
      </c>
      <c r="C17" s="122" t="s">
        <v>130</v>
      </c>
      <c r="D17" s="122" t="s">
        <v>88</v>
      </c>
      <c r="E17" s="122" t="s">
        <v>76</v>
      </c>
      <c r="F17" s="122" t="s">
        <v>1093</v>
      </c>
      <c r="G17" s="163" t="s">
        <v>1094</v>
      </c>
      <c r="H17" s="122">
        <v>21</v>
      </c>
      <c r="I17" s="122" t="s">
        <v>78</v>
      </c>
      <c r="J17" s="118">
        <v>402</v>
      </c>
      <c r="K17" s="118">
        <v>9.99</v>
      </c>
      <c r="L17" s="118">
        <v>18.25</v>
      </c>
      <c r="M17" s="118">
        <v>17.62</v>
      </c>
      <c r="N17" s="118">
        <v>37.229999999999997</v>
      </c>
      <c r="O17" s="118">
        <v>10.5</v>
      </c>
      <c r="P17" s="118">
        <v>0.57999999999999996</v>
      </c>
      <c r="Q17" s="118">
        <v>0.35</v>
      </c>
      <c r="R17" s="118">
        <v>3.59</v>
      </c>
      <c r="S17" s="118">
        <v>0.22</v>
      </c>
      <c r="T17" s="118">
        <v>0.44</v>
      </c>
      <c r="U17" s="118">
        <v>10</v>
      </c>
      <c r="V17" s="118">
        <v>0</v>
      </c>
      <c r="W17" s="118">
        <v>7.7</v>
      </c>
      <c r="X17" s="118">
        <v>12.1</v>
      </c>
      <c r="Y17" s="118">
        <v>3.33</v>
      </c>
      <c r="Z17" s="118">
        <v>146</v>
      </c>
      <c r="AA17" s="118">
        <v>0</v>
      </c>
      <c r="AB17" s="118">
        <v>63.5</v>
      </c>
      <c r="AC17" s="118">
        <v>0</v>
      </c>
      <c r="AD17" s="118">
        <v>762</v>
      </c>
      <c r="AE17" s="118">
        <v>170</v>
      </c>
      <c r="AF17" s="118"/>
      <c r="AG17" s="118"/>
      <c r="AH17" s="118">
        <v>42.6</v>
      </c>
      <c r="AI17" s="118">
        <v>1020</v>
      </c>
      <c r="AJ17" s="118">
        <v>0.96</v>
      </c>
      <c r="AK17" s="118">
        <v>44.52</v>
      </c>
      <c r="AL17" s="118">
        <v>403.67</v>
      </c>
      <c r="AM17" s="118">
        <v>4.21</v>
      </c>
      <c r="AN17" s="118">
        <v>506.67</v>
      </c>
      <c r="AO17" s="118">
        <v>1380</v>
      </c>
      <c r="AP17" s="118">
        <v>4.01</v>
      </c>
      <c r="AQ17" s="118">
        <v>3.89</v>
      </c>
      <c r="AR17" s="118">
        <v>0.62</v>
      </c>
      <c r="AS17" s="118">
        <v>8.3800000000000008</v>
      </c>
      <c r="AT17" s="118">
        <v>4.3099999999999996</v>
      </c>
      <c r="AU17" s="118"/>
      <c r="AV17" s="124">
        <v>0.39922000000000002</v>
      </c>
      <c r="AW17" s="124">
        <v>0.61621000000000004</v>
      </c>
      <c r="AX17" s="124">
        <v>0.86659000000000008</v>
      </c>
      <c r="AY17" s="124">
        <v>0.67464000000000002</v>
      </c>
      <c r="AZ17" s="124">
        <v>0.17388000000000001</v>
      </c>
      <c r="BA17" s="124">
        <v>0.14188000000000001</v>
      </c>
      <c r="BB17" s="124">
        <v>0.62039</v>
      </c>
      <c r="BC17" s="124">
        <v>0.54388000000000003</v>
      </c>
      <c r="BD17" s="124">
        <v>0.13215000000000002</v>
      </c>
      <c r="BE17" s="124">
        <v>0.71357999999999999</v>
      </c>
      <c r="BF17" s="124">
        <v>0.72609999999999997</v>
      </c>
      <c r="BG17" s="124">
        <v>0.94865999999999995</v>
      </c>
      <c r="BH17" s="124">
        <v>1.24634</v>
      </c>
      <c r="BI17" s="124">
        <v>2.9085799999999997</v>
      </c>
      <c r="BJ17" s="124">
        <v>1.0043</v>
      </c>
      <c r="BK17" s="124">
        <v>0.60229999999999995</v>
      </c>
      <c r="BL17" s="124">
        <v>0.70523999999999998</v>
      </c>
      <c r="BM17" s="124">
        <v>0.45485999999999999</v>
      </c>
      <c r="BN17" s="118">
        <v>165</v>
      </c>
      <c r="BO17" s="118">
        <v>445</v>
      </c>
      <c r="BP17" s="118"/>
      <c r="BQ17" s="118"/>
      <c r="BR17" s="154" t="s">
        <v>85</v>
      </c>
      <c r="BS17" s="154" t="s">
        <v>85</v>
      </c>
      <c r="BT17" s="154" t="s">
        <v>85</v>
      </c>
      <c r="BU17" s="154">
        <v>500</v>
      </c>
      <c r="BV17" s="154" t="s">
        <v>85</v>
      </c>
      <c r="BW17" s="154">
        <v>8344</v>
      </c>
      <c r="BX17" s="154" t="s">
        <v>85</v>
      </c>
      <c r="BY17" s="154" t="s">
        <v>85</v>
      </c>
      <c r="BZ17" s="154">
        <v>4269</v>
      </c>
      <c r="CA17" s="154">
        <v>44</v>
      </c>
      <c r="CB17" s="154"/>
      <c r="CC17" s="154" t="s">
        <v>85</v>
      </c>
      <c r="CD17" s="154">
        <v>177</v>
      </c>
      <c r="CE17" s="154" t="s">
        <v>85</v>
      </c>
      <c r="CF17" s="154" t="s">
        <v>85</v>
      </c>
      <c r="CG17" s="205"/>
    </row>
    <row r="18" spans="1:85">
      <c r="A18" s="122">
        <v>86003</v>
      </c>
      <c r="B18" s="122" t="s">
        <v>134</v>
      </c>
      <c r="C18" s="122" t="s">
        <v>135</v>
      </c>
      <c r="D18" s="122" t="s">
        <v>136</v>
      </c>
      <c r="E18" s="122" t="s">
        <v>122</v>
      </c>
      <c r="F18" s="122">
        <v>2396268</v>
      </c>
      <c r="G18" s="163" t="s">
        <v>137</v>
      </c>
      <c r="H18" s="122">
        <v>19</v>
      </c>
      <c r="I18" s="122" t="s">
        <v>138</v>
      </c>
      <c r="J18" s="118">
        <v>305</v>
      </c>
      <c r="K18" s="118"/>
      <c r="L18" s="118">
        <v>0</v>
      </c>
      <c r="M18" s="118">
        <v>0</v>
      </c>
      <c r="N18" s="118">
        <v>75</v>
      </c>
      <c r="O18" s="118">
        <v>5</v>
      </c>
      <c r="P18" s="118"/>
      <c r="Q18" s="118"/>
      <c r="R18" s="118"/>
      <c r="S18" s="118"/>
      <c r="T18" s="118"/>
      <c r="U18" s="118"/>
      <c r="V18" s="118"/>
      <c r="W18" s="118"/>
      <c r="X18" s="118"/>
      <c r="Y18" s="118"/>
      <c r="Z18" s="118"/>
      <c r="AA18" s="118"/>
      <c r="AB18" s="118"/>
      <c r="AC18" s="118"/>
      <c r="AD18" s="118"/>
      <c r="AE18" s="118"/>
      <c r="AF18" s="118"/>
      <c r="AG18" s="118"/>
      <c r="AH18" s="118"/>
      <c r="AI18" s="118">
        <v>75</v>
      </c>
      <c r="AJ18" s="118"/>
      <c r="AK18" s="118">
        <v>1</v>
      </c>
      <c r="AL18" s="118"/>
      <c r="AM18" s="118"/>
      <c r="AN18" s="118"/>
      <c r="AO18" s="118">
        <v>835</v>
      </c>
      <c r="AP18" s="118"/>
      <c r="AQ18" s="118"/>
      <c r="AR18" s="118">
        <v>0</v>
      </c>
      <c r="AS18" s="118"/>
      <c r="AT18" s="118"/>
      <c r="AU18" s="118">
        <v>0</v>
      </c>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205"/>
      <c r="BS18" s="205"/>
      <c r="BT18" s="205"/>
      <c r="BU18" s="205"/>
      <c r="BV18" s="205"/>
      <c r="BW18" s="205"/>
      <c r="BX18" s="205"/>
      <c r="BY18" s="205"/>
      <c r="BZ18" s="205"/>
      <c r="CA18" s="205"/>
      <c r="CB18" s="205"/>
      <c r="CC18" s="205"/>
      <c r="CD18" s="205"/>
      <c r="CE18" s="205"/>
      <c r="CF18" s="205"/>
      <c r="CG18" s="205"/>
    </row>
    <row r="19" spans="1:85">
      <c r="A19" s="122">
        <v>90813</v>
      </c>
      <c r="B19" s="122" t="s">
        <v>139</v>
      </c>
      <c r="C19" s="122" t="s">
        <v>140</v>
      </c>
      <c r="D19" s="122"/>
      <c r="E19" s="122" t="s">
        <v>1095</v>
      </c>
      <c r="F19" s="141" t="s">
        <v>1096</v>
      </c>
      <c r="G19" s="209" t="s">
        <v>1097</v>
      </c>
      <c r="H19" s="122">
        <v>21</v>
      </c>
      <c r="I19" s="122" t="s">
        <v>78</v>
      </c>
      <c r="J19" s="118">
        <v>280</v>
      </c>
      <c r="K19" s="118"/>
      <c r="L19" s="118">
        <v>10</v>
      </c>
      <c r="M19" s="118">
        <v>10</v>
      </c>
      <c r="N19" s="118">
        <v>60</v>
      </c>
      <c r="O19" s="118">
        <v>10</v>
      </c>
      <c r="P19" s="118"/>
      <c r="Q19" s="118"/>
      <c r="R19" s="118"/>
      <c r="S19" s="118"/>
      <c r="T19" s="118"/>
      <c r="U19" s="118"/>
      <c r="V19" s="118"/>
      <c r="W19" s="118">
        <v>0</v>
      </c>
      <c r="X19" s="118"/>
      <c r="Y19" s="118"/>
      <c r="Z19" s="118"/>
      <c r="AA19" s="118">
        <v>0</v>
      </c>
      <c r="AB19" s="118">
        <v>0</v>
      </c>
      <c r="AC19" s="118"/>
      <c r="AD19" s="118"/>
      <c r="AE19" s="118"/>
      <c r="AF19" s="118"/>
      <c r="AG19" s="118"/>
      <c r="AH19" s="118"/>
      <c r="AI19" s="118">
        <v>520</v>
      </c>
      <c r="AJ19" s="118"/>
      <c r="AK19" s="118">
        <v>25.2</v>
      </c>
      <c r="AL19" s="118"/>
      <c r="AM19" s="118"/>
      <c r="AN19" s="118"/>
      <c r="AO19" s="118"/>
      <c r="AP19" s="118"/>
      <c r="AQ19" s="118"/>
      <c r="AR19" s="118">
        <v>0</v>
      </c>
      <c r="AS19" s="118"/>
      <c r="AT19" s="118"/>
      <c r="AU19" s="118"/>
      <c r="AV19" s="118" t="s">
        <v>1098</v>
      </c>
      <c r="AW19" s="118" t="s">
        <v>1098</v>
      </c>
      <c r="AX19" s="118" t="s">
        <v>1098</v>
      </c>
      <c r="AY19" s="118" t="s">
        <v>1098</v>
      </c>
      <c r="AZ19" s="118" t="s">
        <v>1098</v>
      </c>
      <c r="BA19" s="118" t="s">
        <v>1098</v>
      </c>
      <c r="BB19" s="118" t="s">
        <v>1098</v>
      </c>
      <c r="BC19" s="118" t="s">
        <v>1098</v>
      </c>
      <c r="BD19" s="118" t="s">
        <v>1098</v>
      </c>
      <c r="BE19" s="118" t="s">
        <v>1098</v>
      </c>
      <c r="BF19" s="118" t="s">
        <v>1098</v>
      </c>
      <c r="BG19" s="118" t="s">
        <v>1098</v>
      </c>
      <c r="BH19" s="118" t="s">
        <v>1098</v>
      </c>
      <c r="BI19" s="118" t="s">
        <v>1098</v>
      </c>
      <c r="BJ19" s="118" t="s">
        <v>1098</v>
      </c>
      <c r="BK19" s="118" t="s">
        <v>1098</v>
      </c>
      <c r="BL19" s="118" t="s">
        <v>1098</v>
      </c>
      <c r="BM19" s="118" t="s">
        <v>1098</v>
      </c>
      <c r="BN19" s="118"/>
      <c r="BO19" s="118"/>
      <c r="BP19" s="118"/>
      <c r="BQ19" s="118"/>
      <c r="BR19" s="205"/>
      <c r="BS19" s="205"/>
      <c r="BT19" s="205"/>
      <c r="BU19" s="205"/>
      <c r="BV19" s="205"/>
      <c r="BW19" s="205"/>
      <c r="BX19" s="205"/>
      <c r="BY19" s="205"/>
      <c r="BZ19" s="205"/>
      <c r="CA19" s="205"/>
      <c r="CB19" s="205"/>
      <c r="CC19" s="205"/>
      <c r="CD19" s="205"/>
      <c r="CE19" s="205"/>
      <c r="CF19" s="205"/>
      <c r="CG19" s="205"/>
    </row>
    <row r="20" spans="1:85">
      <c r="A20" s="122">
        <v>13004</v>
      </c>
      <c r="B20" s="122" t="s">
        <v>141</v>
      </c>
      <c r="C20" s="122" t="s">
        <v>142</v>
      </c>
      <c r="D20" s="122" t="s">
        <v>143</v>
      </c>
      <c r="E20" s="122" t="s">
        <v>1099</v>
      </c>
      <c r="F20" s="122" t="s">
        <v>1100</v>
      </c>
      <c r="G20" s="163" t="s">
        <v>1101</v>
      </c>
      <c r="H20" s="122">
        <v>3</v>
      </c>
      <c r="I20" s="123" t="s">
        <v>72</v>
      </c>
      <c r="J20" s="118">
        <v>317</v>
      </c>
      <c r="K20" s="118">
        <v>11.3</v>
      </c>
      <c r="L20" s="118">
        <v>22.31</v>
      </c>
      <c r="M20" s="118">
        <v>1.68</v>
      </c>
      <c r="N20" s="118">
        <v>45.09</v>
      </c>
      <c r="O20" s="118">
        <v>16.3</v>
      </c>
      <c r="P20" s="118">
        <v>0.42</v>
      </c>
      <c r="Q20" s="118">
        <v>0.26</v>
      </c>
      <c r="R20" s="118">
        <v>2.1</v>
      </c>
      <c r="S20" s="118">
        <v>3.98</v>
      </c>
      <c r="T20" s="118">
        <v>0.28000000000000003</v>
      </c>
      <c r="U20" s="118">
        <v>140</v>
      </c>
      <c r="V20" s="118">
        <v>0</v>
      </c>
      <c r="W20" s="118"/>
      <c r="X20" s="118">
        <v>16.84</v>
      </c>
      <c r="Y20" s="118">
        <v>1.9</v>
      </c>
      <c r="Z20" s="118">
        <v>5.6</v>
      </c>
      <c r="AA20" s="118">
        <v>0</v>
      </c>
      <c r="AB20" s="118">
        <v>2</v>
      </c>
      <c r="AC20" s="118">
        <v>0</v>
      </c>
      <c r="AD20" s="118">
        <v>24</v>
      </c>
      <c r="AE20" s="118"/>
      <c r="AF20" s="118"/>
      <c r="AG20" s="118"/>
      <c r="AH20" s="118"/>
      <c r="AI20" s="118">
        <v>184.35</v>
      </c>
      <c r="AJ20" s="118">
        <v>1.07</v>
      </c>
      <c r="AK20" s="118">
        <v>5.91</v>
      </c>
      <c r="AL20" s="118">
        <v>189</v>
      </c>
      <c r="AM20" s="118">
        <v>1.06</v>
      </c>
      <c r="AN20" s="118">
        <v>337</v>
      </c>
      <c r="AO20" s="118">
        <v>1121.1500000000001</v>
      </c>
      <c r="AP20" s="118">
        <v>3.2</v>
      </c>
      <c r="AQ20" s="118">
        <v>2.31</v>
      </c>
      <c r="AR20" s="118">
        <v>0.26</v>
      </c>
      <c r="AS20" s="118">
        <v>0.16</v>
      </c>
      <c r="AT20" s="118">
        <v>0.72</v>
      </c>
      <c r="AU20" s="118"/>
      <c r="AV20" s="124">
        <v>0.62614999999999998</v>
      </c>
      <c r="AW20" s="124">
        <v>0.75136999999999998</v>
      </c>
      <c r="AX20" s="124">
        <v>1.66533</v>
      </c>
      <c r="AY20" s="124">
        <v>1.3951</v>
      </c>
      <c r="AZ20" s="124">
        <v>0.25705</v>
      </c>
      <c r="BA20" s="124">
        <v>0.12743000000000002</v>
      </c>
      <c r="BB20" s="124">
        <v>1.29623</v>
      </c>
      <c r="BC20" s="124">
        <v>0.63053999999999999</v>
      </c>
      <c r="BD20" s="124">
        <v>0.21531</v>
      </c>
      <c r="BE20" s="124">
        <v>0.90297000000000005</v>
      </c>
      <c r="BF20" s="124">
        <v>1.0194099999999999</v>
      </c>
      <c r="BG20" s="124">
        <v>1.33138</v>
      </c>
      <c r="BH20" s="124">
        <v>2.88246</v>
      </c>
      <c r="BI20" s="124">
        <v>4.1743000000000006</v>
      </c>
      <c r="BJ20" s="124">
        <v>0.83486000000000005</v>
      </c>
      <c r="BK20" s="124">
        <v>0.88539000000000001</v>
      </c>
      <c r="BL20" s="124">
        <v>1.16221</v>
      </c>
      <c r="BM20" s="124">
        <v>0.67227999999999999</v>
      </c>
      <c r="BN20" s="118"/>
      <c r="BO20" s="118">
        <v>675</v>
      </c>
      <c r="BP20" s="118"/>
      <c r="BQ20" s="118">
        <v>30.3</v>
      </c>
      <c r="BR20" s="154" t="s">
        <v>85</v>
      </c>
      <c r="BS20" s="154" t="s">
        <v>85</v>
      </c>
      <c r="BT20" s="154" t="s">
        <v>85</v>
      </c>
      <c r="BU20" s="154">
        <v>221</v>
      </c>
      <c r="BV20" s="154" t="s">
        <v>85</v>
      </c>
      <c r="BW20" s="154">
        <v>186</v>
      </c>
      <c r="BX20" s="154" t="s">
        <v>85</v>
      </c>
      <c r="BY20" s="154" t="s">
        <v>85</v>
      </c>
      <c r="BZ20" s="154">
        <v>176</v>
      </c>
      <c r="CA20" s="154">
        <v>566</v>
      </c>
      <c r="CB20" s="154"/>
      <c r="CC20" s="154" t="s">
        <v>85</v>
      </c>
      <c r="CD20" s="154">
        <v>54.6</v>
      </c>
      <c r="CE20" s="154" t="s">
        <v>85</v>
      </c>
      <c r="CF20" s="154" t="s">
        <v>85</v>
      </c>
      <c r="CG20" s="205"/>
    </row>
    <row r="21" spans="1:85">
      <c r="A21" s="122">
        <v>11201</v>
      </c>
      <c r="B21" s="122" t="s">
        <v>146</v>
      </c>
      <c r="C21" s="122" t="s">
        <v>147</v>
      </c>
      <c r="D21" s="122" t="s">
        <v>148</v>
      </c>
      <c r="E21" s="122" t="s">
        <v>1081</v>
      </c>
      <c r="F21" s="122" t="s">
        <v>1102</v>
      </c>
      <c r="G21" s="163" t="s">
        <v>1103</v>
      </c>
      <c r="H21" s="122">
        <v>1</v>
      </c>
      <c r="I21" s="122" t="s">
        <v>150</v>
      </c>
      <c r="J21" s="118">
        <v>109</v>
      </c>
      <c r="K21" s="118">
        <v>71.17</v>
      </c>
      <c r="L21" s="118">
        <v>2.14</v>
      </c>
      <c r="M21" s="118">
        <v>0.14000000000000001</v>
      </c>
      <c r="N21" s="118">
        <v>24.3</v>
      </c>
      <c r="O21" s="118">
        <v>1.1000000000000001</v>
      </c>
      <c r="P21" s="118">
        <v>0.03</v>
      </c>
      <c r="Q21" s="118">
        <v>0.01</v>
      </c>
      <c r="R21" s="118">
        <v>0.9</v>
      </c>
      <c r="S21" s="118"/>
      <c r="T21" s="118">
        <v>0.03</v>
      </c>
      <c r="U21" s="118">
        <v>2.5299999999999998</v>
      </c>
      <c r="V21" s="118"/>
      <c r="W21" s="118">
        <v>0</v>
      </c>
      <c r="X21" s="118">
        <v>0</v>
      </c>
      <c r="Y21" s="118">
        <v>0.04</v>
      </c>
      <c r="Z21" s="118">
        <v>1.5</v>
      </c>
      <c r="AA21" s="118">
        <v>0</v>
      </c>
      <c r="AB21" s="118">
        <v>0</v>
      </c>
      <c r="AC21" s="118">
        <v>0</v>
      </c>
      <c r="AD21" s="118">
        <v>0</v>
      </c>
      <c r="AE21" s="118"/>
      <c r="AF21" s="118"/>
      <c r="AG21" s="118"/>
      <c r="AH21" s="118"/>
      <c r="AI21" s="118">
        <v>6.09</v>
      </c>
      <c r="AJ21" s="118">
        <v>7.0000000000000007E-2</v>
      </c>
      <c r="AK21" s="118">
        <v>0.32</v>
      </c>
      <c r="AL21" s="118">
        <v>15.65</v>
      </c>
      <c r="AM21" s="118">
        <v>0.79</v>
      </c>
      <c r="AN21" s="118">
        <v>39.4</v>
      </c>
      <c r="AO21" s="118">
        <v>38.6</v>
      </c>
      <c r="AP21" s="118">
        <v>1.19</v>
      </c>
      <c r="AQ21" s="118">
        <v>0.41</v>
      </c>
      <c r="AR21" s="118"/>
      <c r="AS21" s="118"/>
      <c r="AT21" s="118"/>
      <c r="AU21" s="118"/>
      <c r="AV21" s="124"/>
      <c r="AW21" s="124"/>
      <c r="AX21" s="124"/>
      <c r="AY21" s="124"/>
      <c r="AZ21" s="124"/>
      <c r="BA21" s="124"/>
      <c r="BB21" s="124"/>
      <c r="BC21" s="124"/>
      <c r="BD21" s="124"/>
      <c r="BE21" s="124"/>
      <c r="BF21" s="124"/>
      <c r="BG21" s="124"/>
      <c r="BH21" s="124"/>
      <c r="BI21" s="124"/>
      <c r="BJ21" s="124"/>
      <c r="BK21" s="124"/>
      <c r="BL21" s="124"/>
      <c r="BM21" s="124"/>
      <c r="BN21" s="118">
        <v>6.93</v>
      </c>
      <c r="BO21" s="118"/>
      <c r="BP21" s="118"/>
      <c r="BQ21" s="118">
        <v>2.1</v>
      </c>
      <c r="BR21" s="154">
        <v>0</v>
      </c>
      <c r="BS21" s="154">
        <v>0</v>
      </c>
      <c r="BT21" s="154">
        <v>2</v>
      </c>
      <c r="BU21" s="154">
        <v>69</v>
      </c>
      <c r="BV21" s="154">
        <v>1</v>
      </c>
      <c r="BW21" s="154">
        <v>86</v>
      </c>
      <c r="BX21" s="154">
        <v>0</v>
      </c>
      <c r="BY21" s="154">
        <v>0</v>
      </c>
      <c r="BZ21" s="154">
        <v>62</v>
      </c>
      <c r="CA21" s="154">
        <v>13</v>
      </c>
      <c r="CB21" s="154">
        <v>0</v>
      </c>
      <c r="CC21" s="154">
        <v>0</v>
      </c>
      <c r="CD21" s="154">
        <v>5</v>
      </c>
      <c r="CE21" s="154">
        <v>0</v>
      </c>
      <c r="CF21" s="154">
        <v>0</v>
      </c>
      <c r="CG21" s="205"/>
    </row>
    <row r="22" spans="1:85">
      <c r="A22" s="122">
        <v>11303</v>
      </c>
      <c r="B22" s="122" t="s">
        <v>151</v>
      </c>
      <c r="C22" s="122" t="s">
        <v>152</v>
      </c>
      <c r="D22" s="122" t="s">
        <v>148</v>
      </c>
      <c r="E22" s="122" t="s">
        <v>76</v>
      </c>
      <c r="F22" s="122" t="s">
        <v>1104</v>
      </c>
      <c r="G22" s="163" t="s">
        <v>1105</v>
      </c>
      <c r="H22" s="122">
        <v>1</v>
      </c>
      <c r="I22" s="122" t="s">
        <v>150</v>
      </c>
      <c r="J22" s="118">
        <v>361</v>
      </c>
      <c r="K22" s="118">
        <v>7.3</v>
      </c>
      <c r="L22" s="118">
        <v>6.71</v>
      </c>
      <c r="M22" s="118">
        <v>0.1</v>
      </c>
      <c r="N22" s="118">
        <v>82.74</v>
      </c>
      <c r="O22" s="118">
        <v>1.35</v>
      </c>
      <c r="P22" s="118">
        <v>0.21</v>
      </c>
      <c r="Q22" s="118">
        <v>0.12</v>
      </c>
      <c r="R22" s="118">
        <v>3.52</v>
      </c>
      <c r="S22" s="118">
        <v>0.38</v>
      </c>
      <c r="T22" s="118"/>
      <c r="U22" s="118">
        <v>11.63</v>
      </c>
      <c r="V22" s="118"/>
      <c r="W22" s="118">
        <v>0</v>
      </c>
      <c r="X22" s="118">
        <v>0</v>
      </c>
      <c r="Y22" s="118">
        <v>0.1</v>
      </c>
      <c r="Z22" s="118">
        <v>1</v>
      </c>
      <c r="AA22" s="118">
        <v>0</v>
      </c>
      <c r="AB22" s="118">
        <v>0</v>
      </c>
      <c r="AC22" s="118">
        <v>0</v>
      </c>
      <c r="AD22" s="118">
        <v>0</v>
      </c>
      <c r="AE22" s="118">
        <v>1.51</v>
      </c>
      <c r="AF22" s="118"/>
      <c r="AG22" s="118"/>
      <c r="AH22" s="118"/>
      <c r="AI22" s="118">
        <v>9.19</v>
      </c>
      <c r="AJ22" s="118">
        <v>0.2</v>
      </c>
      <c r="AK22" s="118">
        <v>0.69</v>
      </c>
      <c r="AL22" s="118">
        <v>45.48</v>
      </c>
      <c r="AM22" s="118">
        <v>0.9</v>
      </c>
      <c r="AN22" s="118">
        <v>133.26</v>
      </c>
      <c r="AO22" s="118">
        <v>153.99</v>
      </c>
      <c r="AP22" s="118"/>
      <c r="AQ22" s="118">
        <v>0.84</v>
      </c>
      <c r="AR22" s="118">
        <v>0.05</v>
      </c>
      <c r="AS22" s="118">
        <v>0.04</v>
      </c>
      <c r="AT22" s="118">
        <v>0.45</v>
      </c>
      <c r="AU22" s="118"/>
      <c r="AV22" s="124">
        <v>0.15762000000000001</v>
      </c>
      <c r="AW22" s="124">
        <v>0.27489999999999998</v>
      </c>
      <c r="AX22" s="124">
        <v>0.57892999999999994</v>
      </c>
      <c r="AY22" s="124">
        <v>0.23455999999999999</v>
      </c>
      <c r="AZ22" s="124">
        <v>0.14940000000000001</v>
      </c>
      <c r="BA22" s="124">
        <v>0.10009999999999999</v>
      </c>
      <c r="BB22" s="124">
        <v>0.39815</v>
      </c>
      <c r="BC22" s="124">
        <v>0.22634000000000001</v>
      </c>
      <c r="BD22" s="124">
        <v>7.9930000000000001E-2</v>
      </c>
      <c r="BE22" s="124">
        <v>0.40114</v>
      </c>
      <c r="BF22" s="124">
        <v>0.46238999999999997</v>
      </c>
      <c r="BG22" s="124">
        <v>0.52588999999999997</v>
      </c>
      <c r="BH22" s="124">
        <v>0.65661000000000003</v>
      </c>
      <c r="BI22" s="124">
        <v>1.34161</v>
      </c>
      <c r="BJ22" s="124">
        <v>0.30104000000000003</v>
      </c>
      <c r="BK22" s="124">
        <v>0.30179</v>
      </c>
      <c r="BL22" s="124">
        <v>0.34511000000000003</v>
      </c>
      <c r="BM22" s="124">
        <v>0.30851000000000001</v>
      </c>
      <c r="BN22" s="118">
        <v>2.76</v>
      </c>
      <c r="BO22" s="118">
        <v>656</v>
      </c>
      <c r="BP22" s="118"/>
      <c r="BQ22" s="118"/>
      <c r="BR22" s="154" t="s">
        <v>85</v>
      </c>
      <c r="BS22" s="154" t="s">
        <v>85</v>
      </c>
      <c r="BT22" s="154" t="s">
        <v>85</v>
      </c>
      <c r="BU22" s="154">
        <v>43.29</v>
      </c>
      <c r="BV22" s="154" t="s">
        <v>85</v>
      </c>
      <c r="BW22" s="154">
        <v>39.770000000000003</v>
      </c>
      <c r="BX22" s="154" t="s">
        <v>85</v>
      </c>
      <c r="BY22" s="154" t="s">
        <v>85</v>
      </c>
      <c r="BZ22" s="154">
        <v>43.42</v>
      </c>
      <c r="CA22" s="154">
        <v>1.39</v>
      </c>
      <c r="CB22" s="154"/>
      <c r="CC22" s="154" t="s">
        <v>85</v>
      </c>
      <c r="CD22" s="154">
        <v>3.55</v>
      </c>
      <c r="CE22" s="154" t="s">
        <v>85</v>
      </c>
      <c r="CF22" s="154" t="s">
        <v>85</v>
      </c>
      <c r="CG22" s="205"/>
    </row>
    <row r="23" spans="1:85">
      <c r="A23" s="122">
        <v>11001</v>
      </c>
      <c r="B23" s="122" t="s">
        <v>154</v>
      </c>
      <c r="C23" s="122" t="s">
        <v>155</v>
      </c>
      <c r="D23" s="122" t="s">
        <v>148</v>
      </c>
      <c r="E23" s="122" t="s">
        <v>156</v>
      </c>
      <c r="F23" s="122">
        <v>33</v>
      </c>
      <c r="G23" s="163" t="s">
        <v>157</v>
      </c>
      <c r="H23" s="122">
        <v>1</v>
      </c>
      <c r="I23" s="122" t="s">
        <v>150</v>
      </c>
      <c r="J23" s="118">
        <v>360</v>
      </c>
      <c r="K23" s="118">
        <v>10.89</v>
      </c>
      <c r="L23" s="118">
        <v>7.68</v>
      </c>
      <c r="M23" s="118">
        <v>1.94</v>
      </c>
      <c r="N23" s="118">
        <v>77.900000000000006</v>
      </c>
      <c r="O23" s="118">
        <v>0.56000000000000005</v>
      </c>
      <c r="P23" s="118"/>
      <c r="Q23" s="118"/>
      <c r="R23" s="118"/>
      <c r="S23" s="118"/>
      <c r="T23" s="118"/>
      <c r="U23" s="118"/>
      <c r="V23" s="118"/>
      <c r="W23" s="118"/>
      <c r="X23" s="118"/>
      <c r="Y23" s="118"/>
      <c r="Z23" s="118"/>
      <c r="AA23" s="118"/>
      <c r="AB23" s="118"/>
      <c r="AC23" s="118"/>
      <c r="AD23" s="118"/>
      <c r="AE23" s="118"/>
      <c r="AF23" s="118"/>
      <c r="AG23" s="118"/>
      <c r="AH23" s="118"/>
      <c r="AI23" s="118">
        <v>19.11</v>
      </c>
      <c r="AJ23" s="118"/>
      <c r="AK23" s="118"/>
      <c r="AL23" s="118"/>
      <c r="AM23" s="118"/>
      <c r="AN23" s="118">
        <v>109.3</v>
      </c>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205"/>
      <c r="BS23" s="205"/>
      <c r="BT23" s="205"/>
      <c r="BU23" s="205"/>
      <c r="BV23" s="205"/>
      <c r="BW23" s="205"/>
      <c r="BX23" s="205"/>
      <c r="BY23" s="205"/>
      <c r="BZ23" s="205"/>
      <c r="CA23" s="205"/>
      <c r="CB23" s="205"/>
      <c r="CC23" s="205"/>
      <c r="CD23" s="205"/>
      <c r="CE23" s="205"/>
      <c r="CF23" s="205"/>
      <c r="CG23" s="205"/>
    </row>
    <row r="24" spans="1:85">
      <c r="A24" s="122">
        <v>11011</v>
      </c>
      <c r="B24" s="122" t="s">
        <v>158</v>
      </c>
      <c r="C24" s="122" t="s">
        <v>159</v>
      </c>
      <c r="D24" s="122" t="s">
        <v>148</v>
      </c>
      <c r="E24" s="122" t="s">
        <v>76</v>
      </c>
      <c r="F24" s="122" t="s">
        <v>1106</v>
      </c>
      <c r="G24" s="163" t="s">
        <v>1107</v>
      </c>
      <c r="H24" s="122">
        <v>1</v>
      </c>
      <c r="I24" s="122" t="s">
        <v>150</v>
      </c>
      <c r="J24" s="118">
        <v>360</v>
      </c>
      <c r="K24" s="118">
        <v>10.9</v>
      </c>
      <c r="L24" s="118">
        <v>7.6</v>
      </c>
      <c r="M24" s="118">
        <v>1.3</v>
      </c>
      <c r="N24" s="118">
        <v>79.099999999999994</v>
      </c>
      <c r="O24" s="118">
        <v>0.6</v>
      </c>
      <c r="P24" s="118">
        <v>0.04</v>
      </c>
      <c r="Q24" s="118">
        <v>0.08</v>
      </c>
      <c r="R24" s="118">
        <v>2.5</v>
      </c>
      <c r="S24" s="118">
        <v>0.5</v>
      </c>
      <c r="T24" s="118"/>
      <c r="U24" s="118"/>
      <c r="V24" s="118">
        <v>0</v>
      </c>
      <c r="W24" s="118">
        <v>0</v>
      </c>
      <c r="X24" s="118"/>
      <c r="Y24" s="118"/>
      <c r="Z24" s="118">
        <v>0</v>
      </c>
      <c r="AA24" s="118">
        <v>22</v>
      </c>
      <c r="AB24" s="118">
        <v>22</v>
      </c>
      <c r="AC24" s="118"/>
      <c r="AD24" s="118">
        <v>0</v>
      </c>
      <c r="AE24" s="118"/>
      <c r="AF24" s="118"/>
      <c r="AG24" s="118"/>
      <c r="AH24" s="118"/>
      <c r="AI24" s="118">
        <v>17</v>
      </c>
      <c r="AJ24" s="118">
        <v>0</v>
      </c>
      <c r="AK24" s="118">
        <v>1.1000000000000001</v>
      </c>
      <c r="AL24" s="118">
        <v>0</v>
      </c>
      <c r="AM24" s="118">
        <v>1.2</v>
      </c>
      <c r="AN24" s="118">
        <v>60</v>
      </c>
      <c r="AO24" s="118">
        <v>32</v>
      </c>
      <c r="AP24" s="118">
        <v>15.1</v>
      </c>
      <c r="AQ24" s="118">
        <v>0</v>
      </c>
      <c r="AR24" s="118"/>
      <c r="AS24" s="118"/>
      <c r="AT24" s="118"/>
      <c r="AU24" s="118"/>
      <c r="AV24" s="124"/>
      <c r="AW24" s="124"/>
      <c r="AX24" s="124"/>
      <c r="AY24" s="124"/>
      <c r="AZ24" s="124"/>
      <c r="BA24" s="124"/>
      <c r="BB24" s="124"/>
      <c r="BC24" s="124"/>
      <c r="BD24" s="124"/>
      <c r="BE24" s="124"/>
      <c r="BF24" s="124"/>
      <c r="BG24" s="124"/>
      <c r="BH24" s="124"/>
      <c r="BI24" s="124"/>
      <c r="BJ24" s="124"/>
      <c r="BK24" s="124"/>
      <c r="BL24" s="124"/>
      <c r="BM24" s="124"/>
      <c r="BN24" s="118"/>
      <c r="BO24" s="118"/>
      <c r="BP24" s="118"/>
      <c r="BQ24" s="118"/>
      <c r="BR24" s="205"/>
      <c r="BS24" s="205"/>
      <c r="BT24" s="205"/>
      <c r="BU24" s="205"/>
      <c r="BV24" s="205"/>
      <c r="BW24" s="205"/>
      <c r="BX24" s="205"/>
      <c r="BY24" s="205"/>
      <c r="BZ24" s="205"/>
      <c r="CA24" s="205"/>
      <c r="CB24" s="205"/>
      <c r="CC24" s="205"/>
      <c r="CD24" s="205"/>
      <c r="CE24" s="205"/>
      <c r="CF24" s="205"/>
      <c r="CG24" s="205"/>
    </row>
    <row r="25" spans="1:85">
      <c r="A25" s="122">
        <v>12011</v>
      </c>
      <c r="B25" s="122" t="s">
        <v>161</v>
      </c>
      <c r="C25" s="122" t="s">
        <v>162</v>
      </c>
      <c r="D25" s="122" t="s">
        <v>163</v>
      </c>
      <c r="E25" s="122" t="s">
        <v>1108</v>
      </c>
      <c r="F25" s="122" t="s">
        <v>1109</v>
      </c>
      <c r="G25" s="163" t="s">
        <v>1110</v>
      </c>
      <c r="H25" s="122">
        <v>1</v>
      </c>
      <c r="I25" s="122" t="s">
        <v>150</v>
      </c>
      <c r="J25" s="118">
        <v>347</v>
      </c>
      <c r="K25" s="118">
        <v>12.21</v>
      </c>
      <c r="L25" s="118">
        <v>10.61</v>
      </c>
      <c r="M25" s="118">
        <v>1.64</v>
      </c>
      <c r="N25" s="118">
        <v>70.34</v>
      </c>
      <c r="O25" s="118">
        <v>4.42</v>
      </c>
      <c r="P25" s="118">
        <v>0.13</v>
      </c>
      <c r="Q25" s="118">
        <v>0.05</v>
      </c>
      <c r="R25" s="118">
        <v>1.9</v>
      </c>
      <c r="S25" s="118">
        <v>0.72</v>
      </c>
      <c r="T25" s="118">
        <v>0.1</v>
      </c>
      <c r="U25" s="118">
        <v>20</v>
      </c>
      <c r="V25" s="118"/>
      <c r="W25" s="118">
        <v>0</v>
      </c>
      <c r="X25" s="118">
        <v>6.62</v>
      </c>
      <c r="Y25" s="118">
        <v>0.43</v>
      </c>
      <c r="Z25" s="118">
        <v>0.3</v>
      </c>
      <c r="AA25" s="118">
        <v>0</v>
      </c>
      <c r="AB25" s="118">
        <v>0</v>
      </c>
      <c r="AC25" s="118"/>
      <c r="AD25" s="118">
        <v>2.67</v>
      </c>
      <c r="AE25" s="118"/>
      <c r="AF25" s="118"/>
      <c r="AG25" s="118"/>
      <c r="AH25" s="118"/>
      <c r="AI25" s="118">
        <v>12.79</v>
      </c>
      <c r="AJ25" s="118">
        <v>0.19</v>
      </c>
      <c r="AK25" s="118">
        <v>3.8</v>
      </c>
      <c r="AL25" s="118">
        <v>57.89</v>
      </c>
      <c r="AM25" s="118">
        <v>0.68200000000000005</v>
      </c>
      <c r="AN25" s="118">
        <v>140</v>
      </c>
      <c r="AO25" s="118">
        <v>210.27</v>
      </c>
      <c r="AP25" s="118">
        <v>33.9</v>
      </c>
      <c r="AQ25" s="118">
        <v>1.55</v>
      </c>
      <c r="AR25" s="118">
        <v>0.22</v>
      </c>
      <c r="AS25" s="118">
        <v>0.15</v>
      </c>
      <c r="AT25" s="118">
        <v>0.73</v>
      </c>
      <c r="AU25" s="118">
        <v>0</v>
      </c>
      <c r="AV25" s="124">
        <v>0.22900000000000001</v>
      </c>
      <c r="AW25" s="124">
        <v>0.307</v>
      </c>
      <c r="AX25" s="124">
        <v>0.69099999999999995</v>
      </c>
      <c r="AY25" s="124">
        <v>0.27600000000000002</v>
      </c>
      <c r="AZ25" s="124">
        <v>0.22</v>
      </c>
      <c r="BA25" s="124">
        <v>0.218</v>
      </c>
      <c r="BB25" s="124">
        <v>0.47499999999999998</v>
      </c>
      <c r="BC25" s="124">
        <v>0.3</v>
      </c>
      <c r="BD25" s="124">
        <v>0.124</v>
      </c>
      <c r="BE25" s="124">
        <v>0.45</v>
      </c>
      <c r="BF25" s="124">
        <v>0.55600000000000005</v>
      </c>
      <c r="BG25" s="124">
        <v>0.44</v>
      </c>
      <c r="BH25" s="124">
        <v>0.505</v>
      </c>
      <c r="BI25" s="124">
        <v>3.5369999999999999</v>
      </c>
      <c r="BJ25" s="124">
        <v>0.41199999999999998</v>
      </c>
      <c r="BK25" s="124">
        <v>1.0649999999999999</v>
      </c>
      <c r="BL25" s="124">
        <v>0.505</v>
      </c>
      <c r="BM25" s="124">
        <v>0.27</v>
      </c>
      <c r="BN25" s="118"/>
      <c r="BO25" s="118">
        <v>228</v>
      </c>
      <c r="BP25" s="118"/>
      <c r="BQ25" s="118"/>
      <c r="BR25" s="154" t="s">
        <v>85</v>
      </c>
      <c r="BS25" s="154" t="s">
        <v>85</v>
      </c>
      <c r="BT25" s="154" t="s">
        <v>85</v>
      </c>
      <c r="BU25" s="154">
        <v>91.24</v>
      </c>
      <c r="BV25" s="154" t="s">
        <v>85</v>
      </c>
      <c r="BW25" s="154">
        <v>50.64</v>
      </c>
      <c r="BX25" s="154" t="s">
        <v>85</v>
      </c>
      <c r="BY25" s="154" t="s">
        <v>85</v>
      </c>
      <c r="BZ25" s="154">
        <v>325</v>
      </c>
      <c r="CA25" s="154">
        <v>17.45</v>
      </c>
      <c r="CB25" s="154"/>
      <c r="CC25" s="154" t="s">
        <v>85</v>
      </c>
      <c r="CD25" s="154">
        <v>7.31</v>
      </c>
      <c r="CE25" s="154" t="s">
        <v>85</v>
      </c>
      <c r="CF25" s="154" t="s">
        <v>85</v>
      </c>
      <c r="CG25" s="205"/>
    </row>
    <row r="26" spans="1:85">
      <c r="A26" s="122">
        <v>12012</v>
      </c>
      <c r="B26" s="122" t="s">
        <v>165</v>
      </c>
      <c r="C26" s="122" t="s">
        <v>166</v>
      </c>
      <c r="D26" s="122" t="s">
        <v>163</v>
      </c>
      <c r="E26" s="122" t="s">
        <v>76</v>
      </c>
      <c r="F26" s="122" t="s">
        <v>1111</v>
      </c>
      <c r="G26" s="163" t="s">
        <v>1112</v>
      </c>
      <c r="H26" s="122">
        <v>1</v>
      </c>
      <c r="I26" s="122" t="s">
        <v>150</v>
      </c>
      <c r="J26" s="118">
        <v>334</v>
      </c>
      <c r="K26" s="118">
        <v>12.28</v>
      </c>
      <c r="L26" s="118">
        <v>11.29</v>
      </c>
      <c r="M26" s="118">
        <v>2.09</v>
      </c>
      <c r="N26" s="118">
        <v>62.18</v>
      </c>
      <c r="O26" s="118">
        <v>10.7</v>
      </c>
      <c r="P26" s="118">
        <v>0.49</v>
      </c>
      <c r="Q26" s="118">
        <v>0.17</v>
      </c>
      <c r="R26" s="118">
        <v>3.8</v>
      </c>
      <c r="S26" s="118">
        <v>0.87</v>
      </c>
      <c r="T26" s="118">
        <v>0.41</v>
      </c>
      <c r="U26" s="118">
        <v>29</v>
      </c>
      <c r="V26" s="118"/>
      <c r="W26" s="118">
        <v>0</v>
      </c>
      <c r="X26" s="118">
        <v>17.38</v>
      </c>
      <c r="Y26" s="118">
        <v>0.72</v>
      </c>
      <c r="Z26" s="118">
        <v>1.75</v>
      </c>
      <c r="AA26" s="118">
        <v>0</v>
      </c>
      <c r="AB26" s="118">
        <v>0.42</v>
      </c>
      <c r="AC26" s="118">
        <v>0</v>
      </c>
      <c r="AD26" s="118">
        <v>5</v>
      </c>
      <c r="AE26" s="118">
        <v>42.12</v>
      </c>
      <c r="AF26" s="118"/>
      <c r="AG26" s="118"/>
      <c r="AH26" s="118">
        <v>1.31</v>
      </c>
      <c r="AI26" s="118">
        <v>52.21</v>
      </c>
      <c r="AJ26" s="118">
        <v>0.53</v>
      </c>
      <c r="AK26" s="118">
        <v>4.9000000000000004</v>
      </c>
      <c r="AL26" s="118">
        <v>150.97</v>
      </c>
      <c r="AM26" s="118">
        <v>3.19</v>
      </c>
      <c r="AN26" s="118">
        <v>306</v>
      </c>
      <c r="AO26" s="118">
        <v>284</v>
      </c>
      <c r="AP26" s="118">
        <v>47.76</v>
      </c>
      <c r="AQ26" s="118">
        <v>3.02</v>
      </c>
      <c r="AR26" s="118">
        <v>0.21</v>
      </c>
      <c r="AS26" s="118">
        <v>0.15</v>
      </c>
      <c r="AT26" s="118">
        <v>0.74</v>
      </c>
      <c r="AU26" s="118"/>
      <c r="AV26" s="118">
        <v>0.27</v>
      </c>
      <c r="AW26" s="118">
        <v>0.4</v>
      </c>
      <c r="AX26" s="118">
        <v>0.65</v>
      </c>
      <c r="AY26" s="118">
        <v>0.26</v>
      </c>
      <c r="AZ26" s="118">
        <v>0.19</v>
      </c>
      <c r="BA26" s="118">
        <v>0.24</v>
      </c>
      <c r="BB26" s="118">
        <v>0.53</v>
      </c>
      <c r="BC26" s="118">
        <v>0.27</v>
      </c>
      <c r="BD26" s="118">
        <v>0.1</v>
      </c>
      <c r="BE26" s="118">
        <v>0.54</v>
      </c>
      <c r="BF26" s="118">
        <v>0.41</v>
      </c>
      <c r="BG26" s="118">
        <v>0.5</v>
      </c>
      <c r="BH26" s="118">
        <v>0.53</v>
      </c>
      <c r="BI26" s="118">
        <v>3.13</v>
      </c>
      <c r="BJ26" s="118">
        <v>0.4</v>
      </c>
      <c r="BK26" s="118">
        <v>1.0900000000000001</v>
      </c>
      <c r="BL26" s="118">
        <v>0.5</v>
      </c>
      <c r="BM26" s="118">
        <v>0</v>
      </c>
      <c r="BN26" s="118">
        <v>14.33</v>
      </c>
      <c r="BO26" s="118">
        <v>632</v>
      </c>
      <c r="BP26" s="118">
        <v>8</v>
      </c>
      <c r="BQ26" s="118"/>
      <c r="BR26" s="154" t="s">
        <v>85</v>
      </c>
      <c r="BS26" s="154" t="s">
        <v>85</v>
      </c>
      <c r="BT26" s="154" t="s">
        <v>85</v>
      </c>
      <c r="BU26" s="154">
        <v>176</v>
      </c>
      <c r="BV26" s="154" t="s">
        <v>85</v>
      </c>
      <c r="BW26" s="154">
        <v>141</v>
      </c>
      <c r="BX26" s="154" t="s">
        <v>85</v>
      </c>
      <c r="BY26" s="154" t="s">
        <v>85</v>
      </c>
      <c r="BZ26" s="154">
        <v>616</v>
      </c>
      <c r="CA26" s="154">
        <v>38.51</v>
      </c>
      <c r="CB26" s="154"/>
      <c r="CC26" s="154" t="s">
        <v>85</v>
      </c>
      <c r="CD26" s="154">
        <v>14.83</v>
      </c>
      <c r="CE26" s="154" t="s">
        <v>85</v>
      </c>
      <c r="CF26" s="154" t="s">
        <v>85</v>
      </c>
      <c r="CG26" s="205"/>
    </row>
    <row r="27" spans="1:85">
      <c r="A27" s="122">
        <v>15011</v>
      </c>
      <c r="B27" s="122" t="s">
        <v>168</v>
      </c>
      <c r="C27" s="122" t="s">
        <v>169</v>
      </c>
      <c r="D27" s="122" t="s">
        <v>170</v>
      </c>
      <c r="E27" s="122" t="s">
        <v>76</v>
      </c>
      <c r="F27" s="122" t="s">
        <v>1113</v>
      </c>
      <c r="G27" s="163" t="s">
        <v>1114</v>
      </c>
      <c r="H27" s="122">
        <v>1</v>
      </c>
      <c r="I27" s="122" t="s">
        <v>150</v>
      </c>
      <c r="J27" s="118">
        <v>355</v>
      </c>
      <c r="K27" s="118">
        <v>10.91</v>
      </c>
      <c r="L27" s="118">
        <v>6.93</v>
      </c>
      <c r="M27" s="118">
        <v>3.86</v>
      </c>
      <c r="N27" s="118">
        <v>69.55</v>
      </c>
      <c r="O27" s="118">
        <v>7.3</v>
      </c>
      <c r="P27" s="118">
        <v>0.25</v>
      </c>
      <c r="Q27" s="118">
        <v>0.08</v>
      </c>
      <c r="R27" s="118">
        <v>1.9</v>
      </c>
      <c r="S27" s="118"/>
      <c r="T27" s="118">
        <v>0.37</v>
      </c>
      <c r="U27" s="118">
        <v>25</v>
      </c>
      <c r="V27" s="118">
        <v>0</v>
      </c>
      <c r="W27" s="118">
        <v>0</v>
      </c>
      <c r="X27" s="118">
        <v>0</v>
      </c>
      <c r="Y27" s="118">
        <v>0.42</v>
      </c>
      <c r="Z27" s="118">
        <v>0</v>
      </c>
      <c r="AA27" s="118">
        <v>0</v>
      </c>
      <c r="AB27" s="118">
        <v>27.99</v>
      </c>
      <c r="AC27" s="118">
        <v>0</v>
      </c>
      <c r="AD27" s="118">
        <v>335.91</v>
      </c>
      <c r="AE27" s="118"/>
      <c r="AF27" s="118"/>
      <c r="AG27" s="118"/>
      <c r="AH27" s="118"/>
      <c r="AI27" s="118">
        <v>7</v>
      </c>
      <c r="AJ27" s="118">
        <v>0.23</v>
      </c>
      <c r="AK27" s="118">
        <v>2.38</v>
      </c>
      <c r="AL27" s="118">
        <v>93</v>
      </c>
      <c r="AM27" s="118">
        <v>0.376</v>
      </c>
      <c r="AN27" s="118">
        <v>272</v>
      </c>
      <c r="AO27" s="118">
        <v>315</v>
      </c>
      <c r="AP27" s="118">
        <v>10.5</v>
      </c>
      <c r="AQ27" s="118">
        <v>1.73</v>
      </c>
      <c r="AR27" s="118">
        <v>0.54</v>
      </c>
      <c r="AS27" s="118">
        <v>1.02</v>
      </c>
      <c r="AT27" s="118">
        <v>1.76</v>
      </c>
      <c r="AU27" s="118">
        <v>0</v>
      </c>
      <c r="AV27" s="124">
        <v>0.19400000000000001</v>
      </c>
      <c r="AW27" s="124">
        <v>0.255</v>
      </c>
      <c r="AX27" s="124">
        <v>0.876</v>
      </c>
      <c r="AY27" s="124">
        <v>0.19400000000000001</v>
      </c>
      <c r="AZ27" s="124">
        <v>0.13200000000000001</v>
      </c>
      <c r="BA27" s="124">
        <v>0.112</v>
      </c>
      <c r="BB27" s="124">
        <v>0.35699999999999998</v>
      </c>
      <c r="BC27" s="124">
        <v>0.255</v>
      </c>
      <c r="BD27" s="124">
        <v>4.4999999999999998E-2</v>
      </c>
      <c r="BE27" s="124">
        <v>0.33600000000000002</v>
      </c>
      <c r="BF27" s="124">
        <v>0.52</v>
      </c>
      <c r="BG27" s="124">
        <v>0.28499999999999998</v>
      </c>
      <c r="BH27" s="124">
        <v>0.44800000000000001</v>
      </c>
      <c r="BI27" s="124">
        <v>1.427</v>
      </c>
      <c r="BJ27" s="124">
        <v>0.255</v>
      </c>
      <c r="BK27" s="124">
        <v>0.622</v>
      </c>
      <c r="BL27" s="124">
        <v>0.35699999999999998</v>
      </c>
      <c r="BM27" s="124">
        <v>0.26500000000000001</v>
      </c>
      <c r="BN27" s="118"/>
      <c r="BO27" s="118"/>
      <c r="BP27" s="118"/>
      <c r="BQ27" s="118"/>
      <c r="BR27" s="205"/>
      <c r="BS27" s="205"/>
      <c r="BT27" s="205"/>
      <c r="BU27" s="205"/>
      <c r="BV27" s="205"/>
      <c r="BW27" s="205"/>
      <c r="BX27" s="205"/>
      <c r="BY27" s="205"/>
      <c r="BZ27" s="205"/>
      <c r="CA27" s="205"/>
      <c r="CB27" s="205"/>
      <c r="CC27" s="205"/>
      <c r="CD27" s="205"/>
      <c r="CE27" s="205"/>
      <c r="CF27" s="205"/>
      <c r="CG27" s="205"/>
    </row>
    <row r="28" spans="1:85">
      <c r="A28" s="122">
        <v>13002</v>
      </c>
      <c r="B28" s="122" t="s">
        <v>172</v>
      </c>
      <c r="C28" s="122" t="s">
        <v>173</v>
      </c>
      <c r="D28" s="122" t="s">
        <v>70</v>
      </c>
      <c r="E28" s="122" t="s">
        <v>1115</v>
      </c>
      <c r="F28" s="122" t="s">
        <v>1116</v>
      </c>
      <c r="G28" s="163" t="s">
        <v>1117</v>
      </c>
      <c r="H28" s="122">
        <v>3</v>
      </c>
      <c r="I28" s="123" t="s">
        <v>72</v>
      </c>
      <c r="J28" s="118">
        <v>350</v>
      </c>
      <c r="K28" s="118">
        <v>8.86</v>
      </c>
      <c r="L28" s="118">
        <v>20.36</v>
      </c>
      <c r="M28" s="118">
        <v>6.04</v>
      </c>
      <c r="N28" s="118">
        <v>44.78</v>
      </c>
      <c r="O28" s="118">
        <v>17.399999999999999</v>
      </c>
      <c r="P28" s="118">
        <v>0.3</v>
      </c>
      <c r="Q28" s="118">
        <v>0.27</v>
      </c>
      <c r="R28" s="118">
        <v>1.9</v>
      </c>
      <c r="S28" s="118">
        <v>2.38</v>
      </c>
      <c r="T28" s="118">
        <v>0.54</v>
      </c>
      <c r="U28" s="118">
        <v>186</v>
      </c>
      <c r="V28" s="118">
        <v>0</v>
      </c>
      <c r="W28" s="118"/>
      <c r="X28" s="118">
        <v>0</v>
      </c>
      <c r="Y28" s="118">
        <v>2.88</v>
      </c>
      <c r="Z28" s="118">
        <v>2.1</v>
      </c>
      <c r="AA28" s="118">
        <v>0</v>
      </c>
      <c r="AB28" s="118">
        <v>3.33</v>
      </c>
      <c r="AC28" s="118">
        <v>0</v>
      </c>
      <c r="AD28" s="118">
        <v>40</v>
      </c>
      <c r="AE28" s="118"/>
      <c r="AF28" s="118"/>
      <c r="AG28" s="118"/>
      <c r="AH28" s="118"/>
      <c r="AI28" s="118">
        <v>203.08</v>
      </c>
      <c r="AJ28" s="118">
        <v>1.23</v>
      </c>
      <c r="AK28" s="118">
        <v>8.84</v>
      </c>
      <c r="AL28" s="118">
        <v>130</v>
      </c>
      <c r="AM28" s="118">
        <v>2.71</v>
      </c>
      <c r="AN28" s="118">
        <v>367.63</v>
      </c>
      <c r="AO28" s="118">
        <v>715.95</v>
      </c>
      <c r="AP28" s="118">
        <v>41.23</v>
      </c>
      <c r="AQ28" s="118">
        <v>2.68</v>
      </c>
      <c r="AR28" s="118">
        <v>0.45</v>
      </c>
      <c r="AS28" s="118">
        <v>0.89</v>
      </c>
      <c r="AT28" s="118">
        <v>2.34</v>
      </c>
      <c r="AU28" s="118"/>
      <c r="AV28" s="124">
        <v>0.56000000000000005</v>
      </c>
      <c r="AW28" s="124">
        <v>0.874</v>
      </c>
      <c r="AX28" s="124">
        <v>1.45</v>
      </c>
      <c r="AY28" s="124">
        <v>1.3620000000000001</v>
      </c>
      <c r="AZ28" s="124">
        <v>0.26700000000000002</v>
      </c>
      <c r="BA28" s="124">
        <v>0.27300000000000002</v>
      </c>
      <c r="BB28" s="124">
        <v>1.091</v>
      </c>
      <c r="BC28" s="124">
        <v>0.755</v>
      </c>
      <c r="BD28" s="124">
        <v>0.19500000000000001</v>
      </c>
      <c r="BE28" s="124">
        <v>0.85399999999999998</v>
      </c>
      <c r="BF28" s="124">
        <v>0.874</v>
      </c>
      <c r="BG28" s="124">
        <v>1.919</v>
      </c>
      <c r="BH28" s="124">
        <v>2.395</v>
      </c>
      <c r="BI28" s="124">
        <v>3.5609999999999999</v>
      </c>
      <c r="BJ28" s="124">
        <v>0.84699999999999998</v>
      </c>
      <c r="BK28" s="124">
        <v>0.84099999999999997</v>
      </c>
      <c r="BL28" s="124">
        <v>1.0269999999999999</v>
      </c>
      <c r="BM28" s="124">
        <v>0.505</v>
      </c>
      <c r="BN28" s="118">
        <v>64.28</v>
      </c>
      <c r="BO28" s="118">
        <v>687</v>
      </c>
      <c r="BP28" s="118"/>
      <c r="BQ28" s="118">
        <v>39.799999999999997</v>
      </c>
      <c r="BR28" s="154" t="s">
        <v>85</v>
      </c>
      <c r="BS28" s="154" t="s">
        <v>85</v>
      </c>
      <c r="BT28" s="154" t="s">
        <v>85</v>
      </c>
      <c r="BU28" s="154">
        <v>382</v>
      </c>
      <c r="BV28" s="154" t="s">
        <v>85</v>
      </c>
      <c r="BW28" s="154">
        <v>871</v>
      </c>
      <c r="BX28" s="154">
        <v>11.77</v>
      </c>
      <c r="BY28" s="154" t="s">
        <v>85</v>
      </c>
      <c r="BZ28" s="154">
        <v>2220</v>
      </c>
      <c r="CA28" s="154">
        <v>117</v>
      </c>
      <c r="CB28" s="154"/>
      <c r="CC28" s="154" t="s">
        <v>85</v>
      </c>
      <c r="CD28" s="154">
        <v>58.02</v>
      </c>
      <c r="CE28" s="154" t="s">
        <v>85</v>
      </c>
      <c r="CF28" s="154" t="s">
        <v>85</v>
      </c>
      <c r="CG28" s="205"/>
    </row>
    <row r="29" spans="1:85">
      <c r="A29" s="122">
        <v>13001</v>
      </c>
      <c r="B29" s="122" t="s">
        <v>176</v>
      </c>
      <c r="C29" s="122" t="s">
        <v>177</v>
      </c>
      <c r="D29" s="122" t="s">
        <v>178</v>
      </c>
      <c r="E29" s="122" t="s">
        <v>1118</v>
      </c>
      <c r="F29" s="122" t="s">
        <v>1119</v>
      </c>
      <c r="G29" s="163" t="s">
        <v>1120</v>
      </c>
      <c r="H29" s="122">
        <v>3</v>
      </c>
      <c r="I29" s="123" t="s">
        <v>72</v>
      </c>
      <c r="J29" s="118">
        <v>317</v>
      </c>
      <c r="K29" s="118">
        <v>12.16</v>
      </c>
      <c r="L29" s="118">
        <v>27.7</v>
      </c>
      <c r="M29" s="118">
        <v>0.8</v>
      </c>
      <c r="N29" s="118">
        <v>43.2</v>
      </c>
      <c r="O29" s="118">
        <v>13.2</v>
      </c>
      <c r="P29" s="118">
        <v>0.77</v>
      </c>
      <c r="Q29" s="118">
        <v>0.13</v>
      </c>
      <c r="R29" s="118">
        <v>2</v>
      </c>
      <c r="S29" s="118">
        <v>1.61</v>
      </c>
      <c r="T29" s="118">
        <v>0.34</v>
      </c>
      <c r="U29" s="118">
        <v>35</v>
      </c>
      <c r="V29" s="118"/>
      <c r="W29" s="118">
        <v>4.5</v>
      </c>
      <c r="X29" s="118">
        <v>1.31</v>
      </c>
      <c r="Y29" s="118">
        <v>0.16</v>
      </c>
      <c r="Z29" s="118"/>
      <c r="AA29" s="118">
        <v>0</v>
      </c>
      <c r="AB29" s="118">
        <v>3</v>
      </c>
      <c r="AC29" s="118">
        <v>0</v>
      </c>
      <c r="AD29" s="118">
        <v>34</v>
      </c>
      <c r="AE29" s="118"/>
      <c r="AF29" s="118"/>
      <c r="AG29" s="118"/>
      <c r="AH29" s="118"/>
      <c r="AI29" s="118">
        <v>23</v>
      </c>
      <c r="AJ29" s="118">
        <v>0.79</v>
      </c>
      <c r="AK29" s="118">
        <v>5.0999999999999996</v>
      </c>
      <c r="AL29" s="118">
        <v>72</v>
      </c>
      <c r="AM29" s="118">
        <v>1.72</v>
      </c>
      <c r="AN29" s="118">
        <v>261</v>
      </c>
      <c r="AO29" s="118">
        <v>635</v>
      </c>
      <c r="AP29" s="118">
        <v>0</v>
      </c>
      <c r="AQ29" s="118">
        <v>3.89</v>
      </c>
      <c r="AR29" s="118">
        <v>0.14000000000000001</v>
      </c>
      <c r="AS29" s="118">
        <v>0.17</v>
      </c>
      <c r="AT29" s="118">
        <v>0.42</v>
      </c>
      <c r="AU29" s="118">
        <v>0</v>
      </c>
      <c r="AV29" s="124">
        <v>0.63300000000000001</v>
      </c>
      <c r="AW29" s="124">
        <v>1.048</v>
      </c>
      <c r="AX29" s="124">
        <v>2.0169999999999999</v>
      </c>
      <c r="AY29" s="124">
        <v>2.1179999999999999</v>
      </c>
      <c r="AZ29" s="124">
        <v>0.14699999999999999</v>
      </c>
      <c r="BA29" s="124">
        <v>0.216</v>
      </c>
      <c r="BB29" s="124">
        <v>1.431</v>
      </c>
      <c r="BC29" s="124">
        <v>1.032</v>
      </c>
      <c r="BD29" s="124">
        <v>0.25700000000000001</v>
      </c>
      <c r="BE29" s="124">
        <v>1.3660000000000001</v>
      </c>
      <c r="BF29" s="124">
        <v>1.917</v>
      </c>
      <c r="BG29" s="124">
        <v>2.2650000000000001</v>
      </c>
      <c r="BH29" s="124">
        <v>3.2280000000000002</v>
      </c>
      <c r="BI29" s="124">
        <v>5.4809999999999999</v>
      </c>
      <c r="BJ29" s="124">
        <v>1.1499999999999999</v>
      </c>
      <c r="BK29" s="124">
        <v>1.075</v>
      </c>
      <c r="BL29" s="124">
        <v>1.5149999999999999</v>
      </c>
      <c r="BM29" s="124">
        <v>0.83599999999999997</v>
      </c>
      <c r="BN29" s="118"/>
      <c r="BO29" s="118">
        <v>133</v>
      </c>
      <c r="BP29" s="118"/>
      <c r="BQ29" s="118">
        <v>30.4</v>
      </c>
      <c r="BR29" s="154" t="s">
        <v>85</v>
      </c>
      <c r="BS29" s="154" t="s">
        <v>85</v>
      </c>
      <c r="BT29" s="154" t="s">
        <v>85</v>
      </c>
      <c r="BU29" s="154">
        <v>79.739999999999995</v>
      </c>
      <c r="BV29" s="154" t="s">
        <v>85</v>
      </c>
      <c r="BW29" s="154">
        <v>112</v>
      </c>
      <c r="BX29" s="154" t="s">
        <v>85</v>
      </c>
      <c r="BY29" s="154" t="s">
        <v>85</v>
      </c>
      <c r="BZ29" s="154">
        <v>266</v>
      </c>
      <c r="CA29" s="154">
        <v>70.14</v>
      </c>
      <c r="CB29" s="154"/>
      <c r="CC29" s="154" t="s">
        <v>85</v>
      </c>
      <c r="CD29" s="154">
        <v>11.28</v>
      </c>
      <c r="CE29" s="154" t="s">
        <v>85</v>
      </c>
      <c r="CF29" s="154" t="s">
        <v>85</v>
      </c>
      <c r="CG29" s="154">
        <v>6</v>
      </c>
    </row>
    <row r="30" spans="1:85">
      <c r="A30" s="122">
        <v>13003</v>
      </c>
      <c r="B30" s="122" t="s">
        <v>180</v>
      </c>
      <c r="C30" s="122" t="s">
        <v>181</v>
      </c>
      <c r="D30" s="122" t="s">
        <v>182</v>
      </c>
      <c r="E30" s="122" t="s">
        <v>76</v>
      </c>
      <c r="F30" s="122" t="s">
        <v>1121</v>
      </c>
      <c r="G30" s="163" t="s">
        <v>1122</v>
      </c>
      <c r="H30" s="122">
        <v>3</v>
      </c>
      <c r="I30" s="123" t="s">
        <v>72</v>
      </c>
      <c r="J30" s="118">
        <v>332</v>
      </c>
      <c r="K30" s="118">
        <v>10.16</v>
      </c>
      <c r="L30" s="118">
        <v>24.8</v>
      </c>
      <c r="M30" s="118">
        <v>1.2</v>
      </c>
      <c r="N30" s="118">
        <v>50.8</v>
      </c>
      <c r="O30" s="118">
        <v>9.4</v>
      </c>
      <c r="P30" s="118">
        <v>0.41</v>
      </c>
      <c r="Q30" s="118">
        <v>0.11</v>
      </c>
      <c r="R30" s="118">
        <v>1.84</v>
      </c>
      <c r="S30" s="118">
        <v>1.68</v>
      </c>
      <c r="T30" s="118">
        <v>0.19</v>
      </c>
      <c r="U30" s="118">
        <v>140</v>
      </c>
      <c r="V30" s="118">
        <v>0</v>
      </c>
      <c r="W30" s="118">
        <v>0</v>
      </c>
      <c r="X30" s="118">
        <v>2.0499999999999998</v>
      </c>
      <c r="Y30" s="118">
        <v>0.23</v>
      </c>
      <c r="Z30" s="118">
        <v>8.3000000000000007</v>
      </c>
      <c r="AA30" s="118">
        <v>0</v>
      </c>
      <c r="AB30" s="118">
        <v>4</v>
      </c>
      <c r="AC30" s="118"/>
      <c r="AD30" s="118">
        <v>44</v>
      </c>
      <c r="AE30" s="118"/>
      <c r="AF30" s="118"/>
      <c r="AG30" s="118"/>
      <c r="AH30" s="118"/>
      <c r="AI30" s="118">
        <v>59</v>
      </c>
      <c r="AJ30" s="118">
        <v>1.34</v>
      </c>
      <c r="AK30" s="118">
        <v>6.5</v>
      </c>
      <c r="AL30" s="118">
        <v>151</v>
      </c>
      <c r="AM30" s="118">
        <v>0.98</v>
      </c>
      <c r="AN30" s="118">
        <v>320</v>
      </c>
      <c r="AO30" s="118">
        <v>1369</v>
      </c>
      <c r="AP30" s="118">
        <v>50.14</v>
      </c>
      <c r="AQ30" s="118">
        <v>2.81</v>
      </c>
      <c r="AR30" s="118">
        <v>0.25</v>
      </c>
      <c r="AS30" s="118">
        <v>0.04</v>
      </c>
      <c r="AT30" s="118">
        <v>0.53</v>
      </c>
      <c r="AU30" s="118"/>
      <c r="AV30" s="124">
        <v>0.69</v>
      </c>
      <c r="AW30" s="124">
        <v>0.99</v>
      </c>
      <c r="AX30" s="124">
        <v>1.8</v>
      </c>
      <c r="AY30" s="124">
        <v>1.7</v>
      </c>
      <c r="AZ30" s="124">
        <v>0.28999999999999998</v>
      </c>
      <c r="BA30" s="124">
        <v>0.21</v>
      </c>
      <c r="BB30" s="124">
        <v>1.5</v>
      </c>
      <c r="BC30" s="124">
        <v>0.76</v>
      </c>
      <c r="BD30" s="124">
        <v>0.26</v>
      </c>
      <c r="BE30" s="124">
        <v>1.2</v>
      </c>
      <c r="BF30" s="124">
        <v>1.1000000000000001</v>
      </c>
      <c r="BG30" s="124">
        <v>1.7</v>
      </c>
      <c r="BH30" s="124">
        <v>2.7</v>
      </c>
      <c r="BI30" s="124">
        <v>4.2</v>
      </c>
      <c r="BJ30" s="124">
        <v>0.96</v>
      </c>
      <c r="BK30" s="124">
        <v>1.1000000000000001</v>
      </c>
      <c r="BL30" s="124">
        <v>1.2</v>
      </c>
      <c r="BM30" s="124">
        <v>0.73</v>
      </c>
      <c r="BN30" s="118">
        <v>6.44</v>
      </c>
      <c r="BO30" s="118">
        <v>580</v>
      </c>
      <c r="BP30" s="118"/>
      <c r="BQ30" s="118">
        <v>15.3</v>
      </c>
      <c r="BR30" s="154" t="s">
        <v>85</v>
      </c>
      <c r="BS30" s="154" t="s">
        <v>85</v>
      </c>
      <c r="BT30" s="154" t="s">
        <v>85</v>
      </c>
      <c r="BU30" s="154">
        <v>208</v>
      </c>
      <c r="BV30" s="154" t="s">
        <v>85</v>
      </c>
      <c r="BW30" s="154">
        <v>35.85</v>
      </c>
      <c r="BX30" s="154" t="s">
        <v>85</v>
      </c>
      <c r="BY30" s="154" t="s">
        <v>85</v>
      </c>
      <c r="BZ30" s="154">
        <v>377</v>
      </c>
      <c r="CA30" s="154">
        <v>157</v>
      </c>
      <c r="CB30" s="154"/>
      <c r="CC30" s="154" t="s">
        <v>85</v>
      </c>
      <c r="CD30" s="154">
        <v>39.24</v>
      </c>
      <c r="CE30" s="154" t="s">
        <v>85</v>
      </c>
      <c r="CF30" s="154" t="s">
        <v>85</v>
      </c>
      <c r="CG30" s="205"/>
    </row>
    <row r="31" spans="1:85">
      <c r="A31" s="122">
        <v>13005</v>
      </c>
      <c r="B31" s="122" t="s">
        <v>189</v>
      </c>
      <c r="C31" s="122" t="s">
        <v>190</v>
      </c>
      <c r="D31" s="122" t="s">
        <v>191</v>
      </c>
      <c r="E31" s="122" t="s">
        <v>76</v>
      </c>
      <c r="F31" s="122">
        <v>20006</v>
      </c>
      <c r="G31" s="163" t="s">
        <v>1123</v>
      </c>
      <c r="H31" s="122">
        <v>3</v>
      </c>
      <c r="I31" s="123" t="s">
        <v>72</v>
      </c>
      <c r="J31" s="118">
        <v>352</v>
      </c>
      <c r="K31" s="118">
        <v>9.43</v>
      </c>
      <c r="L31" s="118">
        <v>28.38</v>
      </c>
      <c r="M31" s="118">
        <v>0.89</v>
      </c>
      <c r="N31" s="118">
        <v>56.51</v>
      </c>
      <c r="O31" s="118">
        <v>2.2000000000000002</v>
      </c>
      <c r="P31" s="118">
        <v>0.37</v>
      </c>
      <c r="Q31" s="118">
        <v>0.21</v>
      </c>
      <c r="R31" s="118">
        <v>2.9</v>
      </c>
      <c r="S31" s="118"/>
      <c r="T31" s="118">
        <v>0.35</v>
      </c>
      <c r="U31" s="118">
        <v>206.7</v>
      </c>
      <c r="V31" s="118"/>
      <c r="W31" s="118"/>
      <c r="X31" s="118">
        <v>0</v>
      </c>
      <c r="Y31" s="118">
        <v>0.5</v>
      </c>
      <c r="Z31" s="118"/>
      <c r="AA31" s="118">
        <v>0</v>
      </c>
      <c r="AB31" s="118">
        <v>5.03</v>
      </c>
      <c r="AC31" s="118"/>
      <c r="AD31" s="118">
        <v>60.4</v>
      </c>
      <c r="AE31" s="118"/>
      <c r="AF31" s="118"/>
      <c r="AG31" s="118"/>
      <c r="AH31" s="118"/>
      <c r="AI31" s="118">
        <v>60.84</v>
      </c>
      <c r="AJ31" s="118">
        <v>1.08</v>
      </c>
      <c r="AK31" s="118">
        <v>5.31</v>
      </c>
      <c r="AL31" s="118">
        <v>100.55</v>
      </c>
      <c r="AM31" s="118"/>
      <c r="AN31" s="118">
        <v>374.15</v>
      </c>
      <c r="AO31" s="118">
        <v>812.8</v>
      </c>
      <c r="AP31" s="118"/>
      <c r="AQ31" s="118">
        <v>3.38</v>
      </c>
      <c r="AR31" s="118"/>
      <c r="AS31" s="118"/>
      <c r="AT31" s="118"/>
      <c r="AU31" s="118"/>
      <c r="AV31" s="124"/>
      <c r="AW31" s="124"/>
      <c r="AX31" s="124"/>
      <c r="AY31" s="124"/>
      <c r="AZ31" s="124"/>
      <c r="BA31" s="124"/>
      <c r="BB31" s="124"/>
      <c r="BC31" s="124"/>
      <c r="BD31" s="124"/>
      <c r="BE31" s="124"/>
      <c r="BF31" s="124"/>
      <c r="BG31" s="124"/>
      <c r="BH31" s="124"/>
      <c r="BI31" s="124"/>
      <c r="BJ31" s="124"/>
      <c r="BK31" s="124"/>
      <c r="BL31" s="124"/>
      <c r="BM31" s="124"/>
      <c r="BN31" s="118"/>
      <c r="BO31" s="118">
        <v>560</v>
      </c>
      <c r="BP31" s="118"/>
      <c r="BQ31" s="118"/>
      <c r="BR31" s="205"/>
      <c r="BS31" s="205"/>
      <c r="BT31" s="205"/>
      <c r="BU31" s="205"/>
      <c r="BV31" s="205"/>
      <c r="BW31" s="205"/>
      <c r="BX31" s="205"/>
      <c r="BY31" s="205"/>
      <c r="BZ31" s="205"/>
      <c r="CA31" s="205"/>
      <c r="CB31" s="205"/>
      <c r="CC31" s="205"/>
      <c r="CD31" s="205"/>
      <c r="CE31" s="205"/>
      <c r="CF31" s="205"/>
      <c r="CG31" s="205"/>
    </row>
    <row r="32" spans="1:85">
      <c r="A32" s="122">
        <v>14001</v>
      </c>
      <c r="B32" s="122" t="s">
        <v>193</v>
      </c>
      <c r="C32" s="122" t="s">
        <v>194</v>
      </c>
      <c r="D32" s="122" t="s">
        <v>195</v>
      </c>
      <c r="E32" s="122" t="s">
        <v>1124</v>
      </c>
      <c r="F32" s="122" t="s">
        <v>1125</v>
      </c>
      <c r="G32" s="163" t="s">
        <v>1126</v>
      </c>
      <c r="H32" s="122">
        <v>2</v>
      </c>
      <c r="I32" s="122" t="s">
        <v>197</v>
      </c>
      <c r="J32" s="118">
        <v>66</v>
      </c>
      <c r="K32" s="118">
        <v>81.709999999999994</v>
      </c>
      <c r="L32" s="118">
        <v>1.19</v>
      </c>
      <c r="M32" s="118">
        <v>0.16</v>
      </c>
      <c r="N32" s="118">
        <v>14.01</v>
      </c>
      <c r="O32" s="118">
        <v>2.0699999999999998</v>
      </c>
      <c r="P32" s="118">
        <v>0.08</v>
      </c>
      <c r="Q32" s="118">
        <v>0.09</v>
      </c>
      <c r="R32" s="118">
        <v>0.4</v>
      </c>
      <c r="S32" s="118">
        <v>0.42</v>
      </c>
      <c r="T32" s="118">
        <v>0.28000000000000003</v>
      </c>
      <c r="U32" s="118">
        <v>18</v>
      </c>
      <c r="V32" s="118">
        <v>0</v>
      </c>
      <c r="W32" s="118">
        <v>19.07</v>
      </c>
      <c r="X32" s="118">
        <v>0.2</v>
      </c>
      <c r="Y32" s="118">
        <v>0.02</v>
      </c>
      <c r="Z32" s="118">
        <v>2.12</v>
      </c>
      <c r="AA32" s="118">
        <v>0</v>
      </c>
      <c r="AB32" s="118">
        <v>2.2599999999999998</v>
      </c>
      <c r="AC32" s="118">
        <v>0</v>
      </c>
      <c r="AD32" s="118">
        <v>27.15</v>
      </c>
      <c r="AE32" s="118">
        <v>8.02</v>
      </c>
      <c r="AF32" s="118"/>
      <c r="AG32" s="118"/>
      <c r="AH32" s="118">
        <v>123.33</v>
      </c>
      <c r="AI32" s="118">
        <v>11.46</v>
      </c>
      <c r="AJ32" s="118">
        <v>0.43</v>
      </c>
      <c r="AK32" s="118">
        <v>0.51</v>
      </c>
      <c r="AL32" s="118">
        <v>20.56</v>
      </c>
      <c r="AM32" s="118">
        <v>0.14000000000000001</v>
      </c>
      <c r="AN32" s="118">
        <v>40</v>
      </c>
      <c r="AO32" s="118">
        <v>286.27999999999997</v>
      </c>
      <c r="AP32" s="118">
        <v>0.75</v>
      </c>
      <c r="AQ32" s="118">
        <v>0.79</v>
      </c>
      <c r="AR32" s="118">
        <v>0.04</v>
      </c>
      <c r="AS32" s="118">
        <v>0.01</v>
      </c>
      <c r="AT32" s="118">
        <v>0.13</v>
      </c>
      <c r="AU32" s="118"/>
      <c r="AV32" s="124">
        <v>1.427E-2</v>
      </c>
      <c r="AW32" s="124">
        <v>3.5159999999999997E-2</v>
      </c>
      <c r="AX32" s="124">
        <v>6.6360000000000002E-2</v>
      </c>
      <c r="AY32" s="124">
        <v>5.7169999999999999E-2</v>
      </c>
      <c r="AZ32" s="124">
        <v>1.068E-2</v>
      </c>
      <c r="BA32" s="124">
        <v>8.0600000000000012E-3</v>
      </c>
      <c r="BB32" s="124">
        <v>4.8840000000000001E-2</v>
      </c>
      <c r="BC32" s="124">
        <v>3.9729999999999994E-2</v>
      </c>
      <c r="BD32" s="124">
        <v>1.167E-2</v>
      </c>
      <c r="BE32" s="124">
        <v>4.0210000000000003E-2</v>
      </c>
      <c r="BF32" s="124">
        <v>6.472E-2</v>
      </c>
      <c r="BG32" s="124">
        <v>3.6760000000000001E-2</v>
      </c>
      <c r="BH32" s="124">
        <v>0.12847999999999998</v>
      </c>
      <c r="BI32" s="124">
        <v>0.19791</v>
      </c>
      <c r="BJ32" s="124">
        <v>3.1100000000000003E-2</v>
      </c>
      <c r="BK32" s="124">
        <v>3.465E-2</v>
      </c>
      <c r="BL32" s="124">
        <v>4.471E-2</v>
      </c>
      <c r="BM32" s="124">
        <v>3.4439999999999998E-2</v>
      </c>
      <c r="BN32" s="118">
        <v>24.61</v>
      </c>
      <c r="BO32" s="118">
        <v>59.36</v>
      </c>
      <c r="BP32" s="118">
        <v>12</v>
      </c>
      <c r="BQ32" s="118">
        <v>14.1</v>
      </c>
      <c r="BR32" s="154" t="s">
        <v>85</v>
      </c>
      <c r="BS32" s="154" t="s">
        <v>85</v>
      </c>
      <c r="BT32" s="154" t="s">
        <v>85</v>
      </c>
      <c r="BU32" s="154">
        <v>36.340000000000003</v>
      </c>
      <c r="BV32" s="154" t="s">
        <v>85</v>
      </c>
      <c r="BW32" s="154">
        <v>4.0599999999999996</v>
      </c>
      <c r="BX32" s="154" t="s">
        <v>85</v>
      </c>
      <c r="BY32" s="154" t="s">
        <v>85</v>
      </c>
      <c r="BZ32" s="154">
        <v>97.45</v>
      </c>
      <c r="CA32" s="154">
        <v>31.84</v>
      </c>
      <c r="CB32" s="154"/>
      <c r="CC32" s="154" t="s">
        <v>85</v>
      </c>
      <c r="CD32" s="154">
        <v>5.52</v>
      </c>
      <c r="CE32" s="154" t="s">
        <v>85</v>
      </c>
      <c r="CF32" s="154" t="s">
        <v>85</v>
      </c>
      <c r="CG32" s="205">
        <v>1</v>
      </c>
    </row>
    <row r="33" spans="1:85">
      <c r="A33" s="122">
        <v>32102</v>
      </c>
      <c r="B33" s="122" t="s">
        <v>198</v>
      </c>
      <c r="C33" s="122" t="s">
        <v>199</v>
      </c>
      <c r="D33" s="122" t="s">
        <v>200</v>
      </c>
      <c r="E33" s="122" t="s">
        <v>76</v>
      </c>
      <c r="F33" s="122" t="s">
        <v>1127</v>
      </c>
      <c r="G33" s="163" t="s">
        <v>1128</v>
      </c>
      <c r="H33" s="122">
        <v>4</v>
      </c>
      <c r="I33" s="122" t="s">
        <v>202</v>
      </c>
      <c r="J33" s="118">
        <v>151</v>
      </c>
      <c r="K33" s="118">
        <v>60.13</v>
      </c>
      <c r="L33" s="118">
        <v>5.6</v>
      </c>
      <c r="M33" s="118">
        <v>0.41</v>
      </c>
      <c r="N33" s="118">
        <v>30.39</v>
      </c>
      <c r="O33" s="118">
        <v>1.5</v>
      </c>
      <c r="P33" s="118">
        <v>0.21</v>
      </c>
      <c r="Q33" s="118">
        <v>0.11</v>
      </c>
      <c r="R33" s="118">
        <v>3.1</v>
      </c>
      <c r="S33" s="118">
        <v>0.36</v>
      </c>
      <c r="T33" s="118">
        <v>0.08</v>
      </c>
      <c r="U33" s="118">
        <v>54.58</v>
      </c>
      <c r="V33" s="118"/>
      <c r="W33" s="118">
        <v>8.6</v>
      </c>
      <c r="X33" s="118">
        <v>1.4</v>
      </c>
      <c r="Y33" s="118">
        <v>0.06</v>
      </c>
      <c r="Z33" s="118">
        <v>13.56</v>
      </c>
      <c r="AA33" s="118">
        <v>0</v>
      </c>
      <c r="AB33" s="118">
        <v>0</v>
      </c>
      <c r="AC33" s="118">
        <v>0</v>
      </c>
      <c r="AD33" s="118">
        <v>0</v>
      </c>
      <c r="AE33" s="118">
        <v>2.13</v>
      </c>
      <c r="AF33" s="118"/>
      <c r="AG33" s="118"/>
      <c r="AH33" s="118">
        <v>1.56</v>
      </c>
      <c r="AI33" s="118">
        <v>39.85</v>
      </c>
      <c r="AJ33" s="118">
        <v>0.19</v>
      </c>
      <c r="AK33" s="118">
        <v>1.5</v>
      </c>
      <c r="AL33" s="118">
        <v>54</v>
      </c>
      <c r="AM33" s="118">
        <v>0.27</v>
      </c>
      <c r="AN33" s="118">
        <v>97</v>
      </c>
      <c r="AO33" s="118">
        <v>246</v>
      </c>
      <c r="AP33" s="118">
        <v>0.33</v>
      </c>
      <c r="AQ33" s="118">
        <v>0.28999999999999998</v>
      </c>
      <c r="AR33" s="118">
        <v>0.15</v>
      </c>
      <c r="AS33" s="118">
        <v>0.02</v>
      </c>
      <c r="AT33" s="118">
        <v>0.18</v>
      </c>
      <c r="AU33" s="118"/>
      <c r="AV33" s="124">
        <v>3.3460000000000004E-2</v>
      </c>
      <c r="AW33" s="124">
        <v>0.10890000000000001</v>
      </c>
      <c r="AX33" s="124">
        <v>0.14236000000000001</v>
      </c>
      <c r="AY33" s="124">
        <v>7.3849999999999999E-2</v>
      </c>
      <c r="AZ33" s="124">
        <v>1.8609999999999998E-2</v>
      </c>
      <c r="BA33" s="124">
        <v>1.089E-2</v>
      </c>
      <c r="BB33" s="124">
        <v>0.12315999999999999</v>
      </c>
      <c r="BC33" s="124">
        <v>0.10811</v>
      </c>
      <c r="BD33" s="124">
        <v>1.8609999999999998E-2</v>
      </c>
      <c r="BE33" s="124">
        <v>0.13583000000000001</v>
      </c>
      <c r="BF33" s="124">
        <v>9.6819999999999989E-2</v>
      </c>
      <c r="BG33" s="124">
        <v>5.9799999999999999E-2</v>
      </c>
      <c r="BH33" s="124">
        <v>0.30352999999999997</v>
      </c>
      <c r="BI33" s="124">
        <v>0.22670999999999999</v>
      </c>
      <c r="BJ33" s="124">
        <v>0.1186</v>
      </c>
      <c r="BK33" s="124">
        <v>9.5239999999999991E-2</v>
      </c>
      <c r="BL33" s="124">
        <v>0.10514</v>
      </c>
      <c r="BM33" s="124">
        <v>0.11108</v>
      </c>
      <c r="BN33" s="118">
        <v>15.53</v>
      </c>
      <c r="BO33" s="118">
        <v>141</v>
      </c>
      <c r="BP33" s="118"/>
      <c r="BQ33" s="118"/>
      <c r="BR33" s="205"/>
      <c r="BS33" s="205"/>
      <c r="BT33" s="205"/>
      <c r="BU33" s="205"/>
      <c r="BV33" s="205"/>
      <c r="BW33" s="205"/>
      <c r="BX33" s="205"/>
      <c r="BY33" s="205"/>
      <c r="BZ33" s="205"/>
      <c r="CA33" s="205"/>
      <c r="CB33" s="205"/>
      <c r="CC33" s="205"/>
      <c r="CD33" s="205"/>
      <c r="CE33" s="205"/>
      <c r="CF33" s="205"/>
      <c r="CG33" s="205"/>
    </row>
    <row r="34" spans="1:85">
      <c r="A34" s="122">
        <v>21001</v>
      </c>
      <c r="B34" s="122" t="s">
        <v>203</v>
      </c>
      <c r="C34" s="122" t="s">
        <v>204</v>
      </c>
      <c r="D34" s="122" t="s">
        <v>205</v>
      </c>
      <c r="E34" s="122" t="s">
        <v>1129</v>
      </c>
      <c r="F34" s="122" t="s">
        <v>1130</v>
      </c>
      <c r="G34" s="163" t="s">
        <v>1131</v>
      </c>
      <c r="H34" s="122">
        <v>10</v>
      </c>
      <c r="I34" s="122" t="s">
        <v>207</v>
      </c>
      <c r="J34" s="118">
        <v>27</v>
      </c>
      <c r="K34" s="118">
        <v>90.5</v>
      </c>
      <c r="L34" s="118">
        <v>3.1</v>
      </c>
      <c r="M34" s="118">
        <v>0.2</v>
      </c>
      <c r="N34" s="118">
        <v>1.7</v>
      </c>
      <c r="O34" s="118">
        <v>2.9</v>
      </c>
      <c r="P34" s="118">
        <v>0.01</v>
      </c>
      <c r="Q34" s="118">
        <v>0.27</v>
      </c>
      <c r="R34" s="118">
        <v>0.7</v>
      </c>
      <c r="S34" s="118">
        <v>0.37</v>
      </c>
      <c r="T34" s="118">
        <v>0.19</v>
      </c>
      <c r="U34" s="118">
        <v>85</v>
      </c>
      <c r="V34" s="118">
        <v>0</v>
      </c>
      <c r="W34" s="118">
        <v>42</v>
      </c>
      <c r="X34" s="118">
        <v>15.17</v>
      </c>
      <c r="Y34" s="118">
        <v>0.46</v>
      </c>
      <c r="Z34" s="118">
        <v>312</v>
      </c>
      <c r="AA34" s="118">
        <v>0</v>
      </c>
      <c r="AB34" s="118">
        <v>716</v>
      </c>
      <c r="AC34" s="118">
        <v>185</v>
      </c>
      <c r="AD34" s="118">
        <v>8457</v>
      </c>
      <c r="AE34" s="118">
        <v>7439</v>
      </c>
      <c r="AF34" s="118"/>
      <c r="AG34" s="118"/>
      <c r="AH34" s="118">
        <v>118</v>
      </c>
      <c r="AI34" s="118">
        <v>245</v>
      </c>
      <c r="AJ34" s="118">
        <v>0.09</v>
      </c>
      <c r="AK34" s="118">
        <v>1.6</v>
      </c>
      <c r="AL34" s="118">
        <v>138</v>
      </c>
      <c r="AM34" s="118">
        <v>2.15</v>
      </c>
      <c r="AN34" s="118">
        <v>76</v>
      </c>
      <c r="AO34" s="118">
        <v>186</v>
      </c>
      <c r="AP34" s="118">
        <v>22.55</v>
      </c>
      <c r="AQ34" s="118">
        <v>1.21</v>
      </c>
      <c r="AR34" s="118">
        <v>0.21</v>
      </c>
      <c r="AS34" s="118">
        <v>0.05</v>
      </c>
      <c r="AT34" s="118">
        <v>0.33</v>
      </c>
      <c r="AU34" s="118"/>
      <c r="AV34" s="124">
        <v>7.8989999999999991E-2</v>
      </c>
      <c r="AW34" s="124">
        <v>0.16938</v>
      </c>
      <c r="AX34" s="124">
        <v>0.32225999999999999</v>
      </c>
      <c r="AY34" s="124">
        <v>0.21928999999999998</v>
      </c>
      <c r="AZ34" s="124">
        <v>6.4060000000000006E-2</v>
      </c>
      <c r="BA34" s="124">
        <v>3.773E-2</v>
      </c>
      <c r="BB34" s="124">
        <v>0.18746000000000002</v>
      </c>
      <c r="BC34" s="124">
        <v>0.15877000000000002</v>
      </c>
      <c r="BD34" s="124">
        <v>4.7159999999999994E-2</v>
      </c>
      <c r="BE34" s="124">
        <v>0.20593</v>
      </c>
      <c r="BF34" s="124">
        <v>0.25780999999999998</v>
      </c>
      <c r="BG34" s="124">
        <v>0.22912000000000002</v>
      </c>
      <c r="BH34" s="124">
        <v>0.35919999999999996</v>
      </c>
      <c r="BI34" s="124">
        <v>0.49831999999999999</v>
      </c>
      <c r="BJ34" s="124">
        <v>0.20122000000000001</v>
      </c>
      <c r="BK34" s="124">
        <v>0.15994999999999998</v>
      </c>
      <c r="BL34" s="124">
        <v>0.17685000000000001</v>
      </c>
      <c r="BM34" s="124">
        <v>0.11829000000000001</v>
      </c>
      <c r="BN34" s="118">
        <v>27.63</v>
      </c>
      <c r="BO34" s="118">
        <v>10</v>
      </c>
      <c r="BP34" s="118"/>
      <c r="BQ34" s="118">
        <v>19.3</v>
      </c>
      <c r="BR34" s="154" t="s">
        <v>85</v>
      </c>
      <c r="BS34" s="154" t="s">
        <v>85</v>
      </c>
      <c r="BT34" s="154">
        <v>20.329999999999998</v>
      </c>
      <c r="BU34" s="154">
        <v>159</v>
      </c>
      <c r="BV34" s="154" t="s">
        <v>85</v>
      </c>
      <c r="BW34" s="154">
        <v>31.48</v>
      </c>
      <c r="BX34" s="154">
        <v>1.39</v>
      </c>
      <c r="BY34" s="154" t="s">
        <v>85</v>
      </c>
      <c r="BZ34" s="154">
        <v>112</v>
      </c>
      <c r="CA34" s="154">
        <v>214</v>
      </c>
      <c r="CB34" s="154"/>
      <c r="CC34" s="154" t="s">
        <v>85</v>
      </c>
      <c r="CD34" s="154">
        <v>17.75</v>
      </c>
      <c r="CE34" s="154" t="s">
        <v>85</v>
      </c>
      <c r="CF34" s="154" t="s">
        <v>85</v>
      </c>
      <c r="CG34" s="205"/>
    </row>
    <row r="35" spans="1:85">
      <c r="A35" s="122">
        <v>21002</v>
      </c>
      <c r="B35" s="122" t="s">
        <v>1132</v>
      </c>
      <c r="C35" s="122" t="s">
        <v>209</v>
      </c>
      <c r="D35" s="122" t="s">
        <v>210</v>
      </c>
      <c r="E35" s="122" t="s">
        <v>1133</v>
      </c>
      <c r="F35" s="122" t="s">
        <v>1134</v>
      </c>
      <c r="G35" s="163" t="s">
        <v>1135</v>
      </c>
      <c r="H35" s="122">
        <v>10</v>
      </c>
      <c r="I35" s="122" t="s">
        <v>207</v>
      </c>
      <c r="J35" s="118">
        <v>51</v>
      </c>
      <c r="K35" s="118">
        <v>84.71</v>
      </c>
      <c r="L35" s="118">
        <v>4.04</v>
      </c>
      <c r="M35" s="118">
        <v>1.06</v>
      </c>
      <c r="N35" s="118">
        <v>4.37</v>
      </c>
      <c r="O35" s="118">
        <v>3.7</v>
      </c>
      <c r="P35" s="118">
        <v>0.22</v>
      </c>
      <c r="Q35" s="118">
        <v>0.26</v>
      </c>
      <c r="R35" s="118">
        <v>1.9</v>
      </c>
      <c r="S35" s="118">
        <v>0.27</v>
      </c>
      <c r="T35" s="118">
        <v>0.15</v>
      </c>
      <c r="U35" s="118">
        <v>126</v>
      </c>
      <c r="V35" s="118">
        <v>0</v>
      </c>
      <c r="W35" s="118">
        <v>48.11</v>
      </c>
      <c r="X35" s="118">
        <v>1.59</v>
      </c>
      <c r="Y35" s="118">
        <v>2.02</v>
      </c>
      <c r="Z35" s="118">
        <v>109</v>
      </c>
      <c r="AA35" s="118">
        <v>0</v>
      </c>
      <c r="AB35" s="118">
        <v>595.54999999999995</v>
      </c>
      <c r="AC35" s="118">
        <v>0</v>
      </c>
      <c r="AD35" s="118">
        <v>7150</v>
      </c>
      <c r="AE35" s="118">
        <v>5222</v>
      </c>
      <c r="AF35" s="118"/>
      <c r="AG35" s="118"/>
      <c r="AH35" s="118">
        <v>136</v>
      </c>
      <c r="AI35" s="118">
        <v>234.67</v>
      </c>
      <c r="AJ35" s="118">
        <v>0.19</v>
      </c>
      <c r="AK35" s="118">
        <v>4.9400000000000004</v>
      </c>
      <c r="AL35" s="118">
        <v>61.35</v>
      </c>
      <c r="AM35" s="118">
        <v>0.71399999999999997</v>
      </c>
      <c r="AN35" s="118">
        <v>39.89</v>
      </c>
      <c r="AO35" s="118">
        <v>764</v>
      </c>
      <c r="AP35" s="118">
        <v>0.9</v>
      </c>
      <c r="AQ35" s="118">
        <v>0.68</v>
      </c>
      <c r="AR35" s="118">
        <v>0.43</v>
      </c>
      <c r="AS35" s="118">
        <v>0.05</v>
      </c>
      <c r="AT35" s="118">
        <v>0.69</v>
      </c>
      <c r="AU35" s="118"/>
      <c r="AV35" s="124">
        <v>0.11627999999999999</v>
      </c>
      <c r="AW35" s="124">
        <v>0.12004000000000001</v>
      </c>
      <c r="AX35" s="124">
        <v>0.25479000000000002</v>
      </c>
      <c r="AY35" s="124">
        <v>0.14568999999999999</v>
      </c>
      <c r="AZ35" s="124">
        <v>6.1219999999999997E-2</v>
      </c>
      <c r="BA35" s="124">
        <v>3.6590000000000004E-2</v>
      </c>
      <c r="BB35" s="124">
        <v>0.15150999999999998</v>
      </c>
      <c r="BC35" s="124">
        <v>0.15493000000000001</v>
      </c>
      <c r="BD35" s="124">
        <v>3.4540000000000001E-2</v>
      </c>
      <c r="BE35" s="124">
        <v>0.15869</v>
      </c>
      <c r="BF35" s="124">
        <v>0.32148000000000004</v>
      </c>
      <c r="BG35" s="124">
        <v>0.19972999999999999</v>
      </c>
      <c r="BH35" s="124">
        <v>0.29241</v>
      </c>
      <c r="BI35" s="124">
        <v>0.52154999999999996</v>
      </c>
      <c r="BJ35" s="124">
        <v>0.15937000000000001</v>
      </c>
      <c r="BK35" s="124">
        <v>0.17133999999999999</v>
      </c>
      <c r="BL35" s="124">
        <v>0.15458000000000002</v>
      </c>
      <c r="BM35" s="124">
        <v>0.12928000000000001</v>
      </c>
      <c r="BN35" s="118"/>
      <c r="BO35" s="118">
        <v>10</v>
      </c>
      <c r="BP35" s="118"/>
      <c r="BQ35" s="118"/>
      <c r="BR35" s="154" t="s">
        <v>85</v>
      </c>
      <c r="BS35" s="154" t="s">
        <v>85</v>
      </c>
      <c r="BT35" s="154" t="s">
        <v>85</v>
      </c>
      <c r="BU35" s="154">
        <v>334</v>
      </c>
      <c r="BV35" s="154" t="s">
        <v>85</v>
      </c>
      <c r="BW35" s="154">
        <v>30.39</v>
      </c>
      <c r="BX35" s="154" t="s">
        <v>85</v>
      </c>
      <c r="BY35" s="154" t="s">
        <v>85</v>
      </c>
      <c r="BZ35" s="154">
        <v>353</v>
      </c>
      <c r="CA35" s="154">
        <v>335</v>
      </c>
      <c r="CB35" s="154"/>
      <c r="CC35" s="154" t="s">
        <v>85</v>
      </c>
      <c r="CD35" s="154">
        <v>52.4</v>
      </c>
      <c r="CE35" s="154" t="s">
        <v>85</v>
      </c>
      <c r="CF35" s="154" t="s">
        <v>85</v>
      </c>
      <c r="CG35" s="205"/>
    </row>
    <row r="36" spans="1:85">
      <c r="A36" s="122">
        <v>21027</v>
      </c>
      <c r="B36" s="122" t="s">
        <v>1136</v>
      </c>
      <c r="C36" s="122" t="s">
        <v>209</v>
      </c>
      <c r="D36" s="122" t="s">
        <v>210</v>
      </c>
      <c r="E36" s="122" t="s">
        <v>1133</v>
      </c>
      <c r="F36" s="122" t="s">
        <v>1137</v>
      </c>
      <c r="G36" s="163" t="s">
        <v>1138</v>
      </c>
      <c r="H36" s="122">
        <v>10</v>
      </c>
      <c r="I36" s="122" t="s">
        <v>207</v>
      </c>
      <c r="J36" s="118">
        <v>62</v>
      </c>
      <c r="K36" s="118">
        <v>81.8</v>
      </c>
      <c r="L36" s="118">
        <v>5.59</v>
      </c>
      <c r="M36" s="118">
        <v>1.23</v>
      </c>
      <c r="N36" s="118">
        <v>5.33</v>
      </c>
      <c r="O36" s="118">
        <v>3.7</v>
      </c>
      <c r="P36" s="118">
        <v>0.06</v>
      </c>
      <c r="Q36" s="118">
        <v>0.45</v>
      </c>
      <c r="R36" s="118">
        <v>1.9</v>
      </c>
      <c r="S36" s="118"/>
      <c r="T36" s="118">
        <v>0.15</v>
      </c>
      <c r="U36" s="118">
        <v>126</v>
      </c>
      <c r="V36" s="118">
        <v>0</v>
      </c>
      <c r="W36" s="118">
        <v>63</v>
      </c>
      <c r="X36" s="118">
        <v>0</v>
      </c>
      <c r="Y36" s="118">
        <v>3.36</v>
      </c>
      <c r="Z36" s="118">
        <v>109</v>
      </c>
      <c r="AA36" s="118">
        <v>0</v>
      </c>
      <c r="AB36" s="118">
        <v>699.17</v>
      </c>
      <c r="AC36" s="118">
        <v>0</v>
      </c>
      <c r="AD36" s="118">
        <v>8390</v>
      </c>
      <c r="AE36" s="118"/>
      <c r="AF36" s="118"/>
      <c r="AG36" s="118"/>
      <c r="AH36" s="118"/>
      <c r="AI36" s="118">
        <v>391.67</v>
      </c>
      <c r="AJ36" s="118">
        <v>0.25</v>
      </c>
      <c r="AK36" s="118">
        <v>2.13</v>
      </c>
      <c r="AL36" s="118">
        <v>130</v>
      </c>
      <c r="AM36" s="118">
        <v>0.71399999999999997</v>
      </c>
      <c r="AN36" s="118">
        <v>39</v>
      </c>
      <c r="AO36" s="118">
        <v>763</v>
      </c>
      <c r="AP36" s="118">
        <v>0.9</v>
      </c>
      <c r="AQ36" s="118">
        <v>0.98</v>
      </c>
      <c r="AR36" s="118"/>
      <c r="AS36" s="118"/>
      <c r="AT36" s="118"/>
      <c r="AU36" s="118"/>
      <c r="AV36" s="124"/>
      <c r="AW36" s="124"/>
      <c r="AX36" s="124"/>
      <c r="AY36" s="124"/>
      <c r="AZ36" s="124"/>
      <c r="BA36" s="124"/>
      <c r="BB36" s="124"/>
      <c r="BC36" s="124"/>
      <c r="BD36" s="124"/>
      <c r="BE36" s="124"/>
      <c r="BF36" s="124"/>
      <c r="BG36" s="124"/>
      <c r="BH36" s="124"/>
      <c r="BI36" s="124"/>
      <c r="BJ36" s="124"/>
      <c r="BK36" s="124"/>
      <c r="BL36" s="124"/>
      <c r="BM36" s="124"/>
      <c r="BN36" s="118"/>
      <c r="BO36" s="118"/>
      <c r="BP36" s="118"/>
      <c r="BQ36" s="118"/>
      <c r="BR36" s="154" t="s">
        <v>85</v>
      </c>
      <c r="BS36" s="154" t="s">
        <v>85</v>
      </c>
      <c r="BT36" s="154" t="s">
        <v>85</v>
      </c>
      <c r="BU36" s="154">
        <v>85.69</v>
      </c>
      <c r="BV36" s="154" t="s">
        <v>85</v>
      </c>
      <c r="BW36" s="154">
        <v>13.12</v>
      </c>
      <c r="BX36" s="154" t="s">
        <v>85</v>
      </c>
      <c r="BY36" s="154" t="s">
        <v>85</v>
      </c>
      <c r="BZ36" s="154">
        <v>113</v>
      </c>
      <c r="CA36" s="154">
        <v>41.36</v>
      </c>
      <c r="CB36" s="154"/>
      <c r="CC36" s="154" t="s">
        <v>85</v>
      </c>
      <c r="CD36" s="154">
        <v>7.73</v>
      </c>
      <c r="CE36" s="154" t="s">
        <v>85</v>
      </c>
      <c r="CF36" s="154" t="s">
        <v>85</v>
      </c>
      <c r="CG36" s="205"/>
    </row>
    <row r="37" spans="1:85">
      <c r="A37" s="122">
        <v>21003</v>
      </c>
      <c r="B37" s="122" t="s">
        <v>213</v>
      </c>
      <c r="C37" s="122" t="s">
        <v>214</v>
      </c>
      <c r="D37" s="122" t="s">
        <v>215</v>
      </c>
      <c r="E37" s="122" t="s">
        <v>1139</v>
      </c>
      <c r="F37" s="122" t="s">
        <v>1140</v>
      </c>
      <c r="G37" s="163" t="s">
        <v>1141</v>
      </c>
      <c r="H37" s="122">
        <v>10</v>
      </c>
      <c r="I37" s="122" t="s">
        <v>207</v>
      </c>
      <c r="J37" s="118">
        <v>24</v>
      </c>
      <c r="K37" s="118">
        <v>91.4</v>
      </c>
      <c r="L37" s="118">
        <v>3.1</v>
      </c>
      <c r="M37" s="118">
        <v>0.5</v>
      </c>
      <c r="N37" s="118">
        <v>0.6</v>
      </c>
      <c r="O37" s="118">
        <v>2.6</v>
      </c>
      <c r="P37" s="118">
        <v>0.03</v>
      </c>
      <c r="Q37" s="118">
        <v>0.09</v>
      </c>
      <c r="R37" s="118">
        <v>1.2</v>
      </c>
      <c r="S37" s="118">
        <v>0.22</v>
      </c>
      <c r="T37" s="118">
        <v>0.2</v>
      </c>
      <c r="U37" s="118">
        <v>194</v>
      </c>
      <c r="V37" s="118">
        <v>0</v>
      </c>
      <c r="W37" s="118">
        <v>30.46</v>
      </c>
      <c r="X37" s="118">
        <v>0.23</v>
      </c>
      <c r="Y37" s="118">
        <v>1.29</v>
      </c>
      <c r="Z37" s="118">
        <v>325</v>
      </c>
      <c r="AA37" s="118">
        <v>0</v>
      </c>
      <c r="AB37" s="118">
        <v>535</v>
      </c>
      <c r="AC37" s="118">
        <v>0</v>
      </c>
      <c r="AD37" s="118">
        <v>6423.33</v>
      </c>
      <c r="AE37" s="118">
        <v>3850</v>
      </c>
      <c r="AF37" s="118"/>
      <c r="AG37" s="118"/>
      <c r="AH37" s="118">
        <v>17.23</v>
      </c>
      <c r="AI37" s="118">
        <v>84</v>
      </c>
      <c r="AJ37" s="118">
        <v>0.1</v>
      </c>
      <c r="AK37" s="118">
        <v>2.1</v>
      </c>
      <c r="AL37" s="118">
        <v>37</v>
      </c>
      <c r="AM37" s="118">
        <v>1.1200000000000001</v>
      </c>
      <c r="AN37" s="118">
        <v>49</v>
      </c>
      <c r="AO37" s="118">
        <v>615</v>
      </c>
      <c r="AP37" s="118">
        <v>2.09</v>
      </c>
      <c r="AQ37" s="118">
        <v>0.85</v>
      </c>
      <c r="AR37" s="118">
        <v>0.18</v>
      </c>
      <c r="AS37" s="118">
        <v>0.04</v>
      </c>
      <c r="AT37" s="118">
        <v>0.3</v>
      </c>
      <c r="AU37" s="118"/>
      <c r="AV37" s="124">
        <v>4.6649999999999997E-2</v>
      </c>
      <c r="AW37" s="124">
        <v>9.2230000000000006E-2</v>
      </c>
      <c r="AX37" s="124">
        <v>0.18618000000000001</v>
      </c>
      <c r="AY37" s="124">
        <v>0.10015</v>
      </c>
      <c r="AZ37" s="124">
        <v>2.8459999999999999E-2</v>
      </c>
      <c r="BA37" s="124">
        <v>1.7979999999999999E-2</v>
      </c>
      <c r="BB37" s="124">
        <v>0.11513</v>
      </c>
      <c r="BC37" s="124">
        <v>0.10058</v>
      </c>
      <c r="BD37" s="124">
        <v>3.2740000000000005E-2</v>
      </c>
      <c r="BE37" s="124">
        <v>0.12476000000000001</v>
      </c>
      <c r="BF37" s="124">
        <v>0.14509</v>
      </c>
      <c r="BG37" s="124">
        <v>0.11577</v>
      </c>
      <c r="BH37" s="124">
        <v>0.19774</v>
      </c>
      <c r="BI37" s="124">
        <v>0.31607999999999997</v>
      </c>
      <c r="BJ37" s="124">
        <v>0.12198000000000001</v>
      </c>
      <c r="BK37" s="124">
        <v>0.10058</v>
      </c>
      <c r="BL37" s="124">
        <v>9.4159999999999994E-2</v>
      </c>
      <c r="BM37" s="124">
        <v>8.4530000000000008E-2</v>
      </c>
      <c r="BN37" s="118">
        <v>233</v>
      </c>
      <c r="BO37" s="118">
        <v>12.01</v>
      </c>
      <c r="BP37" s="118"/>
      <c r="BQ37" s="118">
        <v>19.3</v>
      </c>
      <c r="BR37" s="154" t="s">
        <v>85</v>
      </c>
      <c r="BS37" s="154" t="s">
        <v>85</v>
      </c>
      <c r="BT37" s="154">
        <v>17.010000000000002</v>
      </c>
      <c r="BU37" s="154">
        <v>147</v>
      </c>
      <c r="BV37" s="154" t="s">
        <v>85</v>
      </c>
      <c r="BW37" s="154">
        <v>32.869999999999997</v>
      </c>
      <c r="BX37" s="154">
        <v>1.19</v>
      </c>
      <c r="BY37" s="154" t="s">
        <v>85</v>
      </c>
      <c r="BZ37" s="154">
        <v>75.06</v>
      </c>
      <c r="CA37" s="154">
        <v>220</v>
      </c>
      <c r="CB37" s="154"/>
      <c r="CC37" s="154" t="s">
        <v>85</v>
      </c>
      <c r="CD37" s="154">
        <v>9.5399999999999991</v>
      </c>
      <c r="CE37" s="154" t="s">
        <v>85</v>
      </c>
      <c r="CF37" s="154" t="s">
        <v>85</v>
      </c>
      <c r="CG37" s="205">
        <v>2</v>
      </c>
    </row>
    <row r="38" spans="1:85">
      <c r="A38" s="122">
        <v>21004</v>
      </c>
      <c r="B38" s="122" t="s">
        <v>217</v>
      </c>
      <c r="C38" s="122" t="s">
        <v>218</v>
      </c>
      <c r="D38" s="122" t="s">
        <v>219</v>
      </c>
      <c r="E38" s="122" t="s">
        <v>76</v>
      </c>
      <c r="F38" s="122" t="s">
        <v>1142</v>
      </c>
      <c r="G38" s="163" t="s">
        <v>1143</v>
      </c>
      <c r="H38" s="122">
        <v>10</v>
      </c>
      <c r="I38" s="122" t="s">
        <v>207</v>
      </c>
      <c r="J38" s="118">
        <v>25</v>
      </c>
      <c r="K38" s="118">
        <v>91.82</v>
      </c>
      <c r="L38" s="118">
        <v>2.37</v>
      </c>
      <c r="M38" s="118">
        <v>0.31</v>
      </c>
      <c r="N38" s="118">
        <v>2.11</v>
      </c>
      <c r="O38" s="118">
        <v>2.1800000000000002</v>
      </c>
      <c r="P38" s="118">
        <v>0.02</v>
      </c>
      <c r="Q38" s="118">
        <v>0.36</v>
      </c>
      <c r="R38" s="118">
        <v>0.5</v>
      </c>
      <c r="S38" s="118">
        <v>0.48</v>
      </c>
      <c r="T38" s="118">
        <v>0.24</v>
      </c>
      <c r="U38" s="118">
        <v>140</v>
      </c>
      <c r="V38" s="118"/>
      <c r="W38" s="118">
        <v>51.82</v>
      </c>
      <c r="X38" s="118">
        <v>1.1299999999999999</v>
      </c>
      <c r="Y38" s="118"/>
      <c r="Z38" s="118">
        <v>236</v>
      </c>
      <c r="AA38" s="118">
        <v>0</v>
      </c>
      <c r="AB38" s="118">
        <v>169.5</v>
      </c>
      <c r="AC38" s="118"/>
      <c r="AD38" s="118">
        <v>2030</v>
      </c>
      <c r="AE38" s="118">
        <v>2962</v>
      </c>
      <c r="AF38" s="118"/>
      <c r="AG38" s="118"/>
      <c r="AH38" s="118">
        <v>241</v>
      </c>
      <c r="AI38" s="118">
        <v>111.17</v>
      </c>
      <c r="AJ38" s="118">
        <v>0.06</v>
      </c>
      <c r="AK38" s="118">
        <v>2.2000000000000002</v>
      </c>
      <c r="AL38" s="118">
        <v>179</v>
      </c>
      <c r="AM38" s="118">
        <v>1.29</v>
      </c>
      <c r="AN38" s="118">
        <v>31</v>
      </c>
      <c r="AO38" s="118">
        <v>186.96</v>
      </c>
      <c r="AP38" s="118">
        <v>6.17</v>
      </c>
      <c r="AQ38" s="118">
        <v>0.35</v>
      </c>
      <c r="AR38" s="118">
        <v>0.1</v>
      </c>
      <c r="AS38" s="118">
        <v>0.05</v>
      </c>
      <c r="AT38" s="118">
        <v>0.2</v>
      </c>
      <c r="AU38" s="118"/>
      <c r="AV38" s="124">
        <v>3.4540000000000001E-2</v>
      </c>
      <c r="AW38" s="124">
        <v>5.1810000000000002E-2</v>
      </c>
      <c r="AX38" s="124">
        <v>0.12057999999999999</v>
      </c>
      <c r="AY38" s="124">
        <v>8.1009999999999999E-2</v>
      </c>
      <c r="AZ38" s="124">
        <v>1.413E-2</v>
      </c>
      <c r="BA38" s="124">
        <v>1.24E-2</v>
      </c>
      <c r="BB38" s="124">
        <v>6.547E-2</v>
      </c>
      <c r="BC38" s="124">
        <v>6.2960000000000002E-2</v>
      </c>
      <c r="BD38" s="124">
        <v>2.9520000000000001E-2</v>
      </c>
      <c r="BE38" s="124">
        <v>6.0920000000000002E-2</v>
      </c>
      <c r="BF38" s="124">
        <v>0.11649</v>
      </c>
      <c r="BG38" s="124">
        <v>8.133E-2</v>
      </c>
      <c r="BH38" s="124">
        <v>0.14474999999999999</v>
      </c>
      <c r="BI38" s="124">
        <v>0.20363000000000001</v>
      </c>
      <c r="BJ38" s="124">
        <v>8.9650000000000007E-2</v>
      </c>
      <c r="BK38" s="124">
        <v>7.5829999999999995E-2</v>
      </c>
      <c r="BL38" s="124">
        <v>7.238E-2</v>
      </c>
      <c r="BM38" s="124">
        <v>5.4009999999999996E-2</v>
      </c>
      <c r="BN38" s="118">
        <v>23.98</v>
      </c>
      <c r="BO38" s="118">
        <v>49.57</v>
      </c>
      <c r="BP38" s="118"/>
      <c r="BQ38" s="118"/>
      <c r="BR38" s="154" t="s">
        <v>85</v>
      </c>
      <c r="BS38" s="154" t="s">
        <v>85</v>
      </c>
      <c r="BT38" s="154" t="s">
        <v>85</v>
      </c>
      <c r="BU38" s="154">
        <v>89.46</v>
      </c>
      <c r="BV38" s="154" t="s">
        <v>85</v>
      </c>
      <c r="BW38" s="154">
        <v>38.96</v>
      </c>
      <c r="BX38" s="154" t="s">
        <v>85</v>
      </c>
      <c r="BY38" s="154" t="s">
        <v>85</v>
      </c>
      <c r="BZ38" s="154">
        <v>80.67</v>
      </c>
      <c r="CA38" s="154">
        <v>123</v>
      </c>
      <c r="CB38" s="154"/>
      <c r="CC38" s="154" t="s">
        <v>85</v>
      </c>
      <c r="CD38" s="154">
        <v>11.97</v>
      </c>
      <c r="CE38" s="154" t="s">
        <v>85</v>
      </c>
      <c r="CF38" s="154" t="s">
        <v>85</v>
      </c>
      <c r="CG38" s="205"/>
    </row>
    <row r="39" spans="1:85">
      <c r="A39" s="122">
        <v>21005</v>
      </c>
      <c r="B39" s="122" t="s">
        <v>221</v>
      </c>
      <c r="C39" s="122" t="s">
        <v>222</v>
      </c>
      <c r="D39" s="122" t="s">
        <v>223</v>
      </c>
      <c r="E39" s="122" t="s">
        <v>76</v>
      </c>
      <c r="F39" s="122" t="s">
        <v>1144</v>
      </c>
      <c r="G39" s="163" t="s">
        <v>1145</v>
      </c>
      <c r="H39" s="122">
        <v>10</v>
      </c>
      <c r="I39" s="122" t="s">
        <v>207</v>
      </c>
      <c r="J39" s="118">
        <v>43</v>
      </c>
      <c r="K39" s="118">
        <v>87.1</v>
      </c>
      <c r="L39" s="118">
        <v>1.92</v>
      </c>
      <c r="M39" s="118">
        <v>0.38</v>
      </c>
      <c r="N39" s="118">
        <v>6.02</v>
      </c>
      <c r="O39" s="118">
        <v>3.71</v>
      </c>
      <c r="P39" s="118">
        <v>0.14000000000000001</v>
      </c>
      <c r="Q39" s="118">
        <v>0.4</v>
      </c>
      <c r="R39" s="118">
        <v>0.9</v>
      </c>
      <c r="S39" s="118"/>
      <c r="T39" s="118">
        <v>0.1</v>
      </c>
      <c r="U39" s="118">
        <v>57</v>
      </c>
      <c r="V39" s="118">
        <v>0</v>
      </c>
      <c r="W39" s="118">
        <v>30.39</v>
      </c>
      <c r="X39" s="118">
        <v>0</v>
      </c>
      <c r="Y39" s="118"/>
      <c r="Z39" s="118"/>
      <c r="AA39" s="118">
        <v>0</v>
      </c>
      <c r="AB39" s="118">
        <v>198.64</v>
      </c>
      <c r="AC39" s="118"/>
      <c r="AD39" s="118">
        <v>2380</v>
      </c>
      <c r="AE39" s="118"/>
      <c r="AF39" s="118"/>
      <c r="AG39" s="118"/>
      <c r="AH39" s="118"/>
      <c r="AI39" s="118">
        <v>107</v>
      </c>
      <c r="AJ39" s="118">
        <v>0.06</v>
      </c>
      <c r="AK39" s="118">
        <v>2.2000000000000002</v>
      </c>
      <c r="AL39" s="118">
        <v>19.420000000000002</v>
      </c>
      <c r="AM39" s="118">
        <v>0.16</v>
      </c>
      <c r="AN39" s="118">
        <v>36.450000000000003</v>
      </c>
      <c r="AO39" s="118">
        <v>207.21</v>
      </c>
      <c r="AP39" s="118">
        <v>0.9</v>
      </c>
      <c r="AQ39" s="118">
        <v>0.51</v>
      </c>
      <c r="AR39" s="118"/>
      <c r="AS39" s="118"/>
      <c r="AT39" s="118"/>
      <c r="AU39" s="118"/>
      <c r="AV39" s="124"/>
      <c r="AW39" s="124"/>
      <c r="AX39" s="124"/>
      <c r="AY39" s="124"/>
      <c r="AZ39" s="124"/>
      <c r="BA39" s="124"/>
      <c r="BB39" s="124"/>
      <c r="BC39" s="124"/>
      <c r="BD39" s="124"/>
      <c r="BE39" s="124"/>
      <c r="BF39" s="124"/>
      <c r="BG39" s="124"/>
      <c r="BH39" s="124"/>
      <c r="BI39" s="124"/>
      <c r="BJ39" s="124"/>
      <c r="BK39" s="124"/>
      <c r="BL39" s="124"/>
      <c r="BM39" s="124"/>
      <c r="BN39" s="118"/>
      <c r="BO39" s="118">
        <v>2</v>
      </c>
      <c r="BP39" s="118"/>
      <c r="BQ39" s="118"/>
      <c r="BR39" s="205"/>
      <c r="BS39" s="205"/>
      <c r="BT39" s="205"/>
      <c r="BU39" s="205"/>
      <c r="BV39" s="205"/>
      <c r="BW39" s="205"/>
      <c r="BX39" s="205"/>
      <c r="BY39" s="205"/>
      <c r="BZ39" s="205"/>
      <c r="CA39" s="205"/>
      <c r="CB39" s="205"/>
      <c r="CC39" s="205"/>
      <c r="CD39" s="205"/>
      <c r="CE39" s="205"/>
      <c r="CF39" s="205"/>
      <c r="CG39" s="205"/>
    </row>
    <row r="40" spans="1:85">
      <c r="A40" s="122">
        <v>21006</v>
      </c>
      <c r="B40" s="122" t="s">
        <v>225</v>
      </c>
      <c r="C40" s="122" t="s">
        <v>226</v>
      </c>
      <c r="D40" s="122" t="s">
        <v>227</v>
      </c>
      <c r="E40" s="122" t="s">
        <v>76</v>
      </c>
      <c r="F40" s="122">
        <v>40009</v>
      </c>
      <c r="G40" s="163" t="s">
        <v>228</v>
      </c>
      <c r="H40" s="122">
        <v>10</v>
      </c>
      <c r="I40" s="122" t="s">
        <v>207</v>
      </c>
      <c r="J40" s="118">
        <v>26</v>
      </c>
      <c r="K40" s="118">
        <v>90.23</v>
      </c>
      <c r="L40" s="118">
        <v>2.5</v>
      </c>
      <c r="M40" s="118">
        <v>0.57999999999999996</v>
      </c>
      <c r="N40" s="118">
        <v>0.56999999999999995</v>
      </c>
      <c r="O40" s="118">
        <v>4.38</v>
      </c>
      <c r="P40" s="118">
        <v>7.0000000000000007E-2</v>
      </c>
      <c r="Q40" s="118">
        <v>0.17</v>
      </c>
      <c r="R40" s="118">
        <v>0.81</v>
      </c>
      <c r="S40" s="118"/>
      <c r="T40" s="118">
        <v>0.19</v>
      </c>
      <c r="U40" s="118">
        <v>73.290000000000006</v>
      </c>
      <c r="V40" s="118"/>
      <c r="W40" s="118">
        <v>47.68</v>
      </c>
      <c r="X40" s="118">
        <v>0</v>
      </c>
      <c r="Y40" s="118"/>
      <c r="Z40" s="118"/>
      <c r="AA40" s="118">
        <v>0</v>
      </c>
      <c r="AB40" s="118">
        <v>197.55</v>
      </c>
      <c r="AC40" s="118"/>
      <c r="AD40" s="118">
        <v>2370.64</v>
      </c>
      <c r="AE40" s="118"/>
      <c r="AF40" s="118"/>
      <c r="AG40" s="118"/>
      <c r="AH40" s="118"/>
      <c r="AI40" s="118">
        <v>93.92</v>
      </c>
      <c r="AJ40" s="118">
        <v>0.15</v>
      </c>
      <c r="AK40" s="118">
        <v>3.12</v>
      </c>
      <c r="AL40" s="118">
        <v>68.7</v>
      </c>
      <c r="AM40" s="118"/>
      <c r="AN40" s="118">
        <v>28.45</v>
      </c>
      <c r="AO40" s="118">
        <v>276.11</v>
      </c>
      <c r="AP40" s="118"/>
      <c r="AQ40" s="118">
        <v>0.49</v>
      </c>
      <c r="AR40" s="118"/>
      <c r="AS40" s="118"/>
      <c r="AT40" s="118"/>
      <c r="AU40" s="118"/>
      <c r="AV40" s="124"/>
      <c r="AW40" s="124"/>
      <c r="AX40" s="124"/>
      <c r="AY40" s="124"/>
      <c r="AZ40" s="124"/>
      <c r="BA40" s="124"/>
      <c r="BB40" s="124"/>
      <c r="BC40" s="124"/>
      <c r="BD40" s="124"/>
      <c r="BE40" s="124"/>
      <c r="BF40" s="124"/>
      <c r="BG40" s="124"/>
      <c r="BH40" s="124"/>
      <c r="BI40" s="124"/>
      <c r="BJ40" s="124"/>
      <c r="BK40" s="124"/>
      <c r="BL40" s="124"/>
      <c r="BM40" s="124"/>
      <c r="BN40" s="118"/>
      <c r="BO40" s="118">
        <v>3</v>
      </c>
      <c r="BP40" s="118"/>
      <c r="BQ40" s="118"/>
      <c r="BR40" s="205"/>
      <c r="BS40" s="205"/>
      <c r="BT40" s="205"/>
      <c r="BU40" s="205"/>
      <c r="BV40" s="205"/>
      <c r="BW40" s="205"/>
      <c r="BX40" s="205"/>
      <c r="BY40" s="205"/>
      <c r="BZ40" s="205"/>
      <c r="CA40" s="205"/>
      <c r="CB40" s="205"/>
      <c r="CC40" s="205"/>
      <c r="CD40" s="205"/>
      <c r="CE40" s="205"/>
      <c r="CF40" s="205"/>
      <c r="CG40" s="205"/>
    </row>
    <row r="41" spans="1:85">
      <c r="A41" s="122">
        <v>21007</v>
      </c>
      <c r="B41" s="122" t="s">
        <v>229</v>
      </c>
      <c r="C41" s="122" t="s">
        <v>230</v>
      </c>
      <c r="D41" s="122" t="s">
        <v>231</v>
      </c>
      <c r="E41" s="122" t="s">
        <v>76</v>
      </c>
      <c r="F41" s="122" t="s">
        <v>1146</v>
      </c>
      <c r="G41" s="163" t="s">
        <v>1147</v>
      </c>
      <c r="H41" s="122">
        <v>10</v>
      </c>
      <c r="I41" s="122" t="s">
        <v>207</v>
      </c>
      <c r="J41" s="118">
        <v>29</v>
      </c>
      <c r="K41" s="118">
        <v>90.83</v>
      </c>
      <c r="L41" s="118">
        <v>2.44</v>
      </c>
      <c r="M41" s="118">
        <v>0.44</v>
      </c>
      <c r="N41" s="118">
        <v>2.79</v>
      </c>
      <c r="O41" s="118">
        <v>2.1</v>
      </c>
      <c r="P41" s="118">
        <v>0.12</v>
      </c>
      <c r="Q41" s="118">
        <v>0.24</v>
      </c>
      <c r="R41" s="118">
        <v>0.92</v>
      </c>
      <c r="S41" s="118">
        <v>0.36</v>
      </c>
      <c r="T41" s="118">
        <v>0.21</v>
      </c>
      <c r="U41" s="118">
        <v>36</v>
      </c>
      <c r="V41" s="118">
        <v>0</v>
      </c>
      <c r="W41" s="118">
        <v>37.200000000000003</v>
      </c>
      <c r="X41" s="118">
        <v>2.06</v>
      </c>
      <c r="Y41" s="118"/>
      <c r="Z41" s="118">
        <v>243</v>
      </c>
      <c r="AA41" s="118">
        <v>0</v>
      </c>
      <c r="AB41" s="118">
        <v>161.66999999999999</v>
      </c>
      <c r="AC41" s="118"/>
      <c r="AD41" s="118">
        <v>1940</v>
      </c>
      <c r="AE41" s="118">
        <v>6139</v>
      </c>
      <c r="AF41" s="118"/>
      <c r="AG41" s="118"/>
      <c r="AH41" s="118">
        <v>45.28</v>
      </c>
      <c r="AI41" s="118">
        <v>40</v>
      </c>
      <c r="AJ41" s="118">
        <v>0.13</v>
      </c>
      <c r="AK41" s="118">
        <v>2.2200000000000002</v>
      </c>
      <c r="AL41" s="118">
        <v>38</v>
      </c>
      <c r="AM41" s="118">
        <v>1.1399999999999999</v>
      </c>
      <c r="AN41" s="118">
        <v>104</v>
      </c>
      <c r="AO41" s="118">
        <v>436</v>
      </c>
      <c r="AP41" s="118">
        <v>1.38</v>
      </c>
      <c r="AQ41" s="118">
        <v>0.2</v>
      </c>
      <c r="AR41" s="118">
        <v>0.27</v>
      </c>
      <c r="AS41" s="118">
        <v>0.02</v>
      </c>
      <c r="AT41" s="118">
        <v>0.31</v>
      </c>
      <c r="AU41" s="118"/>
      <c r="AV41" s="124">
        <v>6.862E-2</v>
      </c>
      <c r="AW41" s="124">
        <v>0.22187000000000001</v>
      </c>
      <c r="AX41" s="124">
        <v>0.37258999999999998</v>
      </c>
      <c r="AY41" s="124">
        <v>0.20629</v>
      </c>
      <c r="AZ41" s="124">
        <v>4.1680000000000002E-2</v>
      </c>
      <c r="BA41" s="124">
        <v>3.5790000000000002E-2</v>
      </c>
      <c r="BB41" s="124">
        <v>0.26944000000000001</v>
      </c>
      <c r="BC41" s="124">
        <v>0.19028999999999999</v>
      </c>
      <c r="BD41" s="124">
        <v>7.4099999999999999E-2</v>
      </c>
      <c r="BE41" s="124">
        <v>0.24502000000000002</v>
      </c>
      <c r="BF41" s="124">
        <v>0.2366</v>
      </c>
      <c r="BG41" s="124">
        <v>0.25344</v>
      </c>
      <c r="BH41" s="124">
        <v>0.49636000000000002</v>
      </c>
      <c r="BI41" s="124">
        <v>0.60455999999999999</v>
      </c>
      <c r="BJ41" s="124">
        <v>0.23155000000000001</v>
      </c>
      <c r="BK41" s="124">
        <v>0.22103</v>
      </c>
      <c r="BL41" s="124">
        <v>0.19577</v>
      </c>
      <c r="BM41" s="124">
        <v>0.14566999999999999</v>
      </c>
      <c r="BN41" s="118">
        <v>20.329999999999998</v>
      </c>
      <c r="BO41" s="118">
        <v>38.270000000000003</v>
      </c>
      <c r="BP41" s="118"/>
      <c r="BQ41" s="118"/>
      <c r="BR41" s="154" t="s">
        <v>85</v>
      </c>
      <c r="BS41" s="154" t="s">
        <v>85</v>
      </c>
      <c r="BT41" s="154">
        <v>19.86</v>
      </c>
      <c r="BU41" s="154">
        <v>188</v>
      </c>
      <c r="BV41" s="154" t="s">
        <v>85</v>
      </c>
      <c r="BW41" s="154">
        <v>6.91</v>
      </c>
      <c r="BX41" s="154">
        <v>0.97</v>
      </c>
      <c r="BY41" s="154" t="s">
        <v>85</v>
      </c>
      <c r="BZ41" s="154">
        <v>14.95</v>
      </c>
      <c r="CA41" s="154">
        <v>298</v>
      </c>
      <c r="CB41" s="154"/>
      <c r="CC41" s="154" t="s">
        <v>85</v>
      </c>
      <c r="CD41" s="154">
        <v>32.53</v>
      </c>
      <c r="CE41" s="154" t="s">
        <v>85</v>
      </c>
      <c r="CF41" s="154" t="s">
        <v>85</v>
      </c>
      <c r="CG41" s="205"/>
    </row>
    <row r="42" spans="1:85">
      <c r="A42" s="122">
        <v>21008</v>
      </c>
      <c r="B42" s="122" t="s">
        <v>233</v>
      </c>
      <c r="C42" s="122" t="s">
        <v>234</v>
      </c>
      <c r="D42" s="122" t="s">
        <v>235</v>
      </c>
      <c r="E42" s="122" t="s">
        <v>76</v>
      </c>
      <c r="F42" s="122" t="s">
        <v>1148</v>
      </c>
      <c r="G42" s="163" t="s">
        <v>1149</v>
      </c>
      <c r="H42" s="122">
        <v>10</v>
      </c>
      <c r="I42" s="122" t="s">
        <v>207</v>
      </c>
      <c r="J42" s="118">
        <v>51</v>
      </c>
      <c r="K42" s="118">
        <v>81.819999999999993</v>
      </c>
      <c r="L42" s="118">
        <v>4.8</v>
      </c>
      <c r="M42" s="118">
        <v>0.25</v>
      </c>
      <c r="N42" s="118">
        <v>5.21</v>
      </c>
      <c r="O42" s="118">
        <v>4.3499999999999996</v>
      </c>
      <c r="P42" s="118">
        <v>0.03</v>
      </c>
      <c r="Q42" s="118">
        <v>0.06</v>
      </c>
      <c r="R42" s="118">
        <v>0.7</v>
      </c>
      <c r="S42" s="118">
        <v>0.33</v>
      </c>
      <c r="T42" s="118">
        <v>0.19</v>
      </c>
      <c r="U42" s="118">
        <v>85</v>
      </c>
      <c r="V42" s="118"/>
      <c r="W42" s="118">
        <v>43.37</v>
      </c>
      <c r="X42" s="118">
        <v>0</v>
      </c>
      <c r="Y42" s="118"/>
      <c r="Z42" s="118">
        <v>448</v>
      </c>
      <c r="AA42" s="118">
        <v>0</v>
      </c>
      <c r="AB42" s="118">
        <v>908</v>
      </c>
      <c r="AC42" s="118"/>
      <c r="AD42" s="118">
        <v>10900</v>
      </c>
      <c r="AE42" s="118">
        <v>1861</v>
      </c>
      <c r="AF42" s="118"/>
      <c r="AG42" s="118"/>
      <c r="AH42" s="118">
        <v>126</v>
      </c>
      <c r="AI42" s="118">
        <v>639.5</v>
      </c>
      <c r="AJ42" s="118">
        <v>0.36</v>
      </c>
      <c r="AK42" s="118">
        <v>14.4</v>
      </c>
      <c r="AL42" s="118">
        <v>265</v>
      </c>
      <c r="AM42" s="118">
        <v>1.84</v>
      </c>
      <c r="AN42" s="118">
        <v>71.8</v>
      </c>
      <c r="AO42" s="118">
        <v>679</v>
      </c>
      <c r="AP42" s="118">
        <v>19.41</v>
      </c>
      <c r="AQ42" s="118">
        <v>0.32</v>
      </c>
      <c r="AR42" s="118">
        <v>0.09</v>
      </c>
      <c r="AS42" s="118">
        <v>0.02</v>
      </c>
      <c r="AT42" s="118">
        <v>0.19</v>
      </c>
      <c r="AU42" s="118"/>
      <c r="AV42" s="124">
        <v>6.9030000000000008E-2</v>
      </c>
      <c r="AW42" s="124">
        <v>0.14337</v>
      </c>
      <c r="AX42" s="124">
        <v>0.27116000000000001</v>
      </c>
      <c r="AY42" s="124">
        <v>0.17665</v>
      </c>
      <c r="AZ42" s="124">
        <v>4.4249999999999998E-2</v>
      </c>
      <c r="BA42" s="124">
        <v>2.513E-2</v>
      </c>
      <c r="BB42" s="124">
        <v>0.17699999999999999</v>
      </c>
      <c r="BC42" s="124">
        <v>0.15575999999999998</v>
      </c>
      <c r="BD42" s="124">
        <v>3.1510000000000003E-2</v>
      </c>
      <c r="BE42" s="124">
        <v>0.14796999999999999</v>
      </c>
      <c r="BF42" s="124">
        <v>0.29807</v>
      </c>
      <c r="BG42" s="124">
        <v>0.20461000000000001</v>
      </c>
      <c r="BH42" s="124">
        <v>0.38480000000000003</v>
      </c>
      <c r="BI42" s="124">
        <v>0.41666000000000003</v>
      </c>
      <c r="BJ42" s="124">
        <v>0.21593999999999999</v>
      </c>
      <c r="BK42" s="124">
        <v>0.19081000000000001</v>
      </c>
      <c r="BL42" s="124">
        <v>0.18727000000000002</v>
      </c>
      <c r="BM42" s="124">
        <v>0.12142</v>
      </c>
      <c r="BN42" s="118">
        <v>26.19</v>
      </c>
      <c r="BO42" s="118">
        <v>7.4</v>
      </c>
      <c r="BP42" s="118"/>
      <c r="BQ42" s="118"/>
      <c r="BR42" s="154" t="s">
        <v>85</v>
      </c>
      <c r="BS42" s="154" t="s">
        <v>85</v>
      </c>
      <c r="BT42" s="154">
        <v>9.5399999999999991</v>
      </c>
      <c r="BU42" s="154">
        <v>64.58</v>
      </c>
      <c r="BV42" s="154" t="s">
        <v>85</v>
      </c>
      <c r="BW42" s="154">
        <v>7.36</v>
      </c>
      <c r="BX42" s="154" t="s">
        <v>85</v>
      </c>
      <c r="BY42" s="154" t="s">
        <v>85</v>
      </c>
      <c r="BZ42" s="154" t="s">
        <v>85</v>
      </c>
      <c r="CA42" s="154" t="s">
        <v>85</v>
      </c>
      <c r="CB42" s="154"/>
      <c r="CC42" s="154" t="s">
        <v>85</v>
      </c>
      <c r="CD42" s="154">
        <v>6.35</v>
      </c>
      <c r="CE42" s="154" t="s">
        <v>85</v>
      </c>
      <c r="CF42" s="154" t="s">
        <v>85</v>
      </c>
      <c r="CG42" s="205"/>
    </row>
    <row r="43" spans="1:85">
      <c r="A43" s="122">
        <v>21009</v>
      </c>
      <c r="B43" s="122" t="s">
        <v>237</v>
      </c>
      <c r="C43" s="122" t="s">
        <v>238</v>
      </c>
      <c r="D43" s="122" t="s">
        <v>239</v>
      </c>
      <c r="E43" s="122" t="s">
        <v>76</v>
      </c>
      <c r="F43" s="122" t="s">
        <v>1150</v>
      </c>
      <c r="G43" s="163" t="s">
        <v>1151</v>
      </c>
      <c r="H43" s="122">
        <v>10</v>
      </c>
      <c r="I43" s="122" t="s">
        <v>207</v>
      </c>
      <c r="J43" s="118">
        <v>32</v>
      </c>
      <c r="K43" s="118">
        <v>87.56</v>
      </c>
      <c r="L43" s="118">
        <v>2.88</v>
      </c>
      <c r="M43" s="118">
        <v>0.27</v>
      </c>
      <c r="N43" s="118">
        <v>1.74</v>
      </c>
      <c r="O43" s="118">
        <v>5.75</v>
      </c>
      <c r="P43" s="118">
        <v>0.1</v>
      </c>
      <c r="Q43" s="118">
        <v>0.55000000000000004</v>
      </c>
      <c r="R43" s="118">
        <v>1.26</v>
      </c>
      <c r="S43" s="118"/>
      <c r="T43" s="118">
        <v>0.6</v>
      </c>
      <c r="U43" s="118">
        <v>123</v>
      </c>
      <c r="V43" s="118"/>
      <c r="W43" s="118">
        <v>54.43</v>
      </c>
      <c r="X43" s="118">
        <v>0</v>
      </c>
      <c r="Y43" s="118"/>
      <c r="Z43" s="118"/>
      <c r="AA43" s="118">
        <v>0</v>
      </c>
      <c r="AB43" s="118">
        <v>305.25</v>
      </c>
      <c r="AC43" s="118"/>
      <c r="AD43" s="118">
        <v>3660</v>
      </c>
      <c r="AE43" s="118"/>
      <c r="AF43" s="118"/>
      <c r="AG43" s="118"/>
      <c r="AH43" s="118"/>
      <c r="AI43" s="118">
        <v>119.66</v>
      </c>
      <c r="AJ43" s="118">
        <v>0.02</v>
      </c>
      <c r="AK43" s="118">
        <v>9.6999999999999993</v>
      </c>
      <c r="AL43" s="118">
        <v>41.83</v>
      </c>
      <c r="AM43" s="118">
        <v>0.123</v>
      </c>
      <c r="AN43" s="118">
        <v>59.97</v>
      </c>
      <c r="AO43" s="118">
        <v>224.89</v>
      </c>
      <c r="AP43" s="118">
        <v>0.9</v>
      </c>
      <c r="AQ43" s="118">
        <v>1.47</v>
      </c>
      <c r="AR43" s="118"/>
      <c r="AS43" s="118"/>
      <c r="AT43" s="118"/>
      <c r="AU43" s="118"/>
      <c r="AV43" s="124"/>
      <c r="AW43" s="124"/>
      <c r="AX43" s="124"/>
      <c r="AY43" s="124"/>
      <c r="AZ43" s="124"/>
      <c r="BA43" s="124"/>
      <c r="BB43" s="124"/>
      <c r="BC43" s="124"/>
      <c r="BD43" s="124"/>
      <c r="BE43" s="124"/>
      <c r="BF43" s="124"/>
      <c r="BG43" s="124"/>
      <c r="BH43" s="124"/>
      <c r="BI43" s="124"/>
      <c r="BJ43" s="124"/>
      <c r="BK43" s="124"/>
      <c r="BL43" s="124"/>
      <c r="BM43" s="124"/>
      <c r="BN43" s="118"/>
      <c r="BO43" s="118">
        <v>14</v>
      </c>
      <c r="BP43" s="118"/>
      <c r="BQ43" s="118"/>
      <c r="BR43" s="205"/>
      <c r="BS43" s="205"/>
      <c r="BT43" s="205"/>
      <c r="BU43" s="205"/>
      <c r="BV43" s="205"/>
      <c r="BW43" s="205"/>
      <c r="BX43" s="205"/>
      <c r="BY43" s="205"/>
      <c r="BZ43" s="205"/>
      <c r="CA43" s="205"/>
      <c r="CB43" s="205"/>
      <c r="CC43" s="205"/>
      <c r="CD43" s="205"/>
      <c r="CE43" s="205"/>
      <c r="CF43" s="205"/>
      <c r="CG43" s="205"/>
    </row>
    <row r="44" spans="1:85">
      <c r="A44" s="122">
        <v>21010</v>
      </c>
      <c r="B44" s="122" t="s">
        <v>241</v>
      </c>
      <c r="C44" s="122" t="s">
        <v>242</v>
      </c>
      <c r="D44" s="122" t="s">
        <v>243</v>
      </c>
      <c r="E44" s="122" t="s">
        <v>76</v>
      </c>
      <c r="F44" s="122">
        <v>40018</v>
      </c>
      <c r="G44" s="163" t="s">
        <v>244</v>
      </c>
      <c r="H44" s="122">
        <v>10</v>
      </c>
      <c r="I44" s="122" t="s">
        <v>207</v>
      </c>
      <c r="J44" s="118">
        <v>68</v>
      </c>
      <c r="K44" s="118">
        <v>82.27</v>
      </c>
      <c r="L44" s="118">
        <v>1.31</v>
      </c>
      <c r="M44" s="118">
        <v>0.65</v>
      </c>
      <c r="N44" s="118">
        <v>13.73</v>
      </c>
      <c r="O44" s="118">
        <v>1</v>
      </c>
      <c r="P44" s="118">
        <v>0.34</v>
      </c>
      <c r="Q44" s="118">
        <v>0.17</v>
      </c>
      <c r="R44" s="118">
        <v>0.6</v>
      </c>
      <c r="S44" s="118"/>
      <c r="T44" s="118"/>
      <c r="U44" s="118"/>
      <c r="V44" s="118"/>
      <c r="W44" s="118">
        <v>26</v>
      </c>
      <c r="X44" s="118">
        <v>0</v>
      </c>
      <c r="Y44" s="118"/>
      <c r="Z44" s="118"/>
      <c r="AA44" s="118">
        <v>0</v>
      </c>
      <c r="AB44" s="118">
        <v>155</v>
      </c>
      <c r="AC44" s="118"/>
      <c r="AD44" s="118">
        <v>1859</v>
      </c>
      <c r="AE44" s="118"/>
      <c r="AF44" s="118"/>
      <c r="AG44" s="118"/>
      <c r="AH44" s="118"/>
      <c r="AI44" s="118">
        <v>39</v>
      </c>
      <c r="AJ44" s="118">
        <v>0.23</v>
      </c>
      <c r="AK44" s="118">
        <v>1.1000000000000001</v>
      </c>
      <c r="AL44" s="118"/>
      <c r="AM44" s="118"/>
      <c r="AN44" s="118">
        <v>74</v>
      </c>
      <c r="AO44" s="118">
        <v>231</v>
      </c>
      <c r="AP44" s="118"/>
      <c r="AQ44" s="118">
        <v>0.3</v>
      </c>
      <c r="AR44" s="118"/>
      <c r="AS44" s="118"/>
      <c r="AT44" s="118"/>
      <c r="AU44" s="118"/>
      <c r="AV44" s="124"/>
      <c r="AW44" s="124"/>
      <c r="AX44" s="124"/>
      <c r="AY44" s="124"/>
      <c r="AZ44" s="124"/>
      <c r="BA44" s="124"/>
      <c r="BB44" s="124"/>
      <c r="BC44" s="124"/>
      <c r="BD44" s="124"/>
      <c r="BE44" s="124"/>
      <c r="BF44" s="124"/>
      <c r="BG44" s="124"/>
      <c r="BH44" s="124"/>
      <c r="BI44" s="124"/>
      <c r="BJ44" s="124"/>
      <c r="BK44" s="124"/>
      <c r="BL44" s="124"/>
      <c r="BM44" s="124"/>
      <c r="BN44" s="118"/>
      <c r="BO44" s="118"/>
      <c r="BP44" s="118"/>
      <c r="BQ44" s="118"/>
      <c r="BR44" s="205"/>
      <c r="BS44" s="205"/>
      <c r="BT44" s="205"/>
      <c r="BU44" s="205"/>
      <c r="BV44" s="205"/>
      <c r="BW44" s="205"/>
      <c r="BX44" s="205"/>
      <c r="BY44" s="205"/>
      <c r="BZ44" s="205"/>
      <c r="CA44" s="205"/>
      <c r="CB44" s="205"/>
      <c r="CC44" s="205"/>
      <c r="CD44" s="205"/>
      <c r="CE44" s="205"/>
      <c r="CF44" s="205"/>
      <c r="CG44" s="205"/>
    </row>
    <row r="45" spans="1:85">
      <c r="A45" s="122">
        <v>21011</v>
      </c>
      <c r="B45" s="122" t="s">
        <v>245</v>
      </c>
      <c r="C45" s="122" t="s">
        <v>246</v>
      </c>
      <c r="D45" s="122" t="s">
        <v>247</v>
      </c>
      <c r="E45" s="122" t="s">
        <v>1152</v>
      </c>
      <c r="F45" s="122" t="s">
        <v>1153</v>
      </c>
      <c r="G45" s="163" t="s">
        <v>1154</v>
      </c>
      <c r="H45" s="122">
        <v>10</v>
      </c>
      <c r="I45" s="122" t="s">
        <v>207</v>
      </c>
      <c r="J45" s="118"/>
      <c r="K45" s="118"/>
      <c r="L45" s="118"/>
      <c r="M45" s="118"/>
      <c r="N45" s="118"/>
      <c r="O45" s="118"/>
      <c r="P45" s="118"/>
      <c r="Q45" s="118"/>
      <c r="R45" s="118"/>
      <c r="S45" s="118"/>
      <c r="T45" s="118"/>
      <c r="U45" s="118"/>
      <c r="V45" s="118"/>
      <c r="W45" s="118">
        <v>83.5</v>
      </c>
      <c r="X45" s="118"/>
      <c r="Y45" s="118"/>
      <c r="Z45" s="118"/>
      <c r="AA45" s="118"/>
      <c r="AB45" s="118"/>
      <c r="AC45" s="118"/>
      <c r="AD45" s="118"/>
      <c r="AE45" s="118"/>
      <c r="AF45" s="118"/>
      <c r="AG45" s="118"/>
      <c r="AH45" s="118"/>
      <c r="AI45" s="118">
        <v>1519.9</v>
      </c>
      <c r="AJ45" s="118">
        <v>8.6</v>
      </c>
      <c r="AK45" s="118">
        <v>19.2</v>
      </c>
      <c r="AL45" s="118">
        <v>408.5</v>
      </c>
      <c r="AM45" s="118">
        <v>3</v>
      </c>
      <c r="AN45" s="118">
        <v>610.79999999999995</v>
      </c>
      <c r="AO45" s="118">
        <v>2828.6</v>
      </c>
      <c r="AP45" s="118"/>
      <c r="AQ45" s="118">
        <v>8.1</v>
      </c>
      <c r="AR45" s="118"/>
      <c r="AS45" s="118"/>
      <c r="AT45" s="118"/>
      <c r="AU45" s="118"/>
      <c r="AV45" s="118" t="s">
        <v>1098</v>
      </c>
      <c r="AW45" s="118" t="s">
        <v>1098</v>
      </c>
      <c r="AX45" s="118" t="s">
        <v>1098</v>
      </c>
      <c r="AY45" s="118" t="s">
        <v>1098</v>
      </c>
      <c r="AZ45" s="118" t="s">
        <v>1098</v>
      </c>
      <c r="BA45" s="118" t="s">
        <v>1098</v>
      </c>
      <c r="BB45" s="118" t="s">
        <v>1098</v>
      </c>
      <c r="BC45" s="118" t="s">
        <v>1098</v>
      </c>
      <c r="BD45" s="118" t="s">
        <v>1098</v>
      </c>
      <c r="BE45" s="118" t="s">
        <v>1098</v>
      </c>
      <c r="BF45" s="118" t="s">
        <v>1098</v>
      </c>
      <c r="BG45" s="118" t="s">
        <v>1098</v>
      </c>
      <c r="BH45" s="118" t="s">
        <v>1098</v>
      </c>
      <c r="BI45" s="118" t="s">
        <v>1098</v>
      </c>
      <c r="BJ45" s="118" t="s">
        <v>1098</v>
      </c>
      <c r="BK45" s="118" t="s">
        <v>1098</v>
      </c>
      <c r="BL45" s="118" t="s">
        <v>1098</v>
      </c>
      <c r="BM45" s="118" t="s">
        <v>1098</v>
      </c>
      <c r="BN45" s="118"/>
      <c r="BO45" s="118"/>
      <c r="BP45" s="118"/>
      <c r="BQ45" s="118"/>
      <c r="BR45" s="205"/>
      <c r="BS45" s="205"/>
      <c r="BT45" s="205"/>
      <c r="BU45" s="205"/>
      <c r="BV45" s="205"/>
      <c r="BW45" s="205"/>
      <c r="BX45" s="205"/>
      <c r="BY45" s="205"/>
      <c r="BZ45" s="205"/>
      <c r="CA45" s="205"/>
      <c r="CB45" s="205"/>
      <c r="CC45" s="205"/>
      <c r="CD45" s="205"/>
      <c r="CE45" s="205"/>
      <c r="CF45" s="205"/>
      <c r="CG45" s="205"/>
    </row>
    <row r="46" spans="1:85">
      <c r="A46" s="122">
        <v>21012</v>
      </c>
      <c r="B46" s="122" t="s">
        <v>248</v>
      </c>
      <c r="C46" s="122" t="s">
        <v>249</v>
      </c>
      <c r="D46" s="122" t="s">
        <v>250</v>
      </c>
      <c r="E46" s="122" t="s">
        <v>76</v>
      </c>
      <c r="F46" s="122" t="s">
        <v>1155</v>
      </c>
      <c r="G46" s="163" t="s">
        <v>1156</v>
      </c>
      <c r="H46" s="122">
        <v>10</v>
      </c>
      <c r="I46" s="122" t="s">
        <v>207</v>
      </c>
      <c r="J46" s="118">
        <v>27.72</v>
      </c>
      <c r="K46" s="118">
        <v>88.77</v>
      </c>
      <c r="L46" s="118">
        <v>2.5</v>
      </c>
      <c r="M46" s="118">
        <v>0.44</v>
      </c>
      <c r="N46" s="118">
        <v>2.56</v>
      </c>
      <c r="O46" s="118">
        <v>4.01</v>
      </c>
      <c r="P46" s="118">
        <v>0.06</v>
      </c>
      <c r="Q46" s="118">
        <v>0.51</v>
      </c>
      <c r="R46" s="118">
        <v>0.54</v>
      </c>
      <c r="S46" s="118">
        <v>0.41</v>
      </c>
      <c r="T46" s="118">
        <v>0.17</v>
      </c>
      <c r="U46" s="118">
        <v>42.55</v>
      </c>
      <c r="V46" s="118"/>
      <c r="W46" s="118">
        <v>41.03</v>
      </c>
      <c r="X46" s="118">
        <v>1.01</v>
      </c>
      <c r="Y46" s="118">
        <v>0.25</v>
      </c>
      <c r="Z46" s="118">
        <v>224</v>
      </c>
      <c r="AA46" s="118"/>
      <c r="AB46" s="118"/>
      <c r="AC46" s="118"/>
      <c r="AD46" s="118">
        <v>1075</v>
      </c>
      <c r="AE46" s="118"/>
      <c r="AF46" s="118"/>
      <c r="AG46" s="118"/>
      <c r="AH46" s="118"/>
      <c r="AI46" s="118">
        <v>211</v>
      </c>
      <c r="AJ46" s="118">
        <v>0.1</v>
      </c>
      <c r="AK46" s="118">
        <v>2.66</v>
      </c>
      <c r="AL46" s="118">
        <v>48.41</v>
      </c>
      <c r="AM46" s="118">
        <v>1.58</v>
      </c>
      <c r="AN46" s="118">
        <v>37.549999999999997</v>
      </c>
      <c r="AO46" s="118">
        <v>438</v>
      </c>
      <c r="AP46" s="118">
        <v>1.4</v>
      </c>
      <c r="AQ46" s="118">
        <v>0.98</v>
      </c>
      <c r="AR46" s="118">
        <v>0.12</v>
      </c>
      <c r="AS46" s="118">
        <v>0.09</v>
      </c>
      <c r="AT46" s="118">
        <v>0.22</v>
      </c>
      <c r="AU46" s="118"/>
      <c r="AV46" s="124">
        <v>4.3999999999999997E-2</v>
      </c>
      <c r="AW46" s="124">
        <v>0.12075</v>
      </c>
      <c r="AX46" s="124">
        <v>0.22475000000000001</v>
      </c>
      <c r="AY46" s="124">
        <v>9.425E-2</v>
      </c>
      <c r="AZ46" s="124">
        <v>4.4249999999999998E-2</v>
      </c>
      <c r="BA46" s="124">
        <v>2.2249999999999999E-2</v>
      </c>
      <c r="BB46" s="124">
        <v>0.14324999999999999</v>
      </c>
      <c r="BC46" s="124">
        <v>0.12375</v>
      </c>
      <c r="BD46" s="124">
        <v>2.7E-2</v>
      </c>
      <c r="BE46" s="124">
        <v>0.15175</v>
      </c>
      <c r="BF46" s="124">
        <v>0.16300000000000001</v>
      </c>
      <c r="BG46" s="124">
        <v>0.126</v>
      </c>
      <c r="BH46" s="124">
        <v>0.251</v>
      </c>
      <c r="BI46" s="124">
        <v>0.34200000000000003</v>
      </c>
      <c r="BJ46" s="124">
        <v>0.17949999999999999</v>
      </c>
      <c r="BK46" s="124">
        <v>0.11799999999999999</v>
      </c>
      <c r="BL46" s="124">
        <v>0.104</v>
      </c>
      <c r="BM46" s="124">
        <v>9.9500000000000005E-2</v>
      </c>
      <c r="BN46" s="118">
        <v>42.24</v>
      </c>
      <c r="BO46" s="118">
        <v>18.48</v>
      </c>
      <c r="BP46" s="118"/>
      <c r="BQ46" s="118"/>
      <c r="BR46" s="154" t="s">
        <v>85</v>
      </c>
      <c r="BS46" s="154" t="s">
        <v>85</v>
      </c>
      <c r="BT46" s="154">
        <v>1.87</v>
      </c>
      <c r="BU46" s="154">
        <v>96.94</v>
      </c>
      <c r="BV46" s="154" t="s">
        <v>85</v>
      </c>
      <c r="BW46" s="154"/>
      <c r="BX46" s="154" t="s">
        <v>85</v>
      </c>
      <c r="BY46" s="154" t="s">
        <v>85</v>
      </c>
      <c r="BZ46" s="154">
        <v>50.68</v>
      </c>
      <c r="CA46" s="154">
        <v>169</v>
      </c>
      <c r="CB46" s="154"/>
      <c r="CC46" s="154" t="s">
        <v>85</v>
      </c>
      <c r="CD46" s="154">
        <v>7.52</v>
      </c>
      <c r="CE46" s="154" t="s">
        <v>85</v>
      </c>
      <c r="CF46" s="154" t="s">
        <v>85</v>
      </c>
      <c r="CG46" s="205"/>
    </row>
    <row r="47" spans="1:85">
      <c r="A47" s="122">
        <v>21013</v>
      </c>
      <c r="B47" s="122" t="s">
        <v>252</v>
      </c>
      <c r="C47" s="122" t="s">
        <v>253</v>
      </c>
      <c r="D47" s="122" t="s">
        <v>254</v>
      </c>
      <c r="E47" s="122" t="s">
        <v>76</v>
      </c>
      <c r="F47" s="122" t="s">
        <v>1157</v>
      </c>
      <c r="G47" s="163" t="s">
        <v>1158</v>
      </c>
      <c r="H47" s="122">
        <v>10</v>
      </c>
      <c r="I47" s="122" t="s">
        <v>207</v>
      </c>
      <c r="J47" s="118">
        <v>30.35</v>
      </c>
      <c r="K47" s="118">
        <v>88.17</v>
      </c>
      <c r="L47" s="118">
        <v>3.52</v>
      </c>
      <c r="M47" s="118">
        <v>0.51</v>
      </c>
      <c r="N47" s="118">
        <v>2.41</v>
      </c>
      <c r="O47" s="118">
        <v>3.92</v>
      </c>
      <c r="P47" s="118">
        <v>0.08</v>
      </c>
      <c r="Q47" s="118">
        <v>0.18</v>
      </c>
      <c r="R47" s="118">
        <v>0.57999999999999996</v>
      </c>
      <c r="S47" s="118">
        <v>0.26</v>
      </c>
      <c r="T47" s="118">
        <v>0.18</v>
      </c>
      <c r="U47" s="118">
        <v>110</v>
      </c>
      <c r="V47" s="118">
        <v>0</v>
      </c>
      <c r="W47" s="118">
        <v>60.32</v>
      </c>
      <c r="X47" s="118">
        <v>5.4</v>
      </c>
      <c r="Y47" s="118">
        <v>0.56999999999999995</v>
      </c>
      <c r="Z47" s="118">
        <v>192</v>
      </c>
      <c r="AA47" s="118">
        <v>0</v>
      </c>
      <c r="AB47" s="118">
        <v>124</v>
      </c>
      <c r="AC47" s="118"/>
      <c r="AD47" s="118">
        <v>2619</v>
      </c>
      <c r="AE47" s="118"/>
      <c r="AF47" s="118"/>
      <c r="AG47" s="118"/>
      <c r="AH47" s="118"/>
      <c r="AI47" s="118">
        <v>191</v>
      </c>
      <c r="AJ47" s="118">
        <v>0.24</v>
      </c>
      <c r="AK47" s="118">
        <v>2.84</v>
      </c>
      <c r="AL47" s="118">
        <v>51.63</v>
      </c>
      <c r="AM47" s="118">
        <v>0.41</v>
      </c>
      <c r="AN47" s="118">
        <v>71.599999999999994</v>
      </c>
      <c r="AO47" s="118">
        <v>403</v>
      </c>
      <c r="AP47" s="118">
        <v>8.0299999999999994</v>
      </c>
      <c r="AQ47" s="118">
        <v>0.68</v>
      </c>
      <c r="AR47" s="118">
        <v>0.14000000000000001</v>
      </c>
      <c r="AS47" s="118">
        <v>0.03</v>
      </c>
      <c r="AT47" s="118">
        <v>0.32</v>
      </c>
      <c r="AU47" s="118"/>
      <c r="AV47" s="124">
        <v>6.7229999999999998E-2</v>
      </c>
      <c r="AW47" s="124">
        <v>0.11334000000000001</v>
      </c>
      <c r="AX47" s="124">
        <v>0.23125999999999999</v>
      </c>
      <c r="AY47" s="124">
        <v>0.19078000000000001</v>
      </c>
      <c r="AZ47" s="124">
        <v>2.605E-2</v>
      </c>
      <c r="BA47" s="124">
        <v>3.5900000000000001E-2</v>
      </c>
      <c r="BB47" s="124">
        <v>0.12426000000000001</v>
      </c>
      <c r="BC47" s="124">
        <v>0.14362</v>
      </c>
      <c r="BD47" s="124">
        <v>4.6109999999999998E-2</v>
      </c>
      <c r="BE47" s="124">
        <v>0.12390000000000001</v>
      </c>
      <c r="BF47" s="124">
        <v>0.23232</v>
      </c>
      <c r="BG47" s="124">
        <v>0.20205000000000001</v>
      </c>
      <c r="BH47" s="124">
        <v>0.38227</v>
      </c>
      <c r="BI47" s="124">
        <v>0.65717999999999999</v>
      </c>
      <c r="BJ47" s="124">
        <v>0.18690999999999999</v>
      </c>
      <c r="BK47" s="124">
        <v>0.16368000000000002</v>
      </c>
      <c r="BL47" s="124">
        <v>0.17987</v>
      </c>
      <c r="BM47" s="124">
        <v>0.11298999999999999</v>
      </c>
      <c r="BN47" s="118">
        <v>38.020000000000003</v>
      </c>
      <c r="BO47" s="118">
        <v>34.69</v>
      </c>
      <c r="BP47" s="118"/>
      <c r="BQ47" s="118">
        <v>0.5</v>
      </c>
      <c r="BR47" s="154" t="s">
        <v>85</v>
      </c>
      <c r="BS47" s="154" t="s">
        <v>85</v>
      </c>
      <c r="BT47" s="154">
        <v>12.6</v>
      </c>
      <c r="BU47" s="154">
        <v>110</v>
      </c>
      <c r="BV47" s="154" t="s">
        <v>85</v>
      </c>
      <c r="BW47" s="154">
        <v>11.31</v>
      </c>
      <c r="BX47" s="154" t="s">
        <v>85</v>
      </c>
      <c r="BY47" s="154" t="s">
        <v>85</v>
      </c>
      <c r="BZ47" s="154">
        <v>83.12</v>
      </c>
      <c r="CA47" s="154">
        <v>240</v>
      </c>
      <c r="CB47" s="154"/>
      <c r="CC47" s="154" t="s">
        <v>85</v>
      </c>
      <c r="CD47" s="154">
        <v>17.09</v>
      </c>
      <c r="CE47" s="154" t="s">
        <v>85</v>
      </c>
      <c r="CF47" s="154" t="s">
        <v>85</v>
      </c>
      <c r="CG47" s="205"/>
    </row>
    <row r="48" spans="1:85">
      <c r="A48" s="122">
        <v>21014</v>
      </c>
      <c r="B48" s="122" t="s">
        <v>255</v>
      </c>
      <c r="C48" s="122" t="s">
        <v>256</v>
      </c>
      <c r="D48" s="122" t="s">
        <v>195</v>
      </c>
      <c r="E48" s="122" t="s">
        <v>76</v>
      </c>
      <c r="F48" s="122" t="s">
        <v>1159</v>
      </c>
      <c r="G48" s="163" t="s">
        <v>1160</v>
      </c>
      <c r="H48" s="122">
        <v>10</v>
      </c>
      <c r="I48" s="122" t="s">
        <v>207</v>
      </c>
      <c r="J48" s="118">
        <v>45</v>
      </c>
      <c r="K48" s="118">
        <v>84.01</v>
      </c>
      <c r="L48" s="118">
        <v>4.0199999999999996</v>
      </c>
      <c r="M48" s="118">
        <v>0.77</v>
      </c>
      <c r="N48" s="118">
        <v>1.77</v>
      </c>
      <c r="O48" s="118">
        <v>7.33</v>
      </c>
      <c r="P48" s="118">
        <v>0.1</v>
      </c>
      <c r="Q48" s="118">
        <v>0.14000000000000001</v>
      </c>
      <c r="R48" s="118">
        <v>1.1299999999999999</v>
      </c>
      <c r="S48" s="118"/>
      <c r="T48" s="118">
        <v>0.14000000000000001</v>
      </c>
      <c r="U48" s="118">
        <v>80</v>
      </c>
      <c r="V48" s="118"/>
      <c r="W48" s="118">
        <v>27</v>
      </c>
      <c r="X48" s="118">
        <v>0</v>
      </c>
      <c r="Y48" s="118"/>
      <c r="Z48" s="118">
        <v>302</v>
      </c>
      <c r="AA48" s="118">
        <v>0</v>
      </c>
      <c r="AB48" s="118">
        <v>307.92</v>
      </c>
      <c r="AC48" s="118">
        <v>41.28</v>
      </c>
      <c r="AD48" s="118">
        <v>3640</v>
      </c>
      <c r="AE48" s="118"/>
      <c r="AF48" s="118"/>
      <c r="AG48" s="118"/>
      <c r="AH48" s="118"/>
      <c r="AI48" s="118">
        <v>194.09</v>
      </c>
      <c r="AJ48" s="118">
        <v>0.19</v>
      </c>
      <c r="AK48" s="118">
        <v>2.67</v>
      </c>
      <c r="AL48" s="118">
        <v>50.05</v>
      </c>
      <c r="AM48" s="118"/>
      <c r="AN48" s="118">
        <v>81</v>
      </c>
      <c r="AO48" s="118">
        <v>496.55</v>
      </c>
      <c r="AP48" s="118">
        <v>0.9</v>
      </c>
      <c r="AQ48" s="118">
        <v>0.32</v>
      </c>
      <c r="AR48" s="118"/>
      <c r="AS48" s="118"/>
      <c r="AT48" s="118"/>
      <c r="AU48" s="118"/>
      <c r="AV48" s="124"/>
      <c r="AW48" s="124"/>
      <c r="AX48" s="124"/>
      <c r="AY48" s="124"/>
      <c r="AZ48" s="124"/>
      <c r="BA48" s="124"/>
      <c r="BB48" s="124"/>
      <c r="BC48" s="124"/>
      <c r="BD48" s="124"/>
      <c r="BE48" s="124"/>
      <c r="BF48" s="124"/>
      <c r="BG48" s="124"/>
      <c r="BH48" s="124"/>
      <c r="BI48" s="124"/>
      <c r="BJ48" s="124"/>
      <c r="BK48" s="124"/>
      <c r="BL48" s="124"/>
      <c r="BM48" s="124"/>
      <c r="BN48" s="118"/>
      <c r="BO48" s="118"/>
      <c r="BP48" s="118"/>
      <c r="BQ48" s="118"/>
      <c r="BR48" s="205"/>
      <c r="BS48" s="205"/>
      <c r="BT48" s="205"/>
      <c r="BU48" s="205"/>
      <c r="BV48" s="205"/>
      <c r="BW48" s="205"/>
      <c r="BX48" s="205"/>
      <c r="BY48" s="205"/>
      <c r="BZ48" s="205"/>
      <c r="CA48" s="205"/>
      <c r="CB48" s="205"/>
      <c r="CC48" s="205"/>
      <c r="CD48" s="205"/>
      <c r="CE48" s="205"/>
      <c r="CF48" s="205"/>
      <c r="CG48" s="205"/>
    </row>
    <row r="49" spans="1:85">
      <c r="A49" s="122">
        <v>21015</v>
      </c>
      <c r="B49" s="122" t="s">
        <v>258</v>
      </c>
      <c r="C49" s="122" t="s">
        <v>259</v>
      </c>
      <c r="D49" s="122" t="s">
        <v>260</v>
      </c>
      <c r="E49" s="122" t="s">
        <v>76</v>
      </c>
      <c r="F49" s="122" t="s">
        <v>1161</v>
      </c>
      <c r="G49" s="163" t="s">
        <v>1162</v>
      </c>
      <c r="H49" s="122">
        <v>10</v>
      </c>
      <c r="I49" s="122" t="s">
        <v>207</v>
      </c>
      <c r="J49" s="118">
        <v>32</v>
      </c>
      <c r="K49" s="118">
        <v>90.71</v>
      </c>
      <c r="L49" s="118">
        <v>1.85</v>
      </c>
      <c r="M49" s="118">
        <v>0.69</v>
      </c>
      <c r="N49" s="118">
        <v>3.37</v>
      </c>
      <c r="O49" s="118">
        <v>2.58</v>
      </c>
      <c r="P49" s="118">
        <v>0.08</v>
      </c>
      <c r="Q49" s="118">
        <v>0.09</v>
      </c>
      <c r="R49" s="118">
        <v>0.8</v>
      </c>
      <c r="S49" s="118">
        <v>0.14000000000000001</v>
      </c>
      <c r="T49" s="118">
        <v>0.18</v>
      </c>
      <c r="U49" s="118">
        <v>69.66</v>
      </c>
      <c r="V49" s="118"/>
      <c r="W49" s="118">
        <v>68.849999999999994</v>
      </c>
      <c r="X49" s="118">
        <v>1.39</v>
      </c>
      <c r="Y49" s="118"/>
      <c r="Z49" s="118">
        <v>185</v>
      </c>
      <c r="AA49" s="118">
        <v>0</v>
      </c>
      <c r="AB49" s="118">
        <v>155.91999999999999</v>
      </c>
      <c r="AC49" s="118">
        <v>0</v>
      </c>
      <c r="AD49" s="118">
        <v>1870</v>
      </c>
      <c r="AE49" s="118">
        <v>1741</v>
      </c>
      <c r="AF49" s="118"/>
      <c r="AG49" s="118"/>
      <c r="AH49" s="118">
        <v>22.71</v>
      </c>
      <c r="AI49" s="118">
        <v>146.96</v>
      </c>
      <c r="AJ49" s="118">
        <v>7.0000000000000007E-2</v>
      </c>
      <c r="AK49" s="118">
        <v>2.84</v>
      </c>
      <c r="AL49" s="118">
        <v>20.2</v>
      </c>
      <c r="AM49" s="118">
        <v>0.9</v>
      </c>
      <c r="AN49" s="118">
        <v>41.17</v>
      </c>
      <c r="AO49" s="118">
        <v>259.67</v>
      </c>
      <c r="AP49" s="118">
        <v>33.049999999999997</v>
      </c>
      <c r="AQ49" s="118">
        <v>0.48</v>
      </c>
      <c r="AR49" s="118">
        <v>0.15</v>
      </c>
      <c r="AS49" s="118">
        <v>0.03</v>
      </c>
      <c r="AT49" s="118">
        <v>0.25</v>
      </c>
      <c r="AU49" s="118"/>
      <c r="AV49" s="124">
        <v>4.351E-2</v>
      </c>
      <c r="AW49" s="124">
        <v>7.9700000000000007E-2</v>
      </c>
      <c r="AX49" s="124">
        <v>0.15296000000000001</v>
      </c>
      <c r="AY49" s="124">
        <v>0.11855</v>
      </c>
      <c r="AZ49" s="124">
        <v>2.2420000000000002E-2</v>
      </c>
      <c r="BA49" s="124">
        <v>1.9089999999999999E-2</v>
      </c>
      <c r="BB49" s="124">
        <v>0.13319999999999999</v>
      </c>
      <c r="BC49" s="124">
        <v>8.8579999999999992E-2</v>
      </c>
      <c r="BD49" s="124">
        <v>3.0859999999999999E-2</v>
      </c>
      <c r="BE49" s="124">
        <v>9.4569999999999987E-2</v>
      </c>
      <c r="BF49" s="124">
        <v>0.17538000000000001</v>
      </c>
      <c r="BG49" s="124">
        <v>0.10656</v>
      </c>
      <c r="BH49" s="124">
        <v>0.21556</v>
      </c>
      <c r="BI49" s="124">
        <v>0.37962000000000001</v>
      </c>
      <c r="BJ49" s="124">
        <v>0.1221</v>
      </c>
      <c r="BK49" s="124">
        <v>8.9689999999999992E-2</v>
      </c>
      <c r="BL49" s="124">
        <v>0.10501000000000001</v>
      </c>
      <c r="BM49" s="124">
        <v>6.7709999999999992E-2</v>
      </c>
      <c r="BN49" s="118">
        <v>27.57</v>
      </c>
      <c r="BO49" s="118">
        <v>2</v>
      </c>
      <c r="BP49" s="118"/>
      <c r="BQ49" s="118"/>
      <c r="BR49" s="154" t="s">
        <v>85</v>
      </c>
      <c r="BS49" s="154" t="s">
        <v>85</v>
      </c>
      <c r="BT49" s="154">
        <v>9.6199999999999992</v>
      </c>
      <c r="BU49" s="154">
        <v>110</v>
      </c>
      <c r="BV49" s="154" t="s">
        <v>85</v>
      </c>
      <c r="BW49" s="154">
        <v>18.88</v>
      </c>
      <c r="BX49" s="154" t="s">
        <v>85</v>
      </c>
      <c r="BY49" s="154" t="s">
        <v>85</v>
      </c>
      <c r="BZ49" s="154">
        <v>45.49</v>
      </c>
      <c r="CA49" s="154">
        <v>203</v>
      </c>
      <c r="CB49" s="154"/>
      <c r="CC49" s="154" t="s">
        <v>85</v>
      </c>
      <c r="CD49" s="154">
        <v>27.54</v>
      </c>
      <c r="CE49" s="154" t="s">
        <v>85</v>
      </c>
      <c r="CF49" s="154" t="s">
        <v>85</v>
      </c>
      <c r="CG49" s="205"/>
    </row>
    <row r="50" spans="1:85">
      <c r="A50" s="122">
        <v>21016</v>
      </c>
      <c r="B50" s="122" t="s">
        <v>262</v>
      </c>
      <c r="C50" s="122" t="s">
        <v>263</v>
      </c>
      <c r="D50" s="122" t="s">
        <v>264</v>
      </c>
      <c r="E50" s="122" t="s">
        <v>76</v>
      </c>
      <c r="F50" s="122" t="s">
        <v>1163</v>
      </c>
      <c r="G50" s="163" t="s">
        <v>1164</v>
      </c>
      <c r="H50" s="122">
        <v>10</v>
      </c>
      <c r="I50" s="122" t="s">
        <v>207</v>
      </c>
      <c r="J50" s="118">
        <v>30</v>
      </c>
      <c r="K50" s="118">
        <v>87.88</v>
      </c>
      <c r="L50" s="118">
        <v>3.34</v>
      </c>
      <c r="M50" s="118">
        <v>0.52</v>
      </c>
      <c r="N50" s="118">
        <v>0.1</v>
      </c>
      <c r="O50" s="118">
        <v>5.92</v>
      </c>
      <c r="P50" s="118">
        <v>0.05</v>
      </c>
      <c r="Q50" s="118">
        <v>0.06</v>
      </c>
      <c r="R50" s="118">
        <v>1.1100000000000001</v>
      </c>
      <c r="S50" s="118">
        <v>0.63</v>
      </c>
      <c r="T50" s="118">
        <v>0.15</v>
      </c>
      <c r="U50" s="118">
        <v>62</v>
      </c>
      <c r="V50" s="118">
        <v>0</v>
      </c>
      <c r="W50" s="118">
        <v>105.69</v>
      </c>
      <c r="X50" s="118">
        <v>3.55</v>
      </c>
      <c r="Y50" s="118">
        <v>2.5</v>
      </c>
      <c r="Z50" s="118">
        <v>274</v>
      </c>
      <c r="AA50" s="118">
        <v>0</v>
      </c>
      <c r="AB50" s="118">
        <v>132.46</v>
      </c>
      <c r="AC50" s="118">
        <v>36</v>
      </c>
      <c r="AD50" s="118">
        <v>1470.54</v>
      </c>
      <c r="AE50" s="118">
        <v>6351</v>
      </c>
      <c r="AF50" s="118"/>
      <c r="AG50" s="118"/>
      <c r="AH50" s="118">
        <v>28.3</v>
      </c>
      <c r="AI50" s="118">
        <v>160.44</v>
      </c>
      <c r="AJ50" s="118">
        <v>0.14000000000000001</v>
      </c>
      <c r="AK50" s="118">
        <v>1.42</v>
      </c>
      <c r="AL50" s="118">
        <v>33.700000000000003</v>
      </c>
      <c r="AM50" s="118">
        <v>0.96</v>
      </c>
      <c r="AN50" s="118">
        <v>30.29</v>
      </c>
      <c r="AO50" s="118">
        <v>396.48</v>
      </c>
      <c r="AP50" s="118">
        <v>0.45</v>
      </c>
      <c r="AQ50" s="118">
        <v>0.32</v>
      </c>
      <c r="AR50" s="118">
        <v>0.23</v>
      </c>
      <c r="AS50" s="118">
        <v>0.01</v>
      </c>
      <c r="AT50" s="118">
        <v>0.32</v>
      </c>
      <c r="AU50" s="118"/>
      <c r="AV50" s="124">
        <v>6.0899999999999996E-2</v>
      </c>
      <c r="AW50" s="124">
        <v>0.13200000000000001</v>
      </c>
      <c r="AX50" s="124">
        <v>0.22914999999999999</v>
      </c>
      <c r="AY50" s="124">
        <v>0.12883</v>
      </c>
      <c r="AZ50" s="124">
        <v>1.7600000000000001E-2</v>
      </c>
      <c r="BA50" s="124">
        <v>2.112E-2</v>
      </c>
      <c r="BB50" s="124">
        <v>0.1232</v>
      </c>
      <c r="BC50" s="124">
        <v>0.13658000000000001</v>
      </c>
      <c r="BD50" s="124">
        <v>5.7729999999999997E-2</v>
      </c>
      <c r="BE50" s="124">
        <v>0.13797999999999999</v>
      </c>
      <c r="BF50" s="124">
        <v>0.19571</v>
      </c>
      <c r="BG50" s="124">
        <v>0.17740999999999998</v>
      </c>
      <c r="BH50" s="124">
        <v>0.51919999999999999</v>
      </c>
      <c r="BI50" s="124">
        <v>0.43331000000000003</v>
      </c>
      <c r="BJ50" s="124">
        <v>0.17846000000000001</v>
      </c>
      <c r="BK50" s="124">
        <v>0.14396999999999999</v>
      </c>
      <c r="BL50" s="124">
        <v>0.13869000000000001</v>
      </c>
      <c r="BM50" s="124">
        <v>0.12038</v>
      </c>
      <c r="BN50" s="118">
        <v>60.28</v>
      </c>
      <c r="BO50" s="118">
        <v>40.99</v>
      </c>
      <c r="BP50" s="118">
        <v>47</v>
      </c>
      <c r="BQ50" s="118"/>
      <c r="BR50" s="205"/>
      <c r="BS50" s="154" t="s">
        <v>85</v>
      </c>
      <c r="BT50" s="154" t="s">
        <v>85</v>
      </c>
      <c r="BU50" s="154">
        <v>18.14</v>
      </c>
      <c r="BV50" s="154">
        <v>144</v>
      </c>
      <c r="BW50" s="154" t="s">
        <v>85</v>
      </c>
      <c r="BX50" s="154">
        <v>8.31</v>
      </c>
      <c r="BY50" s="154">
        <v>0.75</v>
      </c>
      <c r="BZ50" s="154" t="s">
        <v>85</v>
      </c>
      <c r="CA50" s="154">
        <v>151</v>
      </c>
      <c r="CB50" s="154">
        <v>169</v>
      </c>
      <c r="CC50" s="154"/>
      <c r="CD50" s="154" t="s">
        <v>85</v>
      </c>
      <c r="CE50" s="154">
        <v>2.19</v>
      </c>
      <c r="CF50" s="154" t="s">
        <v>85</v>
      </c>
      <c r="CG50" s="154" t="s">
        <v>1165</v>
      </c>
    </row>
    <row r="51" spans="1:85">
      <c r="A51" s="122">
        <v>21017</v>
      </c>
      <c r="B51" s="122" t="s">
        <v>266</v>
      </c>
      <c r="C51" s="122" t="s">
        <v>267</v>
      </c>
      <c r="D51" s="122" t="s">
        <v>268</v>
      </c>
      <c r="E51" s="122" t="s">
        <v>82</v>
      </c>
      <c r="F51" s="122" t="s">
        <v>269</v>
      </c>
      <c r="G51" s="163" t="s">
        <v>270</v>
      </c>
      <c r="H51" s="122">
        <v>10</v>
      </c>
      <c r="I51" s="122" t="s">
        <v>207</v>
      </c>
      <c r="J51" s="118">
        <v>19.12</v>
      </c>
      <c r="K51" s="118">
        <v>92.4</v>
      </c>
      <c r="L51" s="118">
        <v>1.22</v>
      </c>
      <c r="M51" s="118">
        <v>0.24</v>
      </c>
      <c r="N51" s="118">
        <v>2.41</v>
      </c>
      <c r="O51" s="118">
        <v>3.25</v>
      </c>
      <c r="P51" s="118">
        <v>0.04</v>
      </c>
      <c r="Q51" s="118">
        <v>0.02</v>
      </c>
      <c r="R51" s="118">
        <v>0.51</v>
      </c>
      <c r="S51" s="118">
        <v>0.28000000000000003</v>
      </c>
      <c r="T51" s="118">
        <v>0.05</v>
      </c>
      <c r="U51" s="118">
        <v>50.13</v>
      </c>
      <c r="V51" s="118"/>
      <c r="W51" s="118">
        <v>21.08</v>
      </c>
      <c r="X51" s="118">
        <v>6.06</v>
      </c>
      <c r="Y51" s="118">
        <v>0.68</v>
      </c>
      <c r="Z51" s="118">
        <v>19.100000000000001</v>
      </c>
      <c r="AA51" s="118"/>
      <c r="AB51" s="125">
        <f>AA51+1/12*(AD51)+1/24*(AC51)+1/24*(AG51)</f>
        <v>12.25</v>
      </c>
      <c r="AC51" s="118"/>
      <c r="AD51" s="118">
        <v>147</v>
      </c>
      <c r="AE51" s="118">
        <v>157</v>
      </c>
      <c r="AF51" s="118"/>
      <c r="AG51" s="118"/>
      <c r="AH51" s="118">
        <v>4.5</v>
      </c>
      <c r="AI51" s="118">
        <v>37.119999999999997</v>
      </c>
      <c r="AJ51" s="118">
        <v>0.06</v>
      </c>
      <c r="AK51" s="118">
        <v>0.28999999999999998</v>
      </c>
      <c r="AL51" s="118">
        <v>18.87</v>
      </c>
      <c r="AM51" s="118">
        <v>0.12</v>
      </c>
      <c r="AN51" s="118">
        <v>26.29</v>
      </c>
      <c r="AO51" s="118">
        <v>167</v>
      </c>
      <c r="AP51" s="118"/>
      <c r="AQ51" s="118">
        <v>0.13</v>
      </c>
      <c r="AR51" s="118">
        <v>7.5300000000000006E-2</v>
      </c>
      <c r="AS51" s="118">
        <v>4.5100000000000001E-3</v>
      </c>
      <c r="AT51" s="118">
        <v>0.112</v>
      </c>
      <c r="AU51" s="118"/>
      <c r="AV51" s="118">
        <v>1.83</v>
      </c>
      <c r="AW51" s="118">
        <v>3.88</v>
      </c>
      <c r="AX51" s="118">
        <v>7.14</v>
      </c>
      <c r="AY51" s="118">
        <v>6.38</v>
      </c>
      <c r="AZ51" s="118">
        <v>0.9</v>
      </c>
      <c r="BA51" s="118">
        <v>0.69</v>
      </c>
      <c r="BB51" s="118">
        <v>4.16</v>
      </c>
      <c r="BC51" s="118">
        <v>4.2</v>
      </c>
      <c r="BD51" s="118">
        <v>0.85</v>
      </c>
      <c r="BE51" s="118">
        <v>5.05</v>
      </c>
      <c r="BF51" s="118">
        <v>6.57</v>
      </c>
      <c r="BG51" s="118">
        <v>6.45</v>
      </c>
      <c r="BH51" s="118">
        <v>11.71</v>
      </c>
      <c r="BI51" s="118">
        <v>21.11</v>
      </c>
      <c r="BJ51" s="118">
        <v>4.67</v>
      </c>
      <c r="BK51" s="118">
        <v>3.61</v>
      </c>
      <c r="BL51" s="118">
        <v>5.19</v>
      </c>
      <c r="BM51" s="118">
        <v>3.31</v>
      </c>
      <c r="BN51" s="118">
        <v>1.6</v>
      </c>
      <c r="BO51" s="118">
        <v>8.7899999999999991</v>
      </c>
      <c r="BP51" s="118">
        <v>8.15</v>
      </c>
      <c r="BQ51" s="118"/>
      <c r="BR51" s="154" t="s">
        <v>85</v>
      </c>
      <c r="BS51" s="154" t="s">
        <v>85</v>
      </c>
      <c r="BT51" s="154">
        <v>2.82</v>
      </c>
      <c r="BU51" s="154">
        <v>55.2</v>
      </c>
      <c r="BV51" s="154" t="s">
        <v>85</v>
      </c>
      <c r="BW51" s="154">
        <v>3.97</v>
      </c>
      <c r="BX51" s="154" t="s">
        <v>85</v>
      </c>
      <c r="BY51" s="154" t="s">
        <v>85</v>
      </c>
      <c r="BZ51" s="154">
        <v>83.07</v>
      </c>
      <c r="CA51" s="154">
        <v>29.1</v>
      </c>
      <c r="CB51" s="154"/>
      <c r="CC51" s="154" t="s">
        <v>85</v>
      </c>
      <c r="CD51" s="154">
        <v>5.67</v>
      </c>
      <c r="CE51" s="154" t="s">
        <v>85</v>
      </c>
      <c r="CF51" s="154" t="s">
        <v>85</v>
      </c>
      <c r="CG51" s="205"/>
    </row>
    <row r="52" spans="1:85">
      <c r="A52" s="122">
        <v>21018</v>
      </c>
      <c r="B52" s="122" t="s">
        <v>271</v>
      </c>
      <c r="C52" s="122" t="s">
        <v>272</v>
      </c>
      <c r="D52" s="122" t="s">
        <v>273</v>
      </c>
      <c r="E52" s="122" t="s">
        <v>76</v>
      </c>
      <c r="F52" s="122" t="s">
        <v>1166</v>
      </c>
      <c r="G52" s="163" t="s">
        <v>1167</v>
      </c>
      <c r="H52" s="122">
        <v>10</v>
      </c>
      <c r="I52" s="122" t="s">
        <v>207</v>
      </c>
      <c r="J52" s="118">
        <v>25</v>
      </c>
      <c r="K52" s="118">
        <v>90.96</v>
      </c>
      <c r="L52" s="118">
        <v>1.99</v>
      </c>
      <c r="M52" s="118">
        <v>0.27</v>
      </c>
      <c r="N52" s="118">
        <v>1.48</v>
      </c>
      <c r="O52" s="118">
        <v>4.3499999999999996</v>
      </c>
      <c r="P52" s="118">
        <v>0.03</v>
      </c>
      <c r="Q52" s="118">
        <v>0.18</v>
      </c>
      <c r="R52" s="118">
        <v>0.7</v>
      </c>
      <c r="S52" s="118">
        <v>0.41</v>
      </c>
      <c r="T52" s="118">
        <v>0.19</v>
      </c>
      <c r="U52" s="118">
        <v>85</v>
      </c>
      <c r="V52" s="118">
        <v>0</v>
      </c>
      <c r="W52" s="118">
        <v>37.08</v>
      </c>
      <c r="X52" s="118">
        <v>11</v>
      </c>
      <c r="Y52" s="118">
        <v>0.44</v>
      </c>
      <c r="Z52" s="118">
        <v>280</v>
      </c>
      <c r="AA52" s="118">
        <v>0</v>
      </c>
      <c r="AB52" s="118">
        <v>743.21</v>
      </c>
      <c r="AC52" s="118">
        <v>184</v>
      </c>
      <c r="AD52" s="118">
        <v>8780</v>
      </c>
      <c r="AE52" s="118">
        <v>8397</v>
      </c>
      <c r="AF52" s="118"/>
      <c r="AG52" s="118"/>
      <c r="AH52" s="118">
        <v>164</v>
      </c>
      <c r="AI52" s="118">
        <v>170.96</v>
      </c>
      <c r="AJ52" s="118">
        <v>0.12</v>
      </c>
      <c r="AK52" s="118">
        <v>8.39</v>
      </c>
      <c r="AL52" s="118">
        <v>181.3</v>
      </c>
      <c r="AM52" s="118">
        <v>1.24</v>
      </c>
      <c r="AN52" s="118">
        <v>46.63</v>
      </c>
      <c r="AO52" s="118">
        <v>321.39</v>
      </c>
      <c r="AP52" s="118">
        <v>20.97</v>
      </c>
      <c r="AQ52" s="118">
        <v>0.98</v>
      </c>
      <c r="AR52" s="118">
        <v>0.19</v>
      </c>
      <c r="AS52" s="118">
        <v>0.05</v>
      </c>
      <c r="AT52" s="118">
        <v>0.36</v>
      </c>
      <c r="AU52" s="118"/>
      <c r="AV52" s="124">
        <v>6.9750000000000006E-2</v>
      </c>
      <c r="AW52" s="124">
        <v>0.14443</v>
      </c>
      <c r="AX52" s="124">
        <v>0.26451999999999998</v>
      </c>
      <c r="AY52" s="124">
        <v>0.18029000000000001</v>
      </c>
      <c r="AZ52" s="124">
        <v>4.5399999999999996E-2</v>
      </c>
      <c r="BA52" s="124">
        <v>2.6980000000000001E-2</v>
      </c>
      <c r="BB52" s="124">
        <v>0.18687000000000001</v>
      </c>
      <c r="BC52" s="124">
        <v>0.13686000000000001</v>
      </c>
      <c r="BD52" s="124">
        <v>3.3229999999999996E-2</v>
      </c>
      <c r="BE52" s="124">
        <v>0.16549</v>
      </c>
      <c r="BF52" s="124">
        <v>0.2155</v>
      </c>
      <c r="BG52" s="124">
        <v>0.20069000000000001</v>
      </c>
      <c r="BH52" s="124">
        <v>0.30334</v>
      </c>
      <c r="BI52" s="124">
        <v>0.41948000000000002</v>
      </c>
      <c r="BJ52" s="124">
        <v>0.18390999999999999</v>
      </c>
      <c r="BK52" s="124">
        <v>0.14640999999999998</v>
      </c>
      <c r="BL52" s="124">
        <v>0.152</v>
      </c>
      <c r="BM52" s="124">
        <v>0.12140000000000001</v>
      </c>
      <c r="BN52" s="118">
        <v>23.81</v>
      </c>
      <c r="BO52" s="118">
        <v>16</v>
      </c>
      <c r="BP52" s="118"/>
      <c r="BQ52" s="118"/>
      <c r="BR52" s="154" t="s">
        <v>85</v>
      </c>
      <c r="BS52" s="154" t="s">
        <v>85</v>
      </c>
      <c r="BT52" s="154">
        <v>18.47</v>
      </c>
      <c r="BU52" s="154">
        <v>143</v>
      </c>
      <c r="BV52" s="154" t="s">
        <v>85</v>
      </c>
      <c r="BW52" s="154">
        <v>31.26</v>
      </c>
      <c r="BX52" s="154">
        <v>1.57</v>
      </c>
      <c r="BY52" s="154" t="s">
        <v>85</v>
      </c>
      <c r="BZ52" s="154">
        <v>111</v>
      </c>
      <c r="CA52" s="154">
        <v>247</v>
      </c>
      <c r="CB52" s="154"/>
      <c r="CC52" s="154" t="s">
        <v>85</v>
      </c>
      <c r="CD52" s="154">
        <v>16.149999999999999</v>
      </c>
      <c r="CE52" s="154" t="s">
        <v>85</v>
      </c>
      <c r="CF52" s="154" t="s">
        <v>85</v>
      </c>
      <c r="CG52" s="205"/>
    </row>
    <row r="53" spans="1:85">
      <c r="A53" s="122">
        <v>21019</v>
      </c>
      <c r="B53" s="122" t="s">
        <v>275</v>
      </c>
      <c r="C53" s="122" t="s">
        <v>276</v>
      </c>
      <c r="D53" s="122" t="s">
        <v>205</v>
      </c>
      <c r="E53" s="122" t="s">
        <v>76</v>
      </c>
      <c r="F53" s="122">
        <v>30001</v>
      </c>
      <c r="G53" s="163" t="s">
        <v>277</v>
      </c>
      <c r="H53" s="122">
        <v>10</v>
      </c>
      <c r="I53" s="122" t="s">
        <v>207</v>
      </c>
      <c r="J53" s="118">
        <v>21</v>
      </c>
      <c r="K53" s="118">
        <v>92.35</v>
      </c>
      <c r="L53" s="118">
        <v>0.9</v>
      </c>
      <c r="M53" s="118">
        <v>0.1</v>
      </c>
      <c r="N53" s="118">
        <v>3.66</v>
      </c>
      <c r="O53" s="118">
        <v>1.2</v>
      </c>
      <c r="P53" s="118">
        <v>0.01</v>
      </c>
      <c r="Q53" s="118">
        <v>0.18</v>
      </c>
      <c r="R53" s="118"/>
      <c r="S53" s="118"/>
      <c r="T53" s="118"/>
      <c r="U53" s="118"/>
      <c r="V53" s="118">
        <v>0</v>
      </c>
      <c r="W53" s="118">
        <v>35.799999999999997</v>
      </c>
      <c r="X53" s="118">
        <v>0</v>
      </c>
      <c r="Y53" s="118"/>
      <c r="Z53" s="118"/>
      <c r="AA53" s="118">
        <v>0</v>
      </c>
      <c r="AB53" s="118">
        <v>25.5</v>
      </c>
      <c r="AC53" s="118"/>
      <c r="AD53" s="118">
        <v>306</v>
      </c>
      <c r="AE53" s="118"/>
      <c r="AF53" s="118"/>
      <c r="AG53" s="118"/>
      <c r="AH53" s="118"/>
      <c r="AI53" s="118">
        <v>114</v>
      </c>
      <c r="AJ53" s="118"/>
      <c r="AK53" s="118">
        <v>1.8</v>
      </c>
      <c r="AL53" s="118"/>
      <c r="AM53" s="118"/>
      <c r="AN53" s="118">
        <v>30</v>
      </c>
      <c r="AO53" s="118"/>
      <c r="AP53" s="118"/>
      <c r="AQ53" s="118">
        <v>0.52</v>
      </c>
      <c r="AR53" s="118"/>
      <c r="AS53" s="118"/>
      <c r="AT53" s="118"/>
      <c r="AU53" s="118"/>
      <c r="AV53" s="124"/>
      <c r="AW53" s="124"/>
      <c r="AX53" s="124"/>
      <c r="AY53" s="124"/>
      <c r="AZ53" s="124"/>
      <c r="BA53" s="124"/>
      <c r="BB53" s="124"/>
      <c r="BC53" s="124"/>
      <c r="BD53" s="124"/>
      <c r="BE53" s="124"/>
      <c r="BF53" s="124"/>
      <c r="BG53" s="124"/>
      <c r="BH53" s="124"/>
      <c r="BI53" s="124"/>
      <c r="BJ53" s="124"/>
      <c r="BK53" s="124"/>
      <c r="BL53" s="124"/>
      <c r="BM53" s="124"/>
      <c r="BN53" s="118"/>
      <c r="BO53" s="118"/>
      <c r="BP53" s="118"/>
      <c r="BQ53" s="118"/>
      <c r="BR53" s="205"/>
      <c r="BS53" s="205"/>
      <c r="BT53" s="205"/>
      <c r="BU53" s="205"/>
      <c r="BV53" s="205"/>
      <c r="BW53" s="205"/>
      <c r="BX53" s="205"/>
      <c r="BY53" s="205"/>
      <c r="BZ53" s="205"/>
      <c r="CA53" s="205"/>
      <c r="CB53" s="205"/>
      <c r="CC53" s="205"/>
      <c r="CD53" s="205"/>
      <c r="CE53" s="205"/>
      <c r="CF53" s="205"/>
      <c r="CG53" s="205"/>
    </row>
    <row r="54" spans="1:85">
      <c r="A54" s="122">
        <v>21020</v>
      </c>
      <c r="B54" s="122" t="s">
        <v>278</v>
      </c>
      <c r="C54" s="122" t="s">
        <v>279</v>
      </c>
      <c r="D54" s="122" t="s">
        <v>280</v>
      </c>
      <c r="E54" s="122" t="s">
        <v>1168</v>
      </c>
      <c r="F54" s="122" t="s">
        <v>1169</v>
      </c>
      <c r="G54" s="163" t="s">
        <v>1170</v>
      </c>
      <c r="H54" s="122">
        <v>10</v>
      </c>
      <c r="I54" s="122" t="s">
        <v>207</v>
      </c>
      <c r="J54" s="118">
        <v>49</v>
      </c>
      <c r="K54" s="118">
        <v>87.39</v>
      </c>
      <c r="L54" s="118">
        <v>2.0499999999999998</v>
      </c>
      <c r="M54" s="118">
        <v>0.47</v>
      </c>
      <c r="N54" s="118">
        <v>8.7899999999999991</v>
      </c>
      <c r="O54" s="118">
        <v>0.5</v>
      </c>
      <c r="P54" s="118">
        <v>0.04</v>
      </c>
      <c r="Q54" s="118">
        <v>0.16</v>
      </c>
      <c r="R54" s="118">
        <v>0.6</v>
      </c>
      <c r="S54" s="118"/>
      <c r="T54" s="118">
        <v>0.13</v>
      </c>
      <c r="U54" s="118">
        <v>45</v>
      </c>
      <c r="V54" s="118">
        <v>0</v>
      </c>
      <c r="W54" s="118">
        <v>43</v>
      </c>
      <c r="X54" s="118">
        <v>0</v>
      </c>
      <c r="Y54" s="118">
        <v>1.46</v>
      </c>
      <c r="Z54" s="118">
        <v>250</v>
      </c>
      <c r="AA54" s="118">
        <v>0</v>
      </c>
      <c r="AB54" s="118">
        <v>530</v>
      </c>
      <c r="AC54" s="118">
        <v>0</v>
      </c>
      <c r="AD54" s="118">
        <v>6360</v>
      </c>
      <c r="AE54" s="118"/>
      <c r="AF54" s="118"/>
      <c r="AG54" s="118"/>
      <c r="AH54" s="118"/>
      <c r="AI54" s="118">
        <v>31</v>
      </c>
      <c r="AJ54" s="118">
        <v>0.02</v>
      </c>
      <c r="AK54" s="118">
        <v>1.9</v>
      </c>
      <c r="AL54" s="118">
        <v>26.68</v>
      </c>
      <c r="AM54" s="118">
        <v>0.24399999999999999</v>
      </c>
      <c r="AN54" s="118">
        <v>52</v>
      </c>
      <c r="AO54" s="118">
        <v>230</v>
      </c>
      <c r="AP54" s="118">
        <v>0.9</v>
      </c>
      <c r="AQ54" s="118">
        <v>0.52</v>
      </c>
      <c r="AR54" s="118"/>
      <c r="AS54" s="118"/>
      <c r="AT54" s="118"/>
      <c r="AU54" s="118"/>
      <c r="AV54" s="124"/>
      <c r="AW54" s="124"/>
      <c r="AX54" s="124"/>
      <c r="AY54" s="124"/>
      <c r="AZ54" s="124"/>
      <c r="BA54" s="124"/>
      <c r="BB54" s="124"/>
      <c r="BC54" s="124"/>
      <c r="BD54" s="124"/>
      <c r="BE54" s="124"/>
      <c r="BF54" s="124"/>
      <c r="BG54" s="124"/>
      <c r="BH54" s="124"/>
      <c r="BI54" s="124"/>
      <c r="BJ54" s="124"/>
      <c r="BK54" s="124"/>
      <c r="BL54" s="124"/>
      <c r="BM54" s="124"/>
      <c r="BN54" s="118"/>
      <c r="BO54" s="118"/>
      <c r="BP54" s="118"/>
      <c r="BQ54" s="118">
        <v>9</v>
      </c>
      <c r="BR54" s="205"/>
      <c r="BS54" s="205"/>
      <c r="BT54" s="205"/>
      <c r="BU54" s="205"/>
      <c r="BV54" s="205"/>
      <c r="BW54" s="205"/>
      <c r="BX54" s="205"/>
      <c r="BY54" s="205"/>
      <c r="BZ54" s="205"/>
      <c r="CA54" s="205"/>
      <c r="CB54" s="205"/>
      <c r="CC54" s="205"/>
      <c r="CD54" s="205"/>
      <c r="CE54" s="205"/>
      <c r="CF54" s="205"/>
      <c r="CG54" s="205">
        <v>7</v>
      </c>
    </row>
    <row r="55" spans="1:85">
      <c r="A55" s="122">
        <v>21021</v>
      </c>
      <c r="B55" s="122" t="s">
        <v>282</v>
      </c>
      <c r="C55" s="122" t="s">
        <v>283</v>
      </c>
      <c r="D55" s="122" t="s">
        <v>284</v>
      </c>
      <c r="E55" s="122" t="s">
        <v>82</v>
      </c>
      <c r="F55" s="122" t="s">
        <v>285</v>
      </c>
      <c r="G55" s="163" t="s">
        <v>286</v>
      </c>
      <c r="H55" s="122">
        <v>14</v>
      </c>
      <c r="I55" s="122" t="s">
        <v>207</v>
      </c>
      <c r="J55" s="118">
        <v>35.369999999999997</v>
      </c>
      <c r="K55" s="118">
        <v>87.64</v>
      </c>
      <c r="L55" s="118">
        <v>3.9</v>
      </c>
      <c r="M55" s="118">
        <v>0.42</v>
      </c>
      <c r="N55" s="118">
        <v>3.39</v>
      </c>
      <c r="O55" s="118">
        <v>3.43</v>
      </c>
      <c r="P55" s="118">
        <v>0.05</v>
      </c>
      <c r="Q55" s="118">
        <v>0.05</v>
      </c>
      <c r="R55" s="118">
        <v>0.21</v>
      </c>
      <c r="S55" s="118">
        <v>0.34</v>
      </c>
      <c r="T55" s="118">
        <v>0.23</v>
      </c>
      <c r="U55" s="118">
        <v>42.99</v>
      </c>
      <c r="V55" s="118"/>
      <c r="W55" s="118">
        <v>52.84</v>
      </c>
      <c r="X55" s="118">
        <v>4.1500000000000004</v>
      </c>
      <c r="Y55" s="118">
        <v>0.08</v>
      </c>
      <c r="Z55" s="118">
        <v>144</v>
      </c>
      <c r="AA55" s="118"/>
      <c r="AB55" s="125">
        <f>AA55+1/12*(AD55)+1/24*(AC55)+1/24*(AG55)</f>
        <v>12.166666666666666</v>
      </c>
      <c r="AC55" s="118"/>
      <c r="AD55" s="118">
        <v>146</v>
      </c>
      <c r="AE55" s="118">
        <v>152</v>
      </c>
      <c r="AF55" s="118"/>
      <c r="AG55" s="118"/>
      <c r="AH55" s="118">
        <v>1.97</v>
      </c>
      <c r="AI55" s="118">
        <v>96.7</v>
      </c>
      <c r="AJ55" s="118">
        <v>0.14000000000000001</v>
      </c>
      <c r="AK55" s="118">
        <v>2.42</v>
      </c>
      <c r="AL55" s="118">
        <v>41.5</v>
      </c>
      <c r="AM55" s="118">
        <v>0.5</v>
      </c>
      <c r="AN55" s="118">
        <v>62.82</v>
      </c>
      <c r="AO55" s="118">
        <v>374</v>
      </c>
      <c r="AP55" s="118">
        <v>1.05</v>
      </c>
      <c r="AQ55" s="118">
        <v>0.31</v>
      </c>
      <c r="AR55" s="118">
        <v>0.115</v>
      </c>
      <c r="AS55" s="118">
        <v>2.0799999999999999E-2</v>
      </c>
      <c r="AT55" s="118">
        <v>0.224</v>
      </c>
      <c r="AU55" s="118"/>
      <c r="AV55" s="118">
        <v>1.88</v>
      </c>
      <c r="AW55" s="118">
        <v>3.37</v>
      </c>
      <c r="AX55" s="118">
        <v>5.36</v>
      </c>
      <c r="AY55" s="118">
        <v>4.01</v>
      </c>
      <c r="AZ55" s="118">
        <v>0.99</v>
      </c>
      <c r="BA55" s="118">
        <v>0.68</v>
      </c>
      <c r="BB55" s="118">
        <v>4.16</v>
      </c>
      <c r="BC55" s="118">
        <v>4.01</v>
      </c>
      <c r="BD55" s="118">
        <v>1.1200000000000001</v>
      </c>
      <c r="BE55" s="118">
        <v>4.93</v>
      </c>
      <c r="BF55" s="118">
        <v>6.82</v>
      </c>
      <c r="BG55" s="118">
        <v>5.89</v>
      </c>
      <c r="BH55" s="118">
        <v>11.76</v>
      </c>
      <c r="BI55" s="118">
        <v>22.09</v>
      </c>
      <c r="BJ55" s="118">
        <v>3.96</v>
      </c>
      <c r="BK55" s="118">
        <v>4.63</v>
      </c>
      <c r="BL55" s="118">
        <v>5.14</v>
      </c>
      <c r="BM55" s="118">
        <v>0.77</v>
      </c>
      <c r="BN55" s="118">
        <v>28.94</v>
      </c>
      <c r="BO55" s="118">
        <v>13.6</v>
      </c>
      <c r="BP55" s="118">
        <v>172</v>
      </c>
      <c r="BQ55" s="118"/>
      <c r="BR55" s="154" t="s">
        <v>85</v>
      </c>
      <c r="BS55" s="154" t="s">
        <v>85</v>
      </c>
      <c r="BT55" s="154">
        <v>2.76</v>
      </c>
      <c r="BU55" s="154">
        <v>85.3</v>
      </c>
      <c r="BV55" s="154" t="s">
        <v>85</v>
      </c>
      <c r="BW55" s="154">
        <v>20.8</v>
      </c>
      <c r="BX55" s="154" t="s">
        <v>85</v>
      </c>
      <c r="BY55" s="154" t="s">
        <v>85</v>
      </c>
      <c r="BZ55" s="154">
        <v>84.83</v>
      </c>
      <c r="CA55" s="154">
        <v>139</v>
      </c>
      <c r="CB55" s="154"/>
      <c r="CC55" s="154" t="s">
        <v>85</v>
      </c>
      <c r="CD55" s="154">
        <v>14.28</v>
      </c>
      <c r="CE55" s="154" t="s">
        <v>85</v>
      </c>
      <c r="CF55" s="154" t="s">
        <v>85</v>
      </c>
      <c r="CG55" s="205"/>
    </row>
    <row r="56" spans="1:85">
      <c r="A56" s="122">
        <v>25008</v>
      </c>
      <c r="B56" s="122" t="s">
        <v>296</v>
      </c>
      <c r="C56" s="122" t="s">
        <v>297</v>
      </c>
      <c r="D56" s="122" t="s">
        <v>298</v>
      </c>
      <c r="E56" s="122" t="s">
        <v>76</v>
      </c>
      <c r="F56" s="122" t="s">
        <v>1171</v>
      </c>
      <c r="G56" s="163" t="s">
        <v>299</v>
      </c>
      <c r="H56" s="122">
        <v>13</v>
      </c>
      <c r="I56" s="122" t="s">
        <v>295</v>
      </c>
      <c r="J56" s="118">
        <v>24</v>
      </c>
      <c r="K56" s="118">
        <v>91.35</v>
      </c>
      <c r="L56" s="118">
        <v>1.9</v>
      </c>
      <c r="M56" s="118">
        <v>0.06</v>
      </c>
      <c r="N56" s="118">
        <v>1.97</v>
      </c>
      <c r="O56" s="118">
        <v>4.0599999999999996</v>
      </c>
      <c r="P56" s="118">
        <v>0.03</v>
      </c>
      <c r="Q56" s="118">
        <v>7.0000000000000007E-2</v>
      </c>
      <c r="R56" s="118">
        <v>0.8</v>
      </c>
      <c r="S56" s="118">
        <v>0.31</v>
      </c>
      <c r="T56" s="118">
        <v>0.08</v>
      </c>
      <c r="U56" s="118">
        <v>34</v>
      </c>
      <c r="V56" s="118"/>
      <c r="W56" s="118">
        <v>1.29</v>
      </c>
      <c r="X56" s="118">
        <v>0.9</v>
      </c>
      <c r="Y56" s="118">
        <v>0.1</v>
      </c>
      <c r="Z56" s="118">
        <v>13.53</v>
      </c>
      <c r="AA56" s="118">
        <v>0</v>
      </c>
      <c r="AB56" s="118">
        <v>3.79</v>
      </c>
      <c r="AC56" s="118">
        <v>0</v>
      </c>
      <c r="AD56" s="118">
        <v>45.44</v>
      </c>
      <c r="AE56" s="118">
        <v>144</v>
      </c>
      <c r="AF56" s="118"/>
      <c r="AG56" s="118"/>
      <c r="AH56" s="118">
        <v>3.21</v>
      </c>
      <c r="AI56" s="118">
        <v>21.11</v>
      </c>
      <c r="AJ56" s="118">
        <v>0.68</v>
      </c>
      <c r="AK56" s="118">
        <v>0.36</v>
      </c>
      <c r="AL56" s="118">
        <v>23.77</v>
      </c>
      <c r="AM56" s="118">
        <v>0.17</v>
      </c>
      <c r="AN56" s="118">
        <v>47</v>
      </c>
      <c r="AO56" s="118">
        <v>177.69</v>
      </c>
      <c r="AP56" s="118"/>
      <c r="AQ56" s="118">
        <v>0.56999999999999995</v>
      </c>
      <c r="AR56" s="118">
        <v>7.0000000000000007E-2</v>
      </c>
      <c r="AS56" s="118">
        <v>0.02</v>
      </c>
      <c r="AT56" s="118">
        <v>0.15</v>
      </c>
      <c r="AU56" s="118"/>
      <c r="AV56" s="124">
        <v>2.93E-2</v>
      </c>
      <c r="AW56" s="124">
        <v>5.3719999999999997E-2</v>
      </c>
      <c r="AX56" s="124">
        <v>8.3030000000000007E-2</v>
      </c>
      <c r="AY56" s="124">
        <v>5.6390000000000003E-2</v>
      </c>
      <c r="AZ56" s="124">
        <v>1.214E-2</v>
      </c>
      <c r="BA56" s="124">
        <v>1.051E-2</v>
      </c>
      <c r="BB56" s="124">
        <v>6.9559999999999997E-2</v>
      </c>
      <c r="BC56" s="124">
        <v>4.3810000000000002E-2</v>
      </c>
      <c r="BD56" s="124">
        <v>1.184E-2</v>
      </c>
      <c r="BE56" s="124">
        <v>6.8080000000000002E-2</v>
      </c>
      <c r="BF56" s="124">
        <v>7.9480000000000009E-2</v>
      </c>
      <c r="BG56" s="124">
        <v>7.4299999999999991E-2</v>
      </c>
      <c r="BH56" s="124">
        <v>0.23694999999999999</v>
      </c>
      <c r="BI56" s="124">
        <v>0.30518000000000001</v>
      </c>
      <c r="BJ56" s="124">
        <v>6.0829999999999995E-2</v>
      </c>
      <c r="BK56" s="124">
        <v>5.2690000000000001E-2</v>
      </c>
      <c r="BL56" s="124">
        <v>5.654E-2</v>
      </c>
      <c r="BM56" s="124">
        <v>4.2180000000000002E-2</v>
      </c>
      <c r="BN56" s="118">
        <v>12.79</v>
      </c>
      <c r="BO56" s="118">
        <v>12.28</v>
      </c>
      <c r="BP56" s="118"/>
      <c r="BQ56" s="118">
        <v>6.9</v>
      </c>
      <c r="BR56" s="154" t="s">
        <v>85</v>
      </c>
      <c r="BS56" s="154" t="s">
        <v>85</v>
      </c>
      <c r="BT56" s="154" t="s">
        <v>85</v>
      </c>
      <c r="BU56" s="154">
        <v>37.54</v>
      </c>
      <c r="BV56" s="154" t="s">
        <v>85</v>
      </c>
      <c r="BW56" s="154">
        <v>21.45</v>
      </c>
      <c r="BX56" s="154" t="s">
        <v>85</v>
      </c>
      <c r="BY56" s="154" t="s">
        <v>85</v>
      </c>
      <c r="BZ56" s="154">
        <v>127</v>
      </c>
      <c r="CA56" s="154">
        <v>22.65</v>
      </c>
      <c r="CB56" s="154"/>
      <c r="CC56" s="154" t="s">
        <v>85</v>
      </c>
      <c r="CD56" s="154">
        <v>6.55</v>
      </c>
      <c r="CE56" s="154" t="s">
        <v>85</v>
      </c>
      <c r="CF56" s="154" t="s">
        <v>85</v>
      </c>
      <c r="CG56" s="205"/>
    </row>
    <row r="57" spans="1:85">
      <c r="A57" s="122">
        <v>25001</v>
      </c>
      <c r="B57" s="122" t="s">
        <v>300</v>
      </c>
      <c r="C57" s="122" t="s">
        <v>301</v>
      </c>
      <c r="D57" s="122" t="s">
        <v>302</v>
      </c>
      <c r="E57" s="122" t="s">
        <v>1172</v>
      </c>
      <c r="F57" s="122" t="s">
        <v>1173</v>
      </c>
      <c r="G57" s="163" t="s">
        <v>1174</v>
      </c>
      <c r="H57" s="122">
        <v>11</v>
      </c>
      <c r="I57" s="122" t="s">
        <v>295</v>
      </c>
      <c r="J57" s="118">
        <v>21</v>
      </c>
      <c r="K57" s="118">
        <v>95.27</v>
      </c>
      <c r="L57" s="118">
        <v>0.7</v>
      </c>
      <c r="M57" s="118">
        <v>0.1</v>
      </c>
      <c r="N57" s="118">
        <v>3.6</v>
      </c>
      <c r="O57" s="118">
        <v>1.4</v>
      </c>
      <c r="P57" s="118">
        <v>0.16</v>
      </c>
      <c r="Q57" s="118">
        <v>0.02</v>
      </c>
      <c r="R57" s="118">
        <v>0.2</v>
      </c>
      <c r="S57" s="118">
        <v>0.45</v>
      </c>
      <c r="T57" s="118">
        <v>0.06</v>
      </c>
      <c r="U57" s="118">
        <v>14</v>
      </c>
      <c r="V57" s="118">
        <v>0</v>
      </c>
      <c r="W57" s="118">
        <v>7.23</v>
      </c>
      <c r="X57" s="118">
        <v>1.26</v>
      </c>
      <c r="Y57" s="118">
        <v>0.02</v>
      </c>
      <c r="Z57" s="118">
        <v>8.1999999999999993</v>
      </c>
      <c r="AA57" s="118">
        <v>0</v>
      </c>
      <c r="AB57" s="118">
        <v>5</v>
      </c>
      <c r="AC57" s="118">
        <v>8</v>
      </c>
      <c r="AD57" s="118">
        <v>44</v>
      </c>
      <c r="AE57" s="118">
        <v>2.2200000000000002</v>
      </c>
      <c r="AF57" s="118"/>
      <c r="AG57" s="118"/>
      <c r="AH57" s="118"/>
      <c r="AI57" s="118">
        <v>13</v>
      </c>
      <c r="AJ57" s="118">
        <v>0.05</v>
      </c>
      <c r="AK57" s="118">
        <v>0.2</v>
      </c>
      <c r="AL57" s="118">
        <v>12</v>
      </c>
      <c r="AM57" s="118">
        <v>0.08</v>
      </c>
      <c r="AN57" s="118">
        <v>17</v>
      </c>
      <c r="AO57" s="118">
        <v>105</v>
      </c>
      <c r="AP57" s="118">
        <v>0.17</v>
      </c>
      <c r="AQ57" s="118">
        <v>0.18</v>
      </c>
      <c r="AR57" s="118">
        <v>0.06</v>
      </c>
      <c r="AS57" s="118">
        <v>0.01</v>
      </c>
      <c r="AT57" s="118">
        <v>7.0000000000000007E-2</v>
      </c>
      <c r="AU57" s="118"/>
      <c r="AV57" s="124">
        <v>1.3630000000000001E-2</v>
      </c>
      <c r="AW57" s="124">
        <v>2.9389999999999999E-2</v>
      </c>
      <c r="AX57" s="124">
        <v>4.9270000000000001E-2</v>
      </c>
      <c r="AY57" s="124">
        <v>2.2370000000000001E-2</v>
      </c>
      <c r="AZ57" s="124">
        <v>7.5300000000000002E-3</v>
      </c>
      <c r="BA57" s="124">
        <v>4.5399999999999998E-3</v>
      </c>
      <c r="BB57" s="124">
        <v>2.2510000000000002E-2</v>
      </c>
      <c r="BC57" s="124">
        <v>2.222E-2</v>
      </c>
      <c r="BD57" s="124">
        <v>1.9199999999999998E-3</v>
      </c>
      <c r="BE57" s="124">
        <v>4.3240000000000001E-2</v>
      </c>
      <c r="BF57" s="124">
        <v>5.0979999999999998E-2</v>
      </c>
      <c r="BG57" s="124">
        <v>3.1739999999999997E-2</v>
      </c>
      <c r="BH57" s="124">
        <v>4.9419999999999999E-2</v>
      </c>
      <c r="BI57" s="124">
        <v>0.16216</v>
      </c>
      <c r="BJ57" s="124">
        <v>3.1739999999999997E-2</v>
      </c>
      <c r="BK57" s="124">
        <v>2.3429999999999999E-2</v>
      </c>
      <c r="BL57" s="124">
        <v>2.691E-2</v>
      </c>
      <c r="BM57" s="124">
        <v>2.1160000000000002E-2</v>
      </c>
      <c r="BN57" s="118">
        <v>14.1</v>
      </c>
      <c r="BO57" s="118">
        <v>17.52</v>
      </c>
      <c r="BP57" s="118"/>
      <c r="BQ57" s="118">
        <v>6</v>
      </c>
      <c r="BR57" s="154" t="s">
        <v>85</v>
      </c>
      <c r="BS57" s="154" t="s">
        <v>85</v>
      </c>
      <c r="BT57" s="154">
        <v>0.86</v>
      </c>
      <c r="BU57" s="154">
        <v>50.34</v>
      </c>
      <c r="BV57" s="154" t="s">
        <v>85</v>
      </c>
      <c r="BW57" s="154">
        <v>8.58</v>
      </c>
      <c r="BX57" s="154" t="s">
        <v>85</v>
      </c>
      <c r="BY57" s="154" t="s">
        <v>85</v>
      </c>
      <c r="BZ57" s="154">
        <v>59.3</v>
      </c>
      <c r="CA57" s="154">
        <v>8.6300000000000008</v>
      </c>
      <c r="CB57" s="154"/>
      <c r="CC57" s="154" t="s">
        <v>85</v>
      </c>
      <c r="CD57" s="154">
        <v>8.8000000000000007</v>
      </c>
      <c r="CE57" s="154" t="s">
        <v>85</v>
      </c>
      <c r="CF57" s="154" t="s">
        <v>85</v>
      </c>
      <c r="CG57" s="205">
        <v>3</v>
      </c>
    </row>
    <row r="58" spans="1:85">
      <c r="A58" s="122">
        <v>25009</v>
      </c>
      <c r="B58" s="122" t="s">
        <v>304</v>
      </c>
      <c r="C58" s="122" t="s">
        <v>305</v>
      </c>
      <c r="D58" s="122" t="s">
        <v>306</v>
      </c>
      <c r="E58" s="122" t="s">
        <v>76</v>
      </c>
      <c r="F58" s="122" t="s">
        <v>1175</v>
      </c>
      <c r="G58" s="163" t="s">
        <v>1176</v>
      </c>
      <c r="H58" s="122">
        <v>11</v>
      </c>
      <c r="I58" s="122" t="s">
        <v>308</v>
      </c>
      <c r="J58" s="118">
        <v>18</v>
      </c>
      <c r="K58" s="118">
        <v>93.88</v>
      </c>
      <c r="L58" s="118">
        <v>1.4</v>
      </c>
      <c r="M58" s="118">
        <v>0.3</v>
      </c>
      <c r="N58" s="118">
        <v>1.32</v>
      </c>
      <c r="O58" s="118">
        <v>2.4</v>
      </c>
      <c r="P58" s="118">
        <v>7.0000000000000007E-2</v>
      </c>
      <c r="Q58" s="118">
        <v>0.06</v>
      </c>
      <c r="R58" s="118">
        <v>0.6</v>
      </c>
      <c r="S58" s="118">
        <v>0.18</v>
      </c>
      <c r="T58" s="118">
        <v>0.06</v>
      </c>
      <c r="U58" s="118">
        <v>16</v>
      </c>
      <c r="V58" s="118">
        <v>0</v>
      </c>
      <c r="W58" s="118">
        <v>21.06</v>
      </c>
      <c r="X58" s="118">
        <v>0.79</v>
      </c>
      <c r="Y58" s="118">
        <v>1.06</v>
      </c>
      <c r="Z58" s="118">
        <v>80.8</v>
      </c>
      <c r="AA58" s="118">
        <v>0</v>
      </c>
      <c r="AB58" s="118">
        <v>369.17</v>
      </c>
      <c r="AC58" s="118">
        <v>515</v>
      </c>
      <c r="AD58" s="118">
        <v>3100</v>
      </c>
      <c r="AE58" s="118">
        <v>161</v>
      </c>
      <c r="AF58" s="118"/>
      <c r="AG58" s="118"/>
      <c r="AH58" s="118">
        <v>34.909999999999997</v>
      </c>
      <c r="AI58" s="118">
        <v>51.82</v>
      </c>
      <c r="AJ58" s="118">
        <v>0.21</v>
      </c>
      <c r="AK58" s="118">
        <v>0.7</v>
      </c>
      <c r="AL58" s="118">
        <v>10</v>
      </c>
      <c r="AM58" s="118">
        <v>0.08</v>
      </c>
      <c r="AN58" s="118">
        <v>16</v>
      </c>
      <c r="AO58" s="118">
        <v>349</v>
      </c>
      <c r="AP58" s="118">
        <v>0.34</v>
      </c>
      <c r="AQ58" s="118">
        <v>0.11</v>
      </c>
      <c r="AR58" s="118">
        <v>0.04</v>
      </c>
      <c r="AS58" s="118">
        <v>0.02</v>
      </c>
      <c r="AT58" s="118">
        <v>0.06</v>
      </c>
      <c r="AU58" s="118"/>
      <c r="AV58" s="124">
        <v>1.4109999999999999E-2</v>
      </c>
      <c r="AW58" s="124">
        <v>4.2000000000000003E-2</v>
      </c>
      <c r="AX58" s="124">
        <v>4.4690000000000001E-2</v>
      </c>
      <c r="AY58" s="124">
        <v>2.6879999999999998E-2</v>
      </c>
      <c r="AZ58" s="124">
        <v>8.6499999999999997E-3</v>
      </c>
      <c r="BA58" s="124">
        <v>5.7099999999999998E-3</v>
      </c>
      <c r="BB58" s="124">
        <v>4.1239999999999999E-2</v>
      </c>
      <c r="BC58" s="124">
        <v>3.2340000000000001E-2</v>
      </c>
      <c r="BD58" s="124">
        <v>6.4700000000000001E-3</v>
      </c>
      <c r="BE58" s="124">
        <v>5.0819999999999997E-2</v>
      </c>
      <c r="BF58" s="124">
        <v>4.1659999999999996E-2</v>
      </c>
      <c r="BG58" s="124">
        <v>3.066E-2</v>
      </c>
      <c r="BH58" s="124">
        <v>0.10912000000000001</v>
      </c>
      <c r="BI58" s="124">
        <v>0.16447000000000001</v>
      </c>
      <c r="BJ58" s="124">
        <v>4.2419999999999999E-2</v>
      </c>
      <c r="BK58" s="124">
        <v>3.2509999999999997E-2</v>
      </c>
      <c r="BL58" s="124">
        <v>3.7130000000000003E-2</v>
      </c>
      <c r="BM58" s="124">
        <v>2.3940000000000003E-2</v>
      </c>
      <c r="BN58" s="118">
        <v>15.21</v>
      </c>
      <c r="BO58" s="118">
        <v>19.72</v>
      </c>
      <c r="BP58" s="118"/>
      <c r="BQ58" s="118"/>
      <c r="BR58" s="154" t="s">
        <v>85</v>
      </c>
      <c r="BS58" s="154" t="s">
        <v>85</v>
      </c>
      <c r="BT58" s="154">
        <v>1.1000000000000001</v>
      </c>
      <c r="BU58" s="154">
        <v>41.66</v>
      </c>
      <c r="BV58" s="154" t="s">
        <v>85</v>
      </c>
      <c r="BW58" s="154">
        <v>23.99</v>
      </c>
      <c r="BX58" s="154" t="s">
        <v>85</v>
      </c>
      <c r="BY58" s="154" t="s">
        <v>85</v>
      </c>
      <c r="BZ58" s="154">
        <v>38.94</v>
      </c>
      <c r="CA58" s="154">
        <v>26.57</v>
      </c>
      <c r="CB58" s="154"/>
      <c r="CC58" s="154" t="s">
        <v>85</v>
      </c>
      <c r="CD58" s="154">
        <v>6.35</v>
      </c>
      <c r="CE58" s="154" t="s">
        <v>85</v>
      </c>
      <c r="CF58" s="154" t="s">
        <v>85</v>
      </c>
      <c r="CG58" s="205"/>
    </row>
    <row r="59" spans="1:85">
      <c r="A59" s="122">
        <v>22001</v>
      </c>
      <c r="B59" s="122" t="s">
        <v>309</v>
      </c>
      <c r="C59" s="122" t="s">
        <v>310</v>
      </c>
      <c r="D59" s="122" t="s">
        <v>306</v>
      </c>
      <c r="E59" s="122" t="s">
        <v>76</v>
      </c>
      <c r="F59" s="122" t="s">
        <v>1177</v>
      </c>
      <c r="G59" s="163" t="s">
        <v>1178</v>
      </c>
      <c r="H59" s="122">
        <v>13</v>
      </c>
      <c r="I59" s="122" t="s">
        <v>308</v>
      </c>
      <c r="J59" s="118">
        <v>18</v>
      </c>
      <c r="K59" s="118">
        <v>93.88</v>
      </c>
      <c r="L59" s="118">
        <v>1.4</v>
      </c>
      <c r="M59" s="118">
        <v>0.3</v>
      </c>
      <c r="N59" s="118">
        <v>1.32</v>
      </c>
      <c r="O59" s="118">
        <v>2.4</v>
      </c>
      <c r="P59" s="118">
        <v>7.0000000000000007E-2</v>
      </c>
      <c r="Q59" s="118">
        <v>0.06</v>
      </c>
      <c r="R59" s="118">
        <v>0.6</v>
      </c>
      <c r="S59" s="118">
        <v>0.18</v>
      </c>
      <c r="T59" s="118">
        <v>0.06</v>
      </c>
      <c r="U59" s="118">
        <v>16</v>
      </c>
      <c r="V59" s="118">
        <v>0</v>
      </c>
      <c r="W59" s="118">
        <v>21.06</v>
      </c>
      <c r="X59" s="118">
        <v>0.79</v>
      </c>
      <c r="Y59" s="118">
        <v>1.06</v>
      </c>
      <c r="Z59" s="118">
        <v>83.7</v>
      </c>
      <c r="AA59" s="118">
        <v>0</v>
      </c>
      <c r="AB59" s="118">
        <v>369.17</v>
      </c>
      <c r="AC59" s="118">
        <v>515</v>
      </c>
      <c r="AD59" s="118">
        <v>3100</v>
      </c>
      <c r="AE59" s="118">
        <v>161</v>
      </c>
      <c r="AF59" s="118"/>
      <c r="AG59" s="118"/>
      <c r="AH59" s="118">
        <v>34.909999999999997</v>
      </c>
      <c r="AI59" s="118">
        <v>51.82</v>
      </c>
      <c r="AJ59" s="118">
        <v>0.21</v>
      </c>
      <c r="AK59" s="118">
        <v>0.7</v>
      </c>
      <c r="AL59" s="118">
        <v>10</v>
      </c>
      <c r="AM59" s="118">
        <v>7.0000000000000007E-2</v>
      </c>
      <c r="AN59" s="118">
        <v>16</v>
      </c>
      <c r="AO59" s="118">
        <v>349</v>
      </c>
      <c r="AP59" s="118">
        <v>0.37</v>
      </c>
      <c r="AQ59" s="118">
        <v>0.11</v>
      </c>
      <c r="AR59" s="118">
        <v>0.04</v>
      </c>
      <c r="AS59" s="118">
        <v>0.02</v>
      </c>
      <c r="AT59" s="118">
        <v>0.06</v>
      </c>
      <c r="AU59" s="118"/>
      <c r="AV59" s="124">
        <v>1.4109999999999999E-2</v>
      </c>
      <c r="AW59" s="124">
        <v>4.2000000000000003E-2</v>
      </c>
      <c r="AX59" s="124">
        <v>4.4690000000000001E-2</v>
      </c>
      <c r="AY59" s="124">
        <v>2.6879999999999998E-2</v>
      </c>
      <c r="AZ59" s="124">
        <v>8.6499999999999997E-3</v>
      </c>
      <c r="BA59" s="124">
        <v>5.7099999999999998E-3</v>
      </c>
      <c r="BB59" s="124">
        <v>4.1239999999999999E-2</v>
      </c>
      <c r="BC59" s="124">
        <v>3.2340000000000001E-2</v>
      </c>
      <c r="BD59" s="124">
        <v>6.4700000000000001E-3</v>
      </c>
      <c r="BE59" s="124">
        <v>5.0819999999999997E-2</v>
      </c>
      <c r="BF59" s="124">
        <v>4.1659999999999996E-2</v>
      </c>
      <c r="BG59" s="124">
        <v>3.066E-2</v>
      </c>
      <c r="BH59" s="124">
        <v>0.10912000000000001</v>
      </c>
      <c r="BI59" s="124">
        <v>0.16447000000000001</v>
      </c>
      <c r="BJ59" s="124">
        <v>4.2419999999999999E-2</v>
      </c>
      <c r="BK59" s="124">
        <v>3.2509999999999997E-2</v>
      </c>
      <c r="BL59" s="124">
        <v>3.7130000000000003E-2</v>
      </c>
      <c r="BM59" s="124">
        <v>2.3940000000000003E-2</v>
      </c>
      <c r="BN59" s="118">
        <v>15.25</v>
      </c>
      <c r="BO59" s="118">
        <v>19.72</v>
      </c>
      <c r="BP59" s="118"/>
      <c r="BQ59" s="118"/>
      <c r="BR59" s="154" t="s">
        <v>85</v>
      </c>
      <c r="BS59" s="154" t="s">
        <v>85</v>
      </c>
      <c r="BT59" s="154">
        <v>0.91</v>
      </c>
      <c r="BU59" s="154">
        <v>34.869999999999997</v>
      </c>
      <c r="BV59" s="154" t="s">
        <v>85</v>
      </c>
      <c r="BW59" s="154">
        <v>21.04</v>
      </c>
      <c r="BX59" s="154" t="s">
        <v>85</v>
      </c>
      <c r="BY59" s="154" t="s">
        <v>85</v>
      </c>
      <c r="BZ59" s="154">
        <v>36.17</v>
      </c>
      <c r="CA59" s="154">
        <v>26.57</v>
      </c>
      <c r="CB59" s="154"/>
      <c r="CC59" s="154" t="s">
        <v>85</v>
      </c>
      <c r="CD59" s="154">
        <v>30.02</v>
      </c>
      <c r="CE59" s="154" t="s">
        <v>85</v>
      </c>
      <c r="CF59" s="154" t="s">
        <v>85</v>
      </c>
      <c r="CG59" s="205"/>
    </row>
    <row r="60" spans="1:85">
      <c r="A60" s="122">
        <v>25010</v>
      </c>
      <c r="B60" s="122" t="s">
        <v>311</v>
      </c>
      <c r="C60" s="122" t="s">
        <v>312</v>
      </c>
      <c r="D60" s="127" t="s">
        <v>227</v>
      </c>
      <c r="E60" s="122" t="s">
        <v>76</v>
      </c>
      <c r="F60" s="122" t="s">
        <v>1179</v>
      </c>
      <c r="G60" s="163" t="s">
        <v>1180</v>
      </c>
      <c r="H60" s="122">
        <v>3</v>
      </c>
      <c r="I60" s="122" t="s">
        <v>295</v>
      </c>
      <c r="J60" s="118">
        <v>10</v>
      </c>
      <c r="K60" s="118">
        <v>96.5</v>
      </c>
      <c r="L60" s="118">
        <v>0.4</v>
      </c>
      <c r="M60" s="118">
        <v>0.1</v>
      </c>
      <c r="N60" s="118">
        <v>1</v>
      </c>
      <c r="O60" s="118">
        <v>1.7</v>
      </c>
      <c r="P60" s="118">
        <v>0.06</v>
      </c>
      <c r="Q60" s="118">
        <v>0.01</v>
      </c>
      <c r="R60" s="118">
        <v>0.3</v>
      </c>
      <c r="S60" s="118">
        <v>0.37</v>
      </c>
      <c r="T60" s="118">
        <v>0.04</v>
      </c>
      <c r="U60" s="118">
        <v>16.25</v>
      </c>
      <c r="V60" s="118">
        <v>0</v>
      </c>
      <c r="W60" s="118">
        <v>31</v>
      </c>
      <c r="X60" s="118">
        <v>0.6</v>
      </c>
      <c r="Y60" s="118">
        <v>0.02</v>
      </c>
      <c r="Z60" s="118">
        <v>27.15</v>
      </c>
      <c r="AA60" s="118">
        <v>0</v>
      </c>
      <c r="AB60" s="118">
        <v>0.25</v>
      </c>
      <c r="AC60" s="118">
        <v>0</v>
      </c>
      <c r="AD60" s="118">
        <v>3</v>
      </c>
      <c r="AE60" s="118">
        <v>18.29</v>
      </c>
      <c r="AF60" s="118"/>
      <c r="AG60" s="118"/>
      <c r="AH60" s="118">
        <v>5.76</v>
      </c>
      <c r="AI60" s="118">
        <v>30</v>
      </c>
      <c r="AJ60" s="118">
        <v>0.02</v>
      </c>
      <c r="AK60" s="118">
        <v>0.8</v>
      </c>
      <c r="AL60" s="118">
        <v>17.420000000000002</v>
      </c>
      <c r="AM60" s="118">
        <v>0.09</v>
      </c>
      <c r="AN60" s="118">
        <v>14</v>
      </c>
      <c r="AO60" s="118">
        <v>139</v>
      </c>
      <c r="AP60" s="118">
        <v>1.1499999999999999</v>
      </c>
      <c r="AQ60" s="118">
        <v>0.1</v>
      </c>
      <c r="AR60" s="118">
        <v>0.03</v>
      </c>
      <c r="AS60" s="118">
        <v>0.01</v>
      </c>
      <c r="AT60" s="118">
        <v>0.08</v>
      </c>
      <c r="AU60" s="118"/>
      <c r="AV60" s="124">
        <v>2.0379999999999999E-2</v>
      </c>
      <c r="AW60" s="124">
        <v>3.4049999999999997E-2</v>
      </c>
      <c r="AX60" s="124">
        <v>4.4789999999999996E-2</v>
      </c>
      <c r="AY60" s="124">
        <v>2.6780000000000002E-2</v>
      </c>
      <c r="AZ60" s="124">
        <v>1.2320000000000001E-2</v>
      </c>
      <c r="BA60" s="124">
        <v>6.5599999999999999E-3</v>
      </c>
      <c r="BB60" s="124">
        <v>2.5440000000000001E-2</v>
      </c>
      <c r="BC60" s="124">
        <v>2.8840000000000001E-2</v>
      </c>
      <c r="BD60" s="124">
        <v>5.6900000000000006E-3</v>
      </c>
      <c r="BE60" s="124">
        <v>4.0369999999999996E-2</v>
      </c>
      <c r="BF60" s="124">
        <v>4.471E-2</v>
      </c>
      <c r="BG60" s="124">
        <v>6.1859999999999998E-2</v>
      </c>
      <c r="BH60" s="124">
        <v>8.4290000000000004E-2</v>
      </c>
      <c r="BI60" s="124">
        <v>0.14180999999999999</v>
      </c>
      <c r="BJ60" s="124">
        <v>4.4159999999999998E-2</v>
      </c>
      <c r="BK60" s="124">
        <v>3.1519999999999999E-2</v>
      </c>
      <c r="BL60" s="124">
        <v>3.2070000000000001E-2</v>
      </c>
      <c r="BM60" s="124">
        <v>2.2749999999999999E-2</v>
      </c>
      <c r="BN60" s="118">
        <v>10.47</v>
      </c>
      <c r="BO60" s="118">
        <v>14.6</v>
      </c>
      <c r="BP60" s="118"/>
      <c r="BQ60" s="118"/>
      <c r="BR60" s="154" t="s">
        <v>85</v>
      </c>
      <c r="BS60" s="154" t="s">
        <v>85</v>
      </c>
      <c r="BT60" s="154">
        <v>0.8</v>
      </c>
      <c r="BU60" s="154">
        <v>17.899999999999999</v>
      </c>
      <c r="BV60" s="154" t="s">
        <v>85</v>
      </c>
      <c r="BW60" s="154">
        <v>6.57</v>
      </c>
      <c r="BX60" s="154" t="s">
        <v>85</v>
      </c>
      <c r="BY60" s="154" t="s">
        <v>85</v>
      </c>
      <c r="BZ60" s="154">
        <v>74.89</v>
      </c>
      <c r="CA60" s="154">
        <v>1.58</v>
      </c>
      <c r="CB60" s="154"/>
      <c r="CC60" s="154" t="s">
        <v>85</v>
      </c>
      <c r="CD60" s="154">
        <v>1.84</v>
      </c>
      <c r="CE60" s="154" t="s">
        <v>85</v>
      </c>
      <c r="CF60" s="154" t="s">
        <v>85</v>
      </c>
      <c r="CG60" s="205"/>
    </row>
    <row r="61" spans="1:85">
      <c r="A61" s="122">
        <v>13006</v>
      </c>
      <c r="B61" s="122" t="s">
        <v>314</v>
      </c>
      <c r="C61" s="122" t="s">
        <v>315</v>
      </c>
      <c r="D61" s="122" t="s">
        <v>316</v>
      </c>
      <c r="E61" s="122" t="s">
        <v>76</v>
      </c>
      <c r="F61" s="122" t="s">
        <v>1181</v>
      </c>
      <c r="G61" s="163" t="s">
        <v>1182</v>
      </c>
      <c r="H61" s="122">
        <v>13</v>
      </c>
      <c r="I61" s="128" t="s">
        <v>72</v>
      </c>
      <c r="J61" s="118">
        <v>424</v>
      </c>
      <c r="K61" s="118">
        <v>9.25</v>
      </c>
      <c r="L61" s="118">
        <v>32.94</v>
      </c>
      <c r="M61" s="118">
        <v>19.940000000000001</v>
      </c>
      <c r="N61" s="118">
        <v>23.62</v>
      </c>
      <c r="O61" s="118">
        <v>9.3000000000000007</v>
      </c>
      <c r="P61" s="118">
        <v>0.73</v>
      </c>
      <c r="Q61" s="118">
        <v>0.5</v>
      </c>
      <c r="R61" s="118">
        <v>2.2000000000000002</v>
      </c>
      <c r="S61" s="118">
        <v>1.97</v>
      </c>
      <c r="T61" s="118">
        <v>0.42</v>
      </c>
      <c r="U61" s="118">
        <v>100</v>
      </c>
      <c r="V61" s="118">
        <v>0</v>
      </c>
      <c r="W61" s="118"/>
      <c r="X61" s="118">
        <v>68.02</v>
      </c>
      <c r="Y61" s="118">
        <v>2.9</v>
      </c>
      <c r="Z61" s="118">
        <v>45.8</v>
      </c>
      <c r="AA61" s="118">
        <v>0</v>
      </c>
      <c r="AB61" s="118">
        <v>1.08</v>
      </c>
      <c r="AC61" s="118">
        <v>0</v>
      </c>
      <c r="AD61" s="118">
        <v>13</v>
      </c>
      <c r="AE61" s="118"/>
      <c r="AF61" s="118"/>
      <c r="AG61" s="118"/>
      <c r="AH61" s="118"/>
      <c r="AI61" s="118">
        <v>240.57</v>
      </c>
      <c r="AJ61" s="118">
        <v>1.25</v>
      </c>
      <c r="AK61" s="118">
        <v>11.34</v>
      </c>
      <c r="AL61" s="118">
        <v>207</v>
      </c>
      <c r="AM61" s="118">
        <v>2.69</v>
      </c>
      <c r="AN61" s="118">
        <v>691.13</v>
      </c>
      <c r="AO61" s="118">
        <v>1530</v>
      </c>
      <c r="AP61" s="118">
        <v>19</v>
      </c>
      <c r="AQ61" s="118">
        <v>5.7</v>
      </c>
      <c r="AR61" s="118">
        <v>3.05</v>
      </c>
      <c r="AS61" s="118">
        <v>4.6900000000000004</v>
      </c>
      <c r="AT61" s="118">
        <v>11.18</v>
      </c>
      <c r="AU61" s="118"/>
      <c r="AV61" s="124">
        <v>0.93700000000000006</v>
      </c>
      <c r="AW61" s="124">
        <v>1.6479999999999999</v>
      </c>
      <c r="AX61" s="124">
        <v>2.8839999999999999</v>
      </c>
      <c r="AY61" s="124">
        <v>2.3690000000000002</v>
      </c>
      <c r="AZ61" s="124">
        <v>0.46300000000000002</v>
      </c>
      <c r="BA61" s="124">
        <v>0.49399999999999999</v>
      </c>
      <c r="BB61" s="124">
        <v>1.8540000000000001</v>
      </c>
      <c r="BC61" s="124">
        <v>1.4419999999999999</v>
      </c>
      <c r="BD61" s="124">
        <v>0.47399999999999998</v>
      </c>
      <c r="BE61" s="124">
        <v>1.7509999999999999</v>
      </c>
      <c r="BF61" s="124">
        <v>1.5449999999999999</v>
      </c>
      <c r="BG61" s="124">
        <v>2.6779999999999999</v>
      </c>
      <c r="BH61" s="124">
        <v>4.3250000000000002</v>
      </c>
      <c r="BI61" s="124">
        <v>6.9</v>
      </c>
      <c r="BJ61" s="124">
        <v>1.5449999999999999</v>
      </c>
      <c r="BK61" s="124">
        <v>2.06</v>
      </c>
      <c r="BL61" s="124">
        <v>1.8540000000000001</v>
      </c>
      <c r="BM61" s="124">
        <v>0.53300000000000003</v>
      </c>
      <c r="BN61" s="118">
        <v>106</v>
      </c>
      <c r="BO61" s="118" t="s">
        <v>318</v>
      </c>
      <c r="BP61" s="118"/>
      <c r="BQ61" s="118"/>
      <c r="BR61" s="154" t="s">
        <v>85</v>
      </c>
      <c r="BS61" s="154" t="s">
        <v>85</v>
      </c>
      <c r="BT61" s="154" t="s">
        <v>85</v>
      </c>
      <c r="BU61" s="154">
        <v>2381</v>
      </c>
      <c r="BV61" s="154" t="s">
        <v>85</v>
      </c>
      <c r="BW61" s="154">
        <v>4499</v>
      </c>
      <c r="BX61" s="154">
        <v>35.99</v>
      </c>
      <c r="BY61" s="154" t="s">
        <v>85</v>
      </c>
      <c r="BZ61" s="154">
        <v>9969</v>
      </c>
      <c r="CA61" s="154">
        <v>1310</v>
      </c>
      <c r="CB61" s="154"/>
      <c r="CC61" s="154" t="s">
        <v>85</v>
      </c>
      <c r="CD61" s="154">
        <v>566</v>
      </c>
      <c r="CE61" s="154" t="s">
        <v>85</v>
      </c>
      <c r="CF61" s="154" t="s">
        <v>85</v>
      </c>
      <c r="CG61" s="205"/>
    </row>
    <row r="62" spans="1:85">
      <c r="A62" s="122">
        <v>25011</v>
      </c>
      <c r="B62" s="122" t="s">
        <v>319</v>
      </c>
      <c r="C62" s="122" t="s">
        <v>320</v>
      </c>
      <c r="D62" s="122" t="s">
        <v>321</v>
      </c>
      <c r="E62" s="122" t="s">
        <v>1115</v>
      </c>
      <c r="F62" s="122" t="s">
        <v>1183</v>
      </c>
      <c r="G62" s="163" t="s">
        <v>1184</v>
      </c>
      <c r="H62" s="122">
        <v>13</v>
      </c>
      <c r="I62" s="128" t="s">
        <v>295</v>
      </c>
      <c r="J62" s="118">
        <v>39</v>
      </c>
      <c r="K62" s="118">
        <v>87.74</v>
      </c>
      <c r="L62" s="118">
        <v>2.11</v>
      </c>
      <c r="M62" s="118">
        <v>0.16</v>
      </c>
      <c r="N62" s="118">
        <v>5.73</v>
      </c>
      <c r="O62" s="118">
        <v>3.1</v>
      </c>
      <c r="P62" s="118">
        <v>0.04</v>
      </c>
      <c r="Q62" s="118">
        <v>0.16</v>
      </c>
      <c r="R62" s="118">
        <v>1</v>
      </c>
      <c r="S62" s="118">
        <v>0.28000000000000003</v>
      </c>
      <c r="T62" s="118">
        <v>0.22</v>
      </c>
      <c r="U62" s="118">
        <v>60</v>
      </c>
      <c r="V62" s="118">
        <v>0</v>
      </c>
      <c r="W62" s="118">
        <v>17.489999999999998</v>
      </c>
      <c r="X62" s="118">
        <v>7.46</v>
      </c>
      <c r="Y62" s="118">
        <v>0.27</v>
      </c>
      <c r="Z62" s="118">
        <v>21.52</v>
      </c>
      <c r="AA62" s="118">
        <v>0</v>
      </c>
      <c r="AB62" s="118">
        <v>18.899999999999999</v>
      </c>
      <c r="AC62" s="118">
        <v>30</v>
      </c>
      <c r="AD62" s="118">
        <v>211.82</v>
      </c>
      <c r="AE62" s="118">
        <v>798</v>
      </c>
      <c r="AF62" s="118"/>
      <c r="AG62" s="118"/>
      <c r="AH62" s="118">
        <v>3.53</v>
      </c>
      <c r="AI62" s="118">
        <v>92.65</v>
      </c>
      <c r="AJ62" s="118">
        <v>0.08</v>
      </c>
      <c r="AK62" s="118">
        <v>0.9</v>
      </c>
      <c r="AL62" s="118">
        <v>19.670000000000002</v>
      </c>
      <c r="AM62" s="118">
        <v>0.3</v>
      </c>
      <c r="AN62" s="118">
        <v>27.84</v>
      </c>
      <c r="AO62" s="118">
        <v>178.17</v>
      </c>
      <c r="AP62" s="118"/>
      <c r="AQ62" s="118">
        <v>0.34</v>
      </c>
      <c r="AR62" s="118">
        <v>7.0000000000000007E-2</v>
      </c>
      <c r="AS62" s="118">
        <v>0.01</v>
      </c>
      <c r="AT62" s="118">
        <v>0.11</v>
      </c>
      <c r="AU62" s="118"/>
      <c r="AV62" s="124">
        <v>5.0340000000000003E-2</v>
      </c>
      <c r="AW62" s="124">
        <v>6.7810000000000009E-2</v>
      </c>
      <c r="AX62" s="124">
        <v>0.10482999999999999</v>
      </c>
      <c r="AY62" s="124">
        <v>7.8829999999999997E-2</v>
      </c>
      <c r="AZ62" s="124">
        <v>1.685E-2</v>
      </c>
      <c r="BA62" s="124">
        <v>1.1859999999999999E-2</v>
      </c>
      <c r="BB62" s="124">
        <v>7.1550000000000002E-2</v>
      </c>
      <c r="BC62" s="124">
        <v>7.8E-2</v>
      </c>
      <c r="BD62" s="124">
        <v>1.0189999999999999E-2</v>
      </c>
      <c r="BE62" s="124">
        <v>9.2769999999999991E-2</v>
      </c>
      <c r="BF62" s="124">
        <v>0.11170000000000001</v>
      </c>
      <c r="BG62" s="124">
        <v>0.12376000000000001</v>
      </c>
      <c r="BH62" s="124">
        <v>0.32177999999999995</v>
      </c>
      <c r="BI62" s="124">
        <v>0.34736</v>
      </c>
      <c r="BJ62" s="124">
        <v>8.2159999999999997E-2</v>
      </c>
      <c r="BK62" s="124">
        <v>7.0510000000000003E-2</v>
      </c>
      <c r="BL62" s="124">
        <v>7.467E-2</v>
      </c>
      <c r="BM62" s="124">
        <v>4.4719999999999996E-2</v>
      </c>
      <c r="BN62" s="118">
        <v>32.51</v>
      </c>
      <c r="BO62" s="118">
        <v>3.63</v>
      </c>
      <c r="BP62" s="118"/>
      <c r="BQ62" s="118">
        <v>13.2</v>
      </c>
      <c r="BR62" s="154" t="s">
        <v>85</v>
      </c>
      <c r="BS62" s="154" t="s">
        <v>85</v>
      </c>
      <c r="BT62" s="154">
        <v>1.5</v>
      </c>
      <c r="BU62" s="154">
        <v>54.61</v>
      </c>
      <c r="BV62" s="154" t="s">
        <v>85</v>
      </c>
      <c r="BW62" s="154">
        <v>7.22</v>
      </c>
      <c r="BX62" s="154" t="s">
        <v>85</v>
      </c>
      <c r="BY62" s="154" t="s">
        <v>85</v>
      </c>
      <c r="BZ62" s="154">
        <v>76.819999999999993</v>
      </c>
      <c r="CA62" s="154">
        <v>32.380000000000003</v>
      </c>
      <c r="CB62" s="154"/>
      <c r="CC62" s="154" t="s">
        <v>85</v>
      </c>
      <c r="CD62" s="154">
        <v>1.3</v>
      </c>
      <c r="CE62" s="154" t="s">
        <v>85</v>
      </c>
      <c r="CF62" s="154" t="s">
        <v>85</v>
      </c>
      <c r="CG62" s="205"/>
    </row>
    <row r="63" spans="1:85">
      <c r="A63" s="122">
        <v>25012</v>
      </c>
      <c r="B63" s="122" t="s">
        <v>323</v>
      </c>
      <c r="C63" s="122" t="s">
        <v>324</v>
      </c>
      <c r="D63" s="122" t="s">
        <v>325</v>
      </c>
      <c r="E63" s="122" t="s">
        <v>76</v>
      </c>
      <c r="F63" s="122" t="s">
        <v>1185</v>
      </c>
      <c r="G63" s="163" t="s">
        <v>1186</v>
      </c>
      <c r="H63" s="122">
        <v>13</v>
      </c>
      <c r="I63" s="128" t="s">
        <v>295</v>
      </c>
      <c r="J63" s="118">
        <v>24</v>
      </c>
      <c r="K63" s="118">
        <v>92.65</v>
      </c>
      <c r="L63" s="118">
        <v>2.04</v>
      </c>
      <c r="M63" s="118">
        <v>0.32</v>
      </c>
      <c r="N63" s="118">
        <v>2.23</v>
      </c>
      <c r="O63" s="118">
        <v>2.2000000000000002</v>
      </c>
      <c r="P63" s="118">
        <v>0.17</v>
      </c>
      <c r="Q63" s="118">
        <v>0.03</v>
      </c>
      <c r="R63" s="118">
        <v>0.8</v>
      </c>
      <c r="S63" s="118">
        <v>0.25</v>
      </c>
      <c r="T63" s="118">
        <v>0.04</v>
      </c>
      <c r="U63" s="118">
        <v>16.25</v>
      </c>
      <c r="V63" s="118">
        <v>0</v>
      </c>
      <c r="W63" s="118">
        <v>19.45</v>
      </c>
      <c r="X63" s="118">
        <v>0.69</v>
      </c>
      <c r="Y63" s="118">
        <v>0.04</v>
      </c>
      <c r="Z63" s="118">
        <v>8.3699999999999992</v>
      </c>
      <c r="AA63" s="118">
        <v>0</v>
      </c>
      <c r="AB63" s="118">
        <v>5.38</v>
      </c>
      <c r="AC63" s="118"/>
      <c r="AD63" s="118">
        <v>64.55</v>
      </c>
      <c r="AE63" s="118">
        <v>322</v>
      </c>
      <c r="AF63" s="118"/>
      <c r="AG63" s="118"/>
      <c r="AH63" s="118">
        <v>10.77</v>
      </c>
      <c r="AI63" s="118">
        <v>15.89</v>
      </c>
      <c r="AJ63" s="118">
        <v>0.17</v>
      </c>
      <c r="AK63" s="118">
        <v>1.7</v>
      </c>
      <c r="AL63" s="118">
        <v>15</v>
      </c>
      <c r="AM63" s="118">
        <v>0.13</v>
      </c>
      <c r="AN63" s="118">
        <v>17.61</v>
      </c>
      <c r="AO63" s="118">
        <v>147.88999999999999</v>
      </c>
      <c r="AP63" s="118">
        <v>2.3199999999999998</v>
      </c>
      <c r="AQ63" s="118">
        <v>0.4</v>
      </c>
      <c r="AR63" s="118">
        <v>0.1</v>
      </c>
      <c r="AS63" s="118">
        <v>0.01</v>
      </c>
      <c r="AT63" s="118">
        <v>0.11</v>
      </c>
      <c r="AU63" s="118"/>
      <c r="AV63" s="124">
        <v>2.4500000000000001E-2</v>
      </c>
      <c r="AW63" s="124">
        <v>6.1740000000000003E-2</v>
      </c>
      <c r="AX63" s="124">
        <v>0.10108</v>
      </c>
      <c r="AY63" s="124">
        <v>8.2459999999999992E-2</v>
      </c>
      <c r="AZ63" s="124">
        <v>1.8620000000000001E-2</v>
      </c>
      <c r="BA63" s="124">
        <v>1.2039999999999999E-2</v>
      </c>
      <c r="BB63" s="124">
        <v>5.4039999999999998E-2</v>
      </c>
      <c r="BC63" s="124">
        <v>5.348E-2</v>
      </c>
      <c r="BD63" s="124">
        <v>8.26E-3</v>
      </c>
      <c r="BE63" s="124">
        <v>8.3299999999999999E-2</v>
      </c>
      <c r="BF63" s="124">
        <v>9.2540000000000011E-2</v>
      </c>
      <c r="BG63" s="124">
        <v>8.3580000000000002E-2</v>
      </c>
      <c r="BH63" s="124">
        <v>0.13440000000000002</v>
      </c>
      <c r="BI63" s="124">
        <v>0.27201999999999998</v>
      </c>
      <c r="BJ63" s="124">
        <v>8.6940000000000003E-2</v>
      </c>
      <c r="BK63" s="124">
        <v>7.392E-2</v>
      </c>
      <c r="BL63" s="124">
        <v>6.7060000000000008E-2</v>
      </c>
      <c r="BM63" s="124">
        <v>4.1439999999999998E-2</v>
      </c>
      <c r="BN63" s="118">
        <v>12.14</v>
      </c>
      <c r="BO63" s="118">
        <v>29.1</v>
      </c>
      <c r="BP63" s="118"/>
      <c r="BQ63" s="118"/>
      <c r="BR63" s="154" t="s">
        <v>85</v>
      </c>
      <c r="BS63" s="154" t="s">
        <v>85</v>
      </c>
      <c r="BT63" s="154">
        <v>2.96</v>
      </c>
      <c r="BU63" s="154">
        <v>72.84</v>
      </c>
      <c r="BV63" s="154" t="s">
        <v>85</v>
      </c>
      <c r="BW63" s="154">
        <v>13.19</v>
      </c>
      <c r="BX63" s="154" t="s">
        <v>85</v>
      </c>
      <c r="BY63" s="154" t="s">
        <v>85</v>
      </c>
      <c r="BZ63" s="154">
        <v>91.87</v>
      </c>
      <c r="CA63" s="154">
        <v>20.350000000000001</v>
      </c>
      <c r="CB63" s="154"/>
      <c r="CC63" s="154" t="s">
        <v>85</v>
      </c>
      <c r="CD63" s="154">
        <v>3.13</v>
      </c>
      <c r="CE63" s="154" t="s">
        <v>85</v>
      </c>
      <c r="CF63" s="154" t="s">
        <v>85</v>
      </c>
      <c r="CG63" s="205"/>
    </row>
    <row r="64" spans="1:85">
      <c r="A64" s="122">
        <v>25013</v>
      </c>
      <c r="B64" s="122" t="s">
        <v>327</v>
      </c>
      <c r="C64" s="122" t="s">
        <v>328</v>
      </c>
      <c r="D64" s="122" t="s">
        <v>227</v>
      </c>
      <c r="E64" s="122" t="s">
        <v>76</v>
      </c>
      <c r="F64" s="122" t="s">
        <v>1187</v>
      </c>
      <c r="G64" s="163" t="s">
        <v>1188</v>
      </c>
      <c r="H64" s="122">
        <v>13</v>
      </c>
      <c r="I64" s="128" t="s">
        <v>295</v>
      </c>
      <c r="J64" s="118">
        <v>18</v>
      </c>
      <c r="K64" s="118">
        <v>93.5</v>
      </c>
      <c r="L64" s="118">
        <v>1.2</v>
      </c>
      <c r="M64" s="118">
        <v>7.0000000000000007E-2</v>
      </c>
      <c r="N64" s="118">
        <v>2.1</v>
      </c>
      <c r="O64" s="118">
        <v>2.1</v>
      </c>
      <c r="P64" s="118">
        <v>0.01</v>
      </c>
      <c r="Q64" s="118">
        <v>0.02</v>
      </c>
      <c r="R64" s="118">
        <v>0.14000000000000001</v>
      </c>
      <c r="S64" s="118">
        <v>0.55000000000000004</v>
      </c>
      <c r="T64" s="118">
        <v>0.02</v>
      </c>
      <c r="U64" s="118">
        <v>46</v>
      </c>
      <c r="V64" s="118">
        <v>0</v>
      </c>
      <c r="W64" s="118">
        <v>7.67</v>
      </c>
      <c r="X64" s="118">
        <v>0.84</v>
      </c>
      <c r="Y64" s="118">
        <v>0.02</v>
      </c>
      <c r="Z64" s="118">
        <v>2.1</v>
      </c>
      <c r="AA64" s="118">
        <v>0</v>
      </c>
      <c r="AB64" s="118">
        <v>4</v>
      </c>
      <c r="AC64" s="118">
        <v>0</v>
      </c>
      <c r="AD64" s="118">
        <v>45.3</v>
      </c>
      <c r="AE64" s="118"/>
      <c r="AF64" s="118"/>
      <c r="AG64" s="118"/>
      <c r="AH64" s="118"/>
      <c r="AI64" s="118">
        <v>26</v>
      </c>
      <c r="AJ64" s="118">
        <v>0.06</v>
      </c>
      <c r="AK64" s="118">
        <v>0.7</v>
      </c>
      <c r="AL64" s="118">
        <v>12</v>
      </c>
      <c r="AM64" s="118">
        <v>0.13</v>
      </c>
      <c r="AN64" s="118">
        <v>20</v>
      </c>
      <c r="AO64" s="118">
        <v>137</v>
      </c>
      <c r="AP64" s="118">
        <v>1.77</v>
      </c>
      <c r="AQ64" s="118">
        <v>0.56000000000000005</v>
      </c>
      <c r="AR64" s="118">
        <v>0.41</v>
      </c>
      <c r="AS64" s="118">
        <v>0</v>
      </c>
      <c r="AT64" s="118">
        <v>0.06</v>
      </c>
      <c r="AU64" s="118"/>
      <c r="AV64" s="124">
        <v>8.6400000000000001E-3</v>
      </c>
      <c r="AW64" s="124">
        <v>2.3899999999999998E-2</v>
      </c>
      <c r="AX64" s="124">
        <v>3.7149999999999996E-2</v>
      </c>
      <c r="AY64" s="124">
        <v>2.3089999999999999E-2</v>
      </c>
      <c r="AZ64" s="124">
        <v>4.5100000000000001E-3</v>
      </c>
      <c r="BA64" s="124">
        <v>2.7400000000000002E-3</v>
      </c>
      <c r="BB64" s="124">
        <v>1.7899999999999999E-2</v>
      </c>
      <c r="BC64" s="124">
        <v>2.0059999999999998E-2</v>
      </c>
      <c r="BD64" s="124">
        <v>7.6799999999999993E-3</v>
      </c>
      <c r="BE64" s="124">
        <v>3.1579999999999997E-2</v>
      </c>
      <c r="BF64" s="124">
        <v>3.4459999999999998E-2</v>
      </c>
      <c r="BG64" s="124">
        <v>2.8559999999999999E-2</v>
      </c>
      <c r="BH64" s="124">
        <v>4.3920000000000001E-2</v>
      </c>
      <c r="BI64" s="124">
        <v>8.2900000000000001E-2</v>
      </c>
      <c r="BJ64" s="124">
        <v>2.4379999999999999E-2</v>
      </c>
      <c r="BK64" s="124">
        <v>2.2269999999999998E-2</v>
      </c>
      <c r="BL64" s="124">
        <v>2.3329999999999997E-2</v>
      </c>
      <c r="BM64" s="124">
        <v>1.478E-2</v>
      </c>
      <c r="BN64" s="118">
        <v>34.76</v>
      </c>
      <c r="BO64" s="118">
        <v>33.15</v>
      </c>
      <c r="BP64" s="118"/>
      <c r="BQ64" s="118"/>
      <c r="BR64" s="154" t="s">
        <v>85</v>
      </c>
      <c r="BS64" s="154" t="s">
        <v>85</v>
      </c>
      <c r="BT64" s="154">
        <v>1.32</v>
      </c>
      <c r="BU64" s="154">
        <v>31.3</v>
      </c>
      <c r="BV64" s="154" t="s">
        <v>85</v>
      </c>
      <c r="BW64" s="154">
        <v>3.54</v>
      </c>
      <c r="BX64" s="154" t="s">
        <v>85</v>
      </c>
      <c r="BY64" s="154" t="s">
        <v>85</v>
      </c>
      <c r="BZ64" s="154">
        <v>40.31</v>
      </c>
      <c r="CA64" s="154">
        <v>24.63</v>
      </c>
      <c r="CB64" s="154"/>
      <c r="CC64" s="154" t="s">
        <v>85</v>
      </c>
      <c r="CD64" s="154">
        <v>4.54</v>
      </c>
      <c r="CE64" s="154" t="s">
        <v>85</v>
      </c>
      <c r="CF64" s="154" t="s">
        <v>85</v>
      </c>
      <c r="CG64" s="205"/>
    </row>
    <row r="65" spans="1:85">
      <c r="A65" s="122">
        <v>25014</v>
      </c>
      <c r="B65" s="122" t="s">
        <v>330</v>
      </c>
      <c r="C65" s="122" t="s">
        <v>331</v>
      </c>
      <c r="D65" s="122" t="s">
        <v>332</v>
      </c>
      <c r="E65" s="122" t="s">
        <v>76</v>
      </c>
      <c r="F65" s="122" t="s">
        <v>1189</v>
      </c>
      <c r="G65" s="163" t="s">
        <v>1190</v>
      </c>
      <c r="H65" s="122">
        <v>14</v>
      </c>
      <c r="I65" s="128" t="s">
        <v>295</v>
      </c>
      <c r="J65" s="118">
        <v>24</v>
      </c>
      <c r="K65" s="118">
        <v>92.88</v>
      </c>
      <c r="L65" s="118">
        <v>0.89</v>
      </c>
      <c r="M65" s="118">
        <v>0.15</v>
      </c>
      <c r="N65" s="118">
        <v>4.28</v>
      </c>
      <c r="O65" s="118">
        <v>1.1000000000000001</v>
      </c>
      <c r="P65" s="118">
        <v>0.03</v>
      </c>
      <c r="Q65" s="118">
        <v>0.01</v>
      </c>
      <c r="R65" s="118">
        <v>0.2</v>
      </c>
      <c r="S65" s="118"/>
      <c r="T65" s="118">
        <v>0.04</v>
      </c>
      <c r="U65" s="118">
        <v>7</v>
      </c>
      <c r="V65" s="118"/>
      <c r="W65" s="118">
        <v>6.2</v>
      </c>
      <c r="X65" s="118">
        <v>0</v>
      </c>
      <c r="Y65" s="118">
        <v>0.1</v>
      </c>
      <c r="Z65" s="118">
        <v>11.57</v>
      </c>
      <c r="AA65" s="118">
        <v>0</v>
      </c>
      <c r="AB65" s="118"/>
      <c r="AC65" s="118"/>
      <c r="AD65" s="118"/>
      <c r="AE65" s="118"/>
      <c r="AF65" s="118"/>
      <c r="AG65" s="118"/>
      <c r="AH65" s="118"/>
      <c r="AI65" s="118">
        <v>19.149999999999999</v>
      </c>
      <c r="AJ65" s="118">
        <v>0.23</v>
      </c>
      <c r="AK65" s="118">
        <v>0.6</v>
      </c>
      <c r="AL65" s="118">
        <v>14</v>
      </c>
      <c r="AM65" s="118">
        <v>0.15</v>
      </c>
      <c r="AN65" s="118">
        <v>32</v>
      </c>
      <c r="AO65" s="118">
        <v>139</v>
      </c>
      <c r="AP65" s="118"/>
      <c r="AQ65" s="118">
        <v>0.5</v>
      </c>
      <c r="AR65" s="118"/>
      <c r="AS65" s="118"/>
      <c r="AT65" s="118"/>
      <c r="AU65" s="118"/>
      <c r="AV65" s="124"/>
      <c r="AW65" s="124"/>
      <c r="AX65" s="124"/>
      <c r="AY65" s="124"/>
      <c r="AZ65" s="124"/>
      <c r="BA65" s="124"/>
      <c r="BB65" s="124"/>
      <c r="BC65" s="124"/>
      <c r="BD65" s="124"/>
      <c r="BE65" s="124"/>
      <c r="BF65" s="124"/>
      <c r="BG65" s="124"/>
      <c r="BH65" s="124"/>
      <c r="BI65" s="124"/>
      <c r="BJ65" s="124"/>
      <c r="BK65" s="124"/>
      <c r="BL65" s="124"/>
      <c r="BM65" s="124"/>
      <c r="BN65" s="118">
        <v>11.3</v>
      </c>
      <c r="BO65" s="118"/>
      <c r="BP65" s="118"/>
      <c r="BQ65" s="118"/>
      <c r="BR65" s="154" t="s">
        <v>85</v>
      </c>
      <c r="BS65" s="154" t="s">
        <v>85</v>
      </c>
      <c r="BT65" s="154">
        <v>0.77</v>
      </c>
      <c r="BU65" s="154">
        <v>30.64</v>
      </c>
      <c r="BV65" s="154" t="s">
        <v>85</v>
      </c>
      <c r="BW65" s="154">
        <v>2.08</v>
      </c>
      <c r="BX65" s="154" t="s">
        <v>85</v>
      </c>
      <c r="BY65" s="154" t="s">
        <v>85</v>
      </c>
      <c r="BZ65" s="154">
        <v>29.79</v>
      </c>
      <c r="CA65" s="154">
        <v>28.19</v>
      </c>
      <c r="CB65" s="154"/>
      <c r="CC65" s="154" t="s">
        <v>85</v>
      </c>
      <c r="CD65" s="154">
        <v>11.64</v>
      </c>
      <c r="CE65" s="154" t="s">
        <v>85</v>
      </c>
      <c r="CF65" s="154" t="s">
        <v>85</v>
      </c>
      <c r="CG65" s="205"/>
    </row>
    <row r="66" spans="1:85">
      <c r="A66" s="122">
        <v>32101</v>
      </c>
      <c r="B66" s="122" t="s">
        <v>334</v>
      </c>
      <c r="C66" s="122" t="s">
        <v>335</v>
      </c>
      <c r="D66" s="122" t="s">
        <v>200</v>
      </c>
      <c r="E66" s="122" t="s">
        <v>76</v>
      </c>
      <c r="F66" s="122" t="s">
        <v>1191</v>
      </c>
      <c r="G66" s="163" t="s">
        <v>1192</v>
      </c>
      <c r="H66" s="122">
        <v>3</v>
      </c>
      <c r="I66" s="128" t="s">
        <v>291</v>
      </c>
      <c r="J66" s="118">
        <v>26.29</v>
      </c>
      <c r="K66" s="118">
        <v>85.52</v>
      </c>
      <c r="L66" s="118">
        <v>1.98</v>
      </c>
      <c r="M66" s="118">
        <v>0.35</v>
      </c>
      <c r="N66" s="118">
        <v>3.48</v>
      </c>
      <c r="O66" s="118">
        <v>7.69</v>
      </c>
      <c r="P66" s="118">
        <v>0.05</v>
      </c>
      <c r="Q66" s="118">
        <v>0.05</v>
      </c>
      <c r="R66" s="118">
        <v>0.19</v>
      </c>
      <c r="S66" s="118">
        <v>0.37</v>
      </c>
      <c r="T66" s="118">
        <v>0.04</v>
      </c>
      <c r="U66" s="118">
        <v>35.79</v>
      </c>
      <c r="V66" s="118"/>
      <c r="W66" s="118">
        <v>17.510000000000002</v>
      </c>
      <c r="X66" s="118">
        <v>6.84</v>
      </c>
      <c r="Y66" s="118">
        <v>0.05</v>
      </c>
      <c r="Z66" s="118">
        <v>22.3</v>
      </c>
      <c r="AA66" s="118">
        <v>0</v>
      </c>
      <c r="AB66" s="118">
        <v>2</v>
      </c>
      <c r="AC66" s="118"/>
      <c r="AD66" s="118">
        <v>18</v>
      </c>
      <c r="AE66" s="118">
        <v>4.8600000000000003</v>
      </c>
      <c r="AF66" s="118"/>
      <c r="AG66" s="118"/>
      <c r="AH66" s="118">
        <v>2.92</v>
      </c>
      <c r="AI66" s="118">
        <v>45.74</v>
      </c>
      <c r="AJ66" s="118">
        <v>0.24</v>
      </c>
      <c r="AK66" s="118">
        <v>0.31</v>
      </c>
      <c r="AL66" s="118">
        <v>26.6</v>
      </c>
      <c r="AM66" s="118">
        <v>0.36</v>
      </c>
      <c r="AN66" s="118">
        <v>27.78</v>
      </c>
      <c r="AO66" s="118">
        <v>327</v>
      </c>
      <c r="AP66" s="118"/>
      <c r="AQ66" s="118">
        <v>0.17</v>
      </c>
      <c r="AR66" s="118">
        <v>0.05</v>
      </c>
      <c r="AS66" s="118">
        <v>0.12</v>
      </c>
      <c r="AT66" s="118">
        <v>0.14000000000000001</v>
      </c>
      <c r="AU66" s="118"/>
      <c r="AV66" s="124">
        <v>3.6830000000000002E-2</v>
      </c>
      <c r="AW66" s="124">
        <v>9.7019999999999995E-2</v>
      </c>
      <c r="AX66" s="124">
        <v>0.13068000000000002</v>
      </c>
      <c r="AY66" s="124">
        <v>5.9200000000000003E-2</v>
      </c>
      <c r="AZ66" s="124">
        <v>1.5640000000000001E-2</v>
      </c>
      <c r="BA66" s="124">
        <v>1.2869999999999999E-2</v>
      </c>
      <c r="BB66" s="124">
        <v>7.8409999999999994E-2</v>
      </c>
      <c r="BC66" s="124">
        <v>8.2369999999999999E-2</v>
      </c>
      <c r="BD66" s="124">
        <v>1.0490000000000001E-2</v>
      </c>
      <c r="BE66" s="124">
        <v>0.11187000000000001</v>
      </c>
      <c r="BF66" s="124">
        <v>0.12137000000000001</v>
      </c>
      <c r="BG66" s="124">
        <v>7.2859999999999994E-2</v>
      </c>
      <c r="BH66" s="124">
        <v>0.43539999999999995</v>
      </c>
      <c r="BI66" s="124">
        <v>0.21027999999999999</v>
      </c>
      <c r="BJ66" s="124">
        <v>0.11068</v>
      </c>
      <c r="BK66" s="124">
        <v>8.0390000000000003E-2</v>
      </c>
      <c r="BL66" s="124">
        <v>8.7120000000000003E-2</v>
      </c>
      <c r="BM66" s="124">
        <v>5.8409999999999997E-2</v>
      </c>
      <c r="BN66" s="118">
        <v>50.59</v>
      </c>
      <c r="BO66" s="118">
        <v>68.790000000000006</v>
      </c>
      <c r="BP66" s="118"/>
      <c r="BQ66" s="118"/>
      <c r="BR66" s="154" t="s">
        <v>85</v>
      </c>
      <c r="BS66" s="154" t="s">
        <v>85</v>
      </c>
      <c r="BT66" s="154">
        <v>0.65</v>
      </c>
      <c r="BU66" s="154">
        <v>35.32</v>
      </c>
      <c r="BV66" s="154" t="s">
        <v>85</v>
      </c>
      <c r="BW66" s="154">
        <v>21.79</v>
      </c>
      <c r="BX66" s="154">
        <v>9.3800000000000008</v>
      </c>
      <c r="BY66" s="154">
        <v>79.52</v>
      </c>
      <c r="BZ66" s="154">
        <v>68.67</v>
      </c>
      <c r="CA66" s="154">
        <v>38.57</v>
      </c>
      <c r="CB66" s="154"/>
      <c r="CC66" s="154" t="s">
        <v>85</v>
      </c>
      <c r="CD66" s="154">
        <v>7.49</v>
      </c>
      <c r="CE66" s="154" t="s">
        <v>85</v>
      </c>
      <c r="CF66" s="154" t="s">
        <v>85</v>
      </c>
      <c r="CG66" s="205"/>
    </row>
    <row r="67" spans="1:85">
      <c r="A67" s="122">
        <v>25015</v>
      </c>
      <c r="B67" s="122" t="s">
        <v>339</v>
      </c>
      <c r="C67" s="122" t="s">
        <v>340</v>
      </c>
      <c r="D67" s="122" t="s">
        <v>341</v>
      </c>
      <c r="E67" s="122" t="s">
        <v>1193</v>
      </c>
      <c r="F67" s="122" t="s">
        <v>1194</v>
      </c>
      <c r="G67" s="163" t="s">
        <v>1195</v>
      </c>
      <c r="H67" s="122">
        <v>13</v>
      </c>
      <c r="I67" s="128" t="s">
        <v>295</v>
      </c>
      <c r="J67" s="118">
        <v>31</v>
      </c>
      <c r="K67" s="118">
        <v>90.3</v>
      </c>
      <c r="L67" s="118">
        <v>1.83</v>
      </c>
      <c r="M67" s="118">
        <v>0.22</v>
      </c>
      <c r="N67" s="118">
        <v>6.97</v>
      </c>
      <c r="O67" s="118">
        <v>2.7</v>
      </c>
      <c r="P67" s="118">
        <v>8.2000000000000003E-2</v>
      </c>
      <c r="Q67" s="118">
        <v>0.104</v>
      </c>
      <c r="R67" s="118">
        <v>0.73399999999999999</v>
      </c>
      <c r="S67" s="118">
        <v>0.22500000000000001</v>
      </c>
      <c r="T67" s="118">
        <v>0.14099999999999999</v>
      </c>
      <c r="U67" s="118">
        <v>33</v>
      </c>
      <c r="V67" s="118">
        <v>0</v>
      </c>
      <c r="W67" s="118">
        <v>12.2</v>
      </c>
      <c r="X67" s="118">
        <v>0</v>
      </c>
      <c r="Y67" s="118">
        <v>0.41</v>
      </c>
      <c r="Z67" s="118">
        <v>43</v>
      </c>
      <c r="AA67" s="118">
        <v>0</v>
      </c>
      <c r="AB67" s="118">
        <v>35</v>
      </c>
      <c r="AC67" s="118">
        <v>69</v>
      </c>
      <c r="AD67" s="118">
        <v>379</v>
      </c>
      <c r="AE67" s="118">
        <v>640</v>
      </c>
      <c r="AF67" s="118">
        <v>0</v>
      </c>
      <c r="AG67" s="118">
        <v>0</v>
      </c>
      <c r="AH67" s="118">
        <v>0</v>
      </c>
      <c r="AI67" s="118">
        <v>37</v>
      </c>
      <c r="AJ67" s="118">
        <v>6.9000000000000006E-2</v>
      </c>
      <c r="AK67" s="118">
        <v>1.03</v>
      </c>
      <c r="AL67" s="118">
        <v>25</v>
      </c>
      <c r="AM67" s="118">
        <v>0.216</v>
      </c>
      <c r="AN67" s="118">
        <v>38</v>
      </c>
      <c r="AO67" s="118">
        <v>211</v>
      </c>
      <c r="AP67" s="118">
        <v>0.6</v>
      </c>
      <c r="AQ67" s="118">
        <v>0.24</v>
      </c>
      <c r="AR67" s="118">
        <v>0.05</v>
      </c>
      <c r="AS67" s="118">
        <v>0.01</v>
      </c>
      <c r="AT67" s="118">
        <v>0.113</v>
      </c>
      <c r="AU67" s="118">
        <v>0</v>
      </c>
      <c r="AV67" s="118">
        <v>3.4000000000000002E-2</v>
      </c>
      <c r="AW67" s="118">
        <v>6.6000000000000003E-2</v>
      </c>
      <c r="AX67" s="118">
        <v>0.112</v>
      </c>
      <c r="AY67" s="118">
        <v>8.7999999999999995E-2</v>
      </c>
      <c r="AZ67" s="118">
        <v>2.1999999999999999E-2</v>
      </c>
      <c r="BA67" s="118">
        <v>1.7999999999999999E-2</v>
      </c>
      <c r="BB67" s="118">
        <v>6.7000000000000004E-2</v>
      </c>
      <c r="BC67" s="118">
        <v>7.9000000000000001E-2</v>
      </c>
      <c r="BD67" s="118">
        <v>1.9E-2</v>
      </c>
      <c r="BE67" s="118">
        <v>0.09</v>
      </c>
      <c r="BF67" s="118">
        <v>8.4000000000000005E-2</v>
      </c>
      <c r="BG67" s="118">
        <v>7.2999999999999995E-2</v>
      </c>
      <c r="BH67" s="118">
        <v>0.255</v>
      </c>
      <c r="BI67" s="118">
        <v>0.187</v>
      </c>
      <c r="BJ67" s="118">
        <v>6.5000000000000002E-2</v>
      </c>
      <c r="BK67" s="118">
        <v>6.8000000000000005E-2</v>
      </c>
      <c r="BL67" s="118">
        <v>9.9000000000000005E-2</v>
      </c>
      <c r="BM67" s="118">
        <v>4.2000000000000003E-2</v>
      </c>
      <c r="BN67" s="118"/>
      <c r="BO67" s="118"/>
      <c r="BP67" s="118"/>
      <c r="BQ67" s="118">
        <v>15.3</v>
      </c>
      <c r="BR67" s="205"/>
      <c r="BS67" s="205"/>
      <c r="BT67" s="205"/>
      <c r="BU67" s="205"/>
      <c r="BV67" s="205"/>
      <c r="BW67" s="205"/>
      <c r="BX67" s="205"/>
      <c r="BY67" s="205"/>
      <c r="BZ67" s="205"/>
      <c r="CA67" s="205"/>
      <c r="CB67" s="205"/>
      <c r="CC67" s="205"/>
      <c r="CD67" s="205"/>
      <c r="CE67" s="205"/>
      <c r="CF67" s="205"/>
      <c r="CG67" s="205"/>
    </row>
    <row r="68" spans="1:85">
      <c r="A68" s="122">
        <v>25016</v>
      </c>
      <c r="B68" s="122" t="s">
        <v>343</v>
      </c>
      <c r="C68" s="122" t="s">
        <v>344</v>
      </c>
      <c r="D68" s="122" t="s">
        <v>345</v>
      </c>
      <c r="E68" s="122" t="s">
        <v>1196</v>
      </c>
      <c r="F68" s="122" t="s">
        <v>1197</v>
      </c>
      <c r="G68" s="163" t="s">
        <v>1198</v>
      </c>
      <c r="H68" s="122">
        <v>3</v>
      </c>
      <c r="I68" s="128" t="s">
        <v>295</v>
      </c>
      <c r="J68" s="118">
        <v>54</v>
      </c>
      <c r="K68" s="118">
        <v>84.98</v>
      </c>
      <c r="L68" s="118">
        <v>3.9</v>
      </c>
      <c r="M68" s="118">
        <v>0.1</v>
      </c>
      <c r="N68" s="118">
        <v>8.33</v>
      </c>
      <c r="O68" s="118">
        <v>2</v>
      </c>
      <c r="P68" s="118">
        <v>0.05</v>
      </c>
      <c r="Q68" s="118">
        <v>0.01</v>
      </c>
      <c r="R68" s="118"/>
      <c r="S68" s="118">
        <v>0.42</v>
      </c>
      <c r="T68" s="118">
        <v>0.08</v>
      </c>
      <c r="U68" s="118">
        <v>60</v>
      </c>
      <c r="V68" s="118">
        <v>0</v>
      </c>
      <c r="W68" s="118">
        <v>8.74</v>
      </c>
      <c r="X68" s="118">
        <v>1.41</v>
      </c>
      <c r="Y68" s="118">
        <v>0.06</v>
      </c>
      <c r="Z68" s="118">
        <v>60.1</v>
      </c>
      <c r="AA68" s="118">
        <v>0</v>
      </c>
      <c r="AB68" s="118">
        <v>31.99</v>
      </c>
      <c r="AC68" s="118">
        <v>1.25</v>
      </c>
      <c r="AD68" s="118">
        <v>383.25</v>
      </c>
      <c r="AE68" s="118">
        <v>98.51</v>
      </c>
      <c r="AF68" s="118"/>
      <c r="AG68" s="118"/>
      <c r="AH68" s="118">
        <v>2.67</v>
      </c>
      <c r="AI68" s="118">
        <v>44.1</v>
      </c>
      <c r="AJ68" s="118">
        <v>0.02</v>
      </c>
      <c r="AK68" s="118">
        <v>1.1000000000000001</v>
      </c>
      <c r="AL68" s="118">
        <v>24.75</v>
      </c>
      <c r="AM68" s="118">
        <v>0.37</v>
      </c>
      <c r="AN68" s="118">
        <v>34</v>
      </c>
      <c r="AO68" s="118">
        <v>220</v>
      </c>
      <c r="AP68" s="118">
        <v>0.02</v>
      </c>
      <c r="AQ68" s="118">
        <v>0.48</v>
      </c>
      <c r="AR68" s="118">
        <v>0.27</v>
      </c>
      <c r="AS68" s="118">
        <v>0.05</v>
      </c>
      <c r="AT68" s="118">
        <v>0.43</v>
      </c>
      <c r="AU68" s="118"/>
      <c r="AV68" s="124">
        <v>9.237999999999999E-2</v>
      </c>
      <c r="AW68" s="124">
        <v>0.11326</v>
      </c>
      <c r="AX68" s="124">
        <v>0.23766999999999999</v>
      </c>
      <c r="AY68" s="124">
        <v>0.19162000000000001</v>
      </c>
      <c r="AZ68" s="124">
        <v>4.1759999999999999E-2</v>
      </c>
      <c r="BA68" s="124">
        <v>1.7729999999999999E-2</v>
      </c>
      <c r="BB68" s="124">
        <v>0.14671999999999999</v>
      </c>
      <c r="BC68" s="124">
        <v>0.12670000000000001</v>
      </c>
      <c r="BD68" s="124">
        <v>2.5170000000000001E-2</v>
      </c>
      <c r="BE68" s="124">
        <v>0.12984000000000001</v>
      </c>
      <c r="BF68" s="124">
        <v>0.16072999999999998</v>
      </c>
      <c r="BG68" s="124">
        <v>0.1736</v>
      </c>
      <c r="BH68" s="124">
        <v>0.33976999999999996</v>
      </c>
      <c r="BI68" s="124">
        <v>0.45960000000000001</v>
      </c>
      <c r="BJ68" s="124">
        <v>0.13613999999999998</v>
      </c>
      <c r="BK68" s="124">
        <v>0.13385</v>
      </c>
      <c r="BL68" s="124">
        <v>0.15730000000000002</v>
      </c>
      <c r="BM68" s="124">
        <v>8.0939999999999998E-2</v>
      </c>
      <c r="BN68" s="118">
        <v>12.68</v>
      </c>
      <c r="BO68" s="118">
        <v>17.329999999999998</v>
      </c>
      <c r="BP68" s="118"/>
      <c r="BQ68" s="118"/>
      <c r="BR68" s="154" t="s">
        <v>85</v>
      </c>
      <c r="BS68" s="154" t="s">
        <v>85</v>
      </c>
      <c r="BT68" s="154">
        <v>3.08</v>
      </c>
      <c r="BU68" s="154">
        <v>191</v>
      </c>
      <c r="BV68" s="154" t="s">
        <v>85</v>
      </c>
      <c r="BW68" s="154">
        <v>38.090000000000003</v>
      </c>
      <c r="BX68" s="154" t="s">
        <v>85</v>
      </c>
      <c r="BY68" s="154" t="s">
        <v>85</v>
      </c>
      <c r="BZ68" s="154">
        <v>203</v>
      </c>
      <c r="CA68" s="154">
        <v>227</v>
      </c>
      <c r="CB68" s="154"/>
      <c r="CC68" s="154" t="s">
        <v>85</v>
      </c>
      <c r="CD68" s="154">
        <v>50.55</v>
      </c>
      <c r="CE68" s="154" t="s">
        <v>85</v>
      </c>
      <c r="CF68" s="154" t="s">
        <v>85</v>
      </c>
      <c r="CG68" s="205">
        <v>2</v>
      </c>
    </row>
    <row r="69" spans="1:85">
      <c r="A69" s="122">
        <v>13007</v>
      </c>
      <c r="B69" s="122" t="s">
        <v>346</v>
      </c>
      <c r="C69" s="122" t="s">
        <v>347</v>
      </c>
      <c r="D69" s="122" t="s">
        <v>341</v>
      </c>
      <c r="E69" s="122" t="s">
        <v>1199</v>
      </c>
      <c r="F69" s="122" t="s">
        <v>1200</v>
      </c>
      <c r="G69" s="163" t="s">
        <v>349</v>
      </c>
      <c r="H69" s="122">
        <v>2</v>
      </c>
      <c r="I69" s="128" t="s">
        <v>72</v>
      </c>
      <c r="J69" s="118">
        <v>299.24</v>
      </c>
      <c r="K69" s="118">
        <v>9.8699999999999992</v>
      </c>
      <c r="L69" s="118">
        <v>19.91</v>
      </c>
      <c r="M69" s="118">
        <v>1.77</v>
      </c>
      <c r="N69" s="118">
        <v>48.61</v>
      </c>
      <c r="O69" s="118">
        <v>16.57</v>
      </c>
      <c r="P69" s="118">
        <v>0.3</v>
      </c>
      <c r="Q69" s="118">
        <v>0.19</v>
      </c>
      <c r="R69" s="118">
        <v>2.42</v>
      </c>
      <c r="S69" s="118">
        <v>1.82</v>
      </c>
      <c r="T69" s="118">
        <v>0.21</v>
      </c>
      <c r="U69" s="118">
        <v>316</v>
      </c>
      <c r="V69" s="118"/>
      <c r="W69" s="118">
        <v>4.5</v>
      </c>
      <c r="X69" s="118">
        <v>26.73</v>
      </c>
      <c r="Y69" s="118">
        <v>7.0000000000000007E-2</v>
      </c>
      <c r="Z69" s="118">
        <v>4.9000000000000004</v>
      </c>
      <c r="AA69" s="118"/>
      <c r="AB69" s="125">
        <f>AA69+1/12*(AD69)+1/24*(AC69)+1/24*(AG69)</f>
        <v>0.13333333333333333</v>
      </c>
      <c r="AC69" s="118"/>
      <c r="AD69" s="118">
        <v>1.6</v>
      </c>
      <c r="AE69" s="118">
        <v>6.76</v>
      </c>
      <c r="AF69" s="118"/>
      <c r="AG69" s="118"/>
      <c r="AH69" s="118"/>
      <c r="AI69" s="118">
        <v>126</v>
      </c>
      <c r="AJ69" s="118">
        <v>0.78</v>
      </c>
      <c r="AK69" s="118">
        <v>6.13</v>
      </c>
      <c r="AL69" s="118">
        <v>173</v>
      </c>
      <c r="AM69" s="118">
        <v>1.24</v>
      </c>
      <c r="AN69" s="118">
        <v>409</v>
      </c>
      <c r="AO69" s="118">
        <v>1324</v>
      </c>
      <c r="AP69" s="118">
        <v>22.45</v>
      </c>
      <c r="AQ69" s="118">
        <v>2.69</v>
      </c>
      <c r="AR69" s="118">
        <v>0.25600000000000001</v>
      </c>
      <c r="AS69" s="118">
        <v>8.7800000000000003E-2</v>
      </c>
      <c r="AT69" s="118">
        <v>0.93100000000000005</v>
      </c>
      <c r="AU69" s="118">
        <v>0</v>
      </c>
      <c r="AV69" s="118">
        <v>2.7</v>
      </c>
      <c r="AW69" s="118">
        <v>4.2300000000000004</v>
      </c>
      <c r="AX69" s="118">
        <v>7.78</v>
      </c>
      <c r="AY69" s="118">
        <v>6.71</v>
      </c>
      <c r="AZ69" s="118">
        <v>0.88</v>
      </c>
      <c r="BA69" s="118">
        <v>0.7</v>
      </c>
      <c r="BB69" s="118">
        <v>5.9</v>
      </c>
      <c r="BC69" s="118">
        <v>4.18</v>
      </c>
      <c r="BD69" s="118">
        <v>1.05</v>
      </c>
      <c r="BE69" s="118">
        <v>5.07</v>
      </c>
      <c r="BF69" s="118">
        <v>4.57</v>
      </c>
      <c r="BG69" s="118">
        <v>6.1</v>
      </c>
      <c r="BH69" s="118">
        <v>10.5</v>
      </c>
      <c r="BI69" s="118">
        <v>16.010000000000002</v>
      </c>
      <c r="BJ69" s="118">
        <v>3.78</v>
      </c>
      <c r="BK69" s="118">
        <v>3.4</v>
      </c>
      <c r="BL69" s="118">
        <v>5.74</v>
      </c>
      <c r="BM69" s="118">
        <v>3.12</v>
      </c>
      <c r="BN69" s="118">
        <v>360</v>
      </c>
      <c r="BO69" s="118">
        <v>465</v>
      </c>
      <c r="BP69" s="118">
        <v>41.44</v>
      </c>
      <c r="BQ69" s="118">
        <v>28.4</v>
      </c>
      <c r="BR69" s="154" t="s">
        <v>85</v>
      </c>
      <c r="BS69" s="154" t="s">
        <v>85</v>
      </c>
      <c r="BT69" s="154" t="s">
        <v>85</v>
      </c>
      <c r="BU69" s="154">
        <v>225</v>
      </c>
      <c r="BV69" s="154" t="s">
        <v>85</v>
      </c>
      <c r="BW69" s="154">
        <v>87.84</v>
      </c>
      <c r="BX69" s="154" t="s">
        <v>85</v>
      </c>
      <c r="BY69" s="154" t="s">
        <v>85</v>
      </c>
      <c r="BZ69" s="154">
        <v>374</v>
      </c>
      <c r="CA69" s="154">
        <v>557</v>
      </c>
      <c r="CB69" s="154"/>
      <c r="CC69" s="154" t="s">
        <v>85</v>
      </c>
      <c r="CD69" s="154">
        <v>30.51</v>
      </c>
      <c r="CE69" s="154" t="s">
        <v>85</v>
      </c>
      <c r="CF69" s="154" t="s">
        <v>85</v>
      </c>
      <c r="CG69" s="205"/>
    </row>
    <row r="70" spans="1:85">
      <c r="A70" s="122">
        <v>25017</v>
      </c>
      <c r="B70" s="122" t="s">
        <v>350</v>
      </c>
      <c r="C70" s="122" t="s">
        <v>351</v>
      </c>
      <c r="D70" s="122" t="s">
        <v>352</v>
      </c>
      <c r="E70" s="122" t="s">
        <v>1201</v>
      </c>
      <c r="F70" s="122" t="s">
        <v>1202</v>
      </c>
      <c r="G70" s="163" t="s">
        <v>1203</v>
      </c>
      <c r="H70" s="122">
        <v>13</v>
      </c>
      <c r="I70" s="128" t="s">
        <v>197</v>
      </c>
      <c r="J70" s="118">
        <v>77</v>
      </c>
      <c r="K70" s="118">
        <v>78.91</v>
      </c>
      <c r="L70" s="118">
        <v>1.95</v>
      </c>
      <c r="M70" s="118">
        <v>0.3</v>
      </c>
      <c r="N70" s="118">
        <v>15.54</v>
      </c>
      <c r="O70" s="118">
        <v>2.2999999999999998</v>
      </c>
      <c r="P70" s="118">
        <v>0.09</v>
      </c>
      <c r="Q70" s="118">
        <v>0.06</v>
      </c>
      <c r="R70" s="118">
        <v>0.7</v>
      </c>
      <c r="S70" s="118">
        <v>0.26</v>
      </c>
      <c r="T70" s="118">
        <v>0.3</v>
      </c>
      <c r="U70" s="118">
        <v>22</v>
      </c>
      <c r="V70" s="118">
        <v>0</v>
      </c>
      <c r="W70" s="118">
        <v>7.26</v>
      </c>
      <c r="X70" s="118">
        <v>1.29</v>
      </c>
      <c r="Y70" s="118">
        <v>0.14000000000000001</v>
      </c>
      <c r="Z70" s="118">
        <v>17.420000000000002</v>
      </c>
      <c r="AA70" s="118">
        <v>0</v>
      </c>
      <c r="AB70" s="118">
        <v>56.33</v>
      </c>
      <c r="AC70" s="118">
        <v>438</v>
      </c>
      <c r="AD70" s="118">
        <v>457</v>
      </c>
      <c r="AE70" s="118">
        <v>28.9</v>
      </c>
      <c r="AF70" s="118"/>
      <c r="AG70" s="118"/>
      <c r="AH70" s="118">
        <v>3.45</v>
      </c>
      <c r="AI70" s="118">
        <v>22</v>
      </c>
      <c r="AJ70" s="118">
        <v>0.08</v>
      </c>
      <c r="AK70" s="118">
        <v>0.6</v>
      </c>
      <c r="AL70" s="118">
        <v>28.45</v>
      </c>
      <c r="AM70" s="118">
        <v>0.28999999999999998</v>
      </c>
      <c r="AN70" s="118">
        <v>20.51</v>
      </c>
      <c r="AO70" s="118">
        <v>241.59</v>
      </c>
      <c r="AP70" s="118">
        <v>0.82</v>
      </c>
      <c r="AQ70" s="118">
        <v>0.14000000000000001</v>
      </c>
      <c r="AR70" s="118">
        <v>0.06</v>
      </c>
      <c r="AS70" s="118">
        <v>0.02</v>
      </c>
      <c r="AT70" s="118">
        <v>0.11</v>
      </c>
      <c r="AU70" s="118"/>
      <c r="AV70" s="124">
        <v>2.8910000000000002E-2</v>
      </c>
      <c r="AW70" s="124">
        <v>3.056E-2</v>
      </c>
      <c r="AX70" s="124">
        <v>5.876E-2</v>
      </c>
      <c r="AY70" s="124">
        <v>4.3659999999999997E-2</v>
      </c>
      <c r="AZ70" s="124">
        <v>9.4399999999999987E-3</v>
      </c>
      <c r="BA70" s="124">
        <v>7.9100000000000004E-3</v>
      </c>
      <c r="BB70" s="124">
        <v>6.2780000000000002E-2</v>
      </c>
      <c r="BC70" s="124">
        <v>3.4570000000000004E-2</v>
      </c>
      <c r="BD70" s="124">
        <v>8.0199999999999994E-3</v>
      </c>
      <c r="BE70" s="124">
        <v>6.5019999999999994E-2</v>
      </c>
      <c r="BF70" s="124">
        <v>7.009E-2</v>
      </c>
      <c r="BG70" s="124">
        <v>5.2630000000000003E-2</v>
      </c>
      <c r="BH70" s="124">
        <v>0.17027</v>
      </c>
      <c r="BI70" s="124">
        <v>0.24107000000000001</v>
      </c>
      <c r="BJ70" s="124">
        <v>4.5190000000000001E-2</v>
      </c>
      <c r="BK70" s="124">
        <v>3.705E-2</v>
      </c>
      <c r="BL70" s="124">
        <v>5.2510000000000001E-2</v>
      </c>
      <c r="BM70" s="124">
        <v>2.4660000000000001E-2</v>
      </c>
      <c r="BN70" s="118">
        <v>25.27</v>
      </c>
      <c r="BO70" s="118">
        <v>40.44</v>
      </c>
      <c r="BP70" s="118"/>
      <c r="BQ70" s="154">
        <v>9.8000000000000007</v>
      </c>
      <c r="BR70" s="154" t="s">
        <v>85</v>
      </c>
      <c r="BS70" s="154" t="s">
        <v>85</v>
      </c>
      <c r="BT70" s="154" t="s">
        <v>85</v>
      </c>
      <c r="BU70" s="154">
        <v>53.89</v>
      </c>
      <c r="BV70" s="154" t="s">
        <v>85</v>
      </c>
      <c r="BW70" s="154">
        <v>16.21</v>
      </c>
      <c r="BX70" s="154" t="s">
        <v>85</v>
      </c>
      <c r="BY70" s="154" t="s">
        <v>85</v>
      </c>
      <c r="BZ70" s="154">
        <v>72.89</v>
      </c>
      <c r="CA70" s="154">
        <v>33.770000000000003</v>
      </c>
      <c r="CB70" s="154"/>
      <c r="CC70" s="154" t="s">
        <v>85</v>
      </c>
      <c r="CD70" s="154">
        <v>3.6</v>
      </c>
      <c r="CE70" s="154" t="s">
        <v>85</v>
      </c>
      <c r="CF70" s="154" t="s">
        <v>85</v>
      </c>
      <c r="CG70" s="205"/>
    </row>
    <row r="71" spans="1:85">
      <c r="A71" s="122">
        <v>25018</v>
      </c>
      <c r="B71" s="122" t="s">
        <v>354</v>
      </c>
      <c r="C71" s="122" t="s">
        <v>355</v>
      </c>
      <c r="D71" s="122" t="s">
        <v>356</v>
      </c>
      <c r="E71" s="122" t="s">
        <v>76</v>
      </c>
      <c r="F71" s="122" t="s">
        <v>1204</v>
      </c>
      <c r="G71" s="163" t="s">
        <v>357</v>
      </c>
      <c r="H71" s="122">
        <v>13</v>
      </c>
      <c r="I71" s="128" t="s">
        <v>295</v>
      </c>
      <c r="J71" s="118">
        <v>24</v>
      </c>
      <c r="K71" s="118">
        <v>93.39</v>
      </c>
      <c r="L71" s="118">
        <v>0.5</v>
      </c>
      <c r="M71" s="118">
        <v>0.3</v>
      </c>
      <c r="N71" s="118">
        <v>4.51</v>
      </c>
      <c r="O71" s="118">
        <v>0.8</v>
      </c>
      <c r="P71" s="118">
        <v>0.04</v>
      </c>
      <c r="Q71" s="118">
        <v>0.06</v>
      </c>
      <c r="R71" s="118">
        <v>0.8</v>
      </c>
      <c r="S71" s="118">
        <v>0.22</v>
      </c>
      <c r="T71" s="118">
        <v>0.04</v>
      </c>
      <c r="U71" s="118">
        <v>16.25</v>
      </c>
      <c r="V71" s="118">
        <v>0</v>
      </c>
      <c r="W71" s="118">
        <v>18.77</v>
      </c>
      <c r="X71" s="118">
        <v>2.96</v>
      </c>
      <c r="Y71" s="118">
        <v>0.01</v>
      </c>
      <c r="Z71" s="118">
        <v>8.35</v>
      </c>
      <c r="AA71" s="118">
        <v>0</v>
      </c>
      <c r="AB71" s="118"/>
      <c r="AC71" s="118"/>
      <c r="AD71" s="118">
        <v>61.29</v>
      </c>
      <c r="AE71" s="118">
        <v>39.25</v>
      </c>
      <c r="AF71" s="118"/>
      <c r="AG71" s="118"/>
      <c r="AH71" s="118">
        <v>4.54</v>
      </c>
      <c r="AI71" s="118">
        <v>31.28</v>
      </c>
      <c r="AJ71" s="118">
        <v>0.18</v>
      </c>
      <c r="AK71" s="118">
        <v>0.38</v>
      </c>
      <c r="AL71" s="118">
        <v>17.14</v>
      </c>
      <c r="AM71" s="118">
        <v>0.14000000000000001</v>
      </c>
      <c r="AN71" s="118">
        <v>27.86</v>
      </c>
      <c r="AO71" s="118">
        <v>154.71</v>
      </c>
      <c r="AP71" s="118"/>
      <c r="AQ71" s="118">
        <v>0.32</v>
      </c>
      <c r="AR71" s="118">
        <v>0.1</v>
      </c>
      <c r="AS71" s="118">
        <v>0</v>
      </c>
      <c r="AT71" s="118">
        <v>0.1</v>
      </c>
      <c r="AU71" s="118"/>
      <c r="AV71" s="124">
        <v>1.307E-2</v>
      </c>
      <c r="AW71" s="124">
        <v>3.5150000000000001E-2</v>
      </c>
      <c r="AX71" s="124">
        <v>4.4789999999999996E-2</v>
      </c>
      <c r="AY71" s="124">
        <v>3.9640000000000002E-2</v>
      </c>
      <c r="AZ71" s="124">
        <v>7.9900000000000006E-3</v>
      </c>
      <c r="BA71" s="124">
        <v>5.13E-3</v>
      </c>
      <c r="BB71" s="124">
        <v>3.3239999999999999E-2</v>
      </c>
      <c r="BC71" s="124">
        <v>2.827E-2</v>
      </c>
      <c r="BD71" s="124">
        <v>5.0199999999999993E-3</v>
      </c>
      <c r="BE71" s="124">
        <v>4.4090000000000004E-2</v>
      </c>
      <c r="BF71" s="124">
        <v>5.2060000000000002E-2</v>
      </c>
      <c r="BG71" s="124">
        <v>4.301E-2</v>
      </c>
      <c r="BH71" s="124">
        <v>8.073000000000001E-2</v>
      </c>
      <c r="BI71" s="124">
        <v>0.16494</v>
      </c>
      <c r="BJ71" s="124">
        <v>3.6990000000000002E-2</v>
      </c>
      <c r="BK71" s="124">
        <v>3.1640000000000001E-2</v>
      </c>
      <c r="BL71" s="124">
        <v>3.7579999999999995E-2</v>
      </c>
      <c r="BM71" s="124">
        <v>2.2679999999999999E-2</v>
      </c>
      <c r="BN71" s="118">
        <v>6.78</v>
      </c>
      <c r="BO71" s="118">
        <v>13.1</v>
      </c>
      <c r="BP71" s="118"/>
      <c r="BQ71" s="118"/>
      <c r="BR71" s="154" t="s">
        <v>85</v>
      </c>
      <c r="BS71" s="154" t="s">
        <v>85</v>
      </c>
      <c r="BT71" s="154" t="s">
        <v>85</v>
      </c>
      <c r="BU71" s="154">
        <v>72.23</v>
      </c>
      <c r="BV71" s="154" t="s">
        <v>85</v>
      </c>
      <c r="BW71" s="154">
        <v>4.8899999999999997</v>
      </c>
      <c r="BX71" s="154" t="s">
        <v>85</v>
      </c>
      <c r="BY71" s="154" t="s">
        <v>85</v>
      </c>
      <c r="BZ71" s="154">
        <v>42.96</v>
      </c>
      <c r="CA71" s="154">
        <v>54.59</v>
      </c>
      <c r="CB71" s="154"/>
      <c r="CC71" s="154" t="s">
        <v>85</v>
      </c>
      <c r="CD71" s="154">
        <v>11.77</v>
      </c>
      <c r="CE71" s="154" t="s">
        <v>85</v>
      </c>
      <c r="CF71" s="154" t="s">
        <v>85</v>
      </c>
      <c r="CG71" s="205"/>
    </row>
    <row r="72" spans="1:85">
      <c r="A72" s="122">
        <v>24007</v>
      </c>
      <c r="B72" s="122" t="s">
        <v>358</v>
      </c>
      <c r="C72" s="122" t="s">
        <v>359</v>
      </c>
      <c r="D72" s="122" t="s">
        <v>360</v>
      </c>
      <c r="E72" s="122" t="s">
        <v>76</v>
      </c>
      <c r="F72" s="122" t="s">
        <v>1205</v>
      </c>
      <c r="G72" s="163" t="s">
        <v>1206</v>
      </c>
      <c r="H72" s="122">
        <v>13</v>
      </c>
      <c r="I72" s="128" t="s">
        <v>295</v>
      </c>
      <c r="J72" s="118">
        <v>16</v>
      </c>
      <c r="K72" s="118">
        <v>94.3</v>
      </c>
      <c r="L72" s="118">
        <v>0.9</v>
      </c>
      <c r="M72" s="118">
        <v>0.2</v>
      </c>
      <c r="N72" s="118">
        <v>1.6</v>
      </c>
      <c r="O72" s="118">
        <v>2.2000000000000002</v>
      </c>
      <c r="P72" s="118">
        <v>0.02</v>
      </c>
      <c r="Q72" s="118">
        <v>0.03</v>
      </c>
      <c r="R72" s="118">
        <v>0.22</v>
      </c>
      <c r="S72" s="118">
        <v>0.5</v>
      </c>
      <c r="T72" s="118">
        <v>7.0000000000000007E-2</v>
      </c>
      <c r="U72" s="118">
        <v>25.32</v>
      </c>
      <c r="V72" s="118">
        <v>0</v>
      </c>
      <c r="W72" s="118">
        <v>5.8</v>
      </c>
      <c r="X72" s="118">
        <v>0.14000000000000001</v>
      </c>
      <c r="Y72" s="118">
        <v>0.09</v>
      </c>
      <c r="Z72" s="118">
        <v>33.68</v>
      </c>
      <c r="AA72" s="118"/>
      <c r="AB72" s="118">
        <v>4</v>
      </c>
      <c r="AC72" s="118"/>
      <c r="AD72" s="118">
        <v>2.2999999999999998</v>
      </c>
      <c r="AE72" s="118">
        <v>99.6</v>
      </c>
      <c r="AF72" s="118"/>
      <c r="AG72" s="118"/>
      <c r="AH72" s="118">
        <v>1.96</v>
      </c>
      <c r="AI72" s="118">
        <v>40</v>
      </c>
      <c r="AJ72" s="118">
        <v>0.08</v>
      </c>
      <c r="AK72" s="118">
        <v>0.6</v>
      </c>
      <c r="AL72" s="118">
        <v>20</v>
      </c>
      <c r="AM72" s="118">
        <v>0.37</v>
      </c>
      <c r="AN72" s="118">
        <v>31</v>
      </c>
      <c r="AO72" s="118">
        <v>414</v>
      </c>
      <c r="AP72" s="118">
        <v>1.48</v>
      </c>
      <c r="AQ72" s="118">
        <v>0.2</v>
      </c>
      <c r="AR72" s="118">
        <v>7.0000000000000007E-2</v>
      </c>
      <c r="AS72" s="118">
        <v>0.01</v>
      </c>
      <c r="AT72" s="118">
        <v>0.11</v>
      </c>
      <c r="AU72" s="118"/>
      <c r="AV72" s="124">
        <v>2.1569999999999999E-2</v>
      </c>
      <c r="AW72" s="124">
        <v>3.8770000000000006E-2</v>
      </c>
      <c r="AX72" s="124">
        <v>6.5519999999999995E-2</v>
      </c>
      <c r="AY72" s="124">
        <v>3.0300000000000001E-2</v>
      </c>
      <c r="AZ72" s="124">
        <v>1.0919999999999999E-2</v>
      </c>
      <c r="BA72" s="124">
        <v>7.28E-3</v>
      </c>
      <c r="BB72" s="124">
        <v>3.7670000000000002E-2</v>
      </c>
      <c r="BC72" s="124">
        <v>3.8399999999999997E-2</v>
      </c>
      <c r="BD72" s="124">
        <v>6.6400000000000001E-3</v>
      </c>
      <c r="BE72" s="124">
        <v>5.4240000000000003E-2</v>
      </c>
      <c r="BF72" s="124">
        <v>6.7069999999999991E-2</v>
      </c>
      <c r="BG72" s="124">
        <v>4.2770000000000002E-2</v>
      </c>
      <c r="BH72" s="124">
        <v>0.10773999999999999</v>
      </c>
      <c r="BI72" s="124">
        <v>0.10773999999999999</v>
      </c>
      <c r="BJ72" s="124">
        <v>6.0880000000000004E-2</v>
      </c>
      <c r="BK72" s="124">
        <v>3.7670000000000002E-2</v>
      </c>
      <c r="BL72" s="124">
        <v>4.4950000000000004E-2</v>
      </c>
      <c r="BM72" s="124">
        <v>2.8030000000000003E-2</v>
      </c>
      <c r="BN72" s="118">
        <v>11.66</v>
      </c>
      <c r="BO72" s="118">
        <v>26.49</v>
      </c>
      <c r="BP72" s="118"/>
      <c r="BQ72" s="118"/>
      <c r="BR72" s="154" t="s">
        <v>85</v>
      </c>
      <c r="BS72" s="154" t="s">
        <v>85</v>
      </c>
      <c r="BT72" s="154" t="s">
        <v>85</v>
      </c>
      <c r="BU72" s="154">
        <v>53.81</v>
      </c>
      <c r="BV72" s="154" t="s">
        <v>85</v>
      </c>
      <c r="BW72" s="154">
        <v>6.37</v>
      </c>
      <c r="BX72" s="154" t="s">
        <v>85</v>
      </c>
      <c r="BY72" s="154" t="s">
        <v>85</v>
      </c>
      <c r="BZ72" s="154">
        <v>82.53</v>
      </c>
      <c r="CA72" s="154">
        <v>27.75</v>
      </c>
      <c r="CB72" s="154"/>
      <c r="CC72" s="154" t="s">
        <v>85</v>
      </c>
      <c r="CD72" s="154">
        <v>31.08</v>
      </c>
      <c r="CE72" s="154" t="s">
        <v>85</v>
      </c>
      <c r="CF72" s="154" t="s">
        <v>85</v>
      </c>
      <c r="CG72" s="205"/>
    </row>
    <row r="73" spans="1:85">
      <c r="A73" s="122">
        <v>24008</v>
      </c>
      <c r="B73" s="122" t="s">
        <v>363</v>
      </c>
      <c r="C73" s="122" t="s">
        <v>364</v>
      </c>
      <c r="D73" s="122" t="s">
        <v>365</v>
      </c>
      <c r="E73" s="122" t="s">
        <v>76</v>
      </c>
      <c r="F73" s="122" t="s">
        <v>1205</v>
      </c>
      <c r="G73" s="163" t="s">
        <v>1206</v>
      </c>
      <c r="H73" s="122">
        <v>2</v>
      </c>
      <c r="I73" s="128" t="s">
        <v>295</v>
      </c>
      <c r="J73" s="118">
        <v>16</v>
      </c>
      <c r="K73" s="118">
        <v>94.3</v>
      </c>
      <c r="L73" s="118">
        <v>0.9</v>
      </c>
      <c r="M73" s="118">
        <v>0.2</v>
      </c>
      <c r="N73" s="118">
        <v>1.6</v>
      </c>
      <c r="O73" s="118">
        <v>2.2000000000000002</v>
      </c>
      <c r="P73" s="118">
        <v>0.02</v>
      </c>
      <c r="Q73" s="118">
        <v>0.03</v>
      </c>
      <c r="R73" s="118">
        <v>0.22</v>
      </c>
      <c r="S73" s="118">
        <v>0.5</v>
      </c>
      <c r="T73" s="118">
        <v>7.0000000000000007E-2</v>
      </c>
      <c r="U73" s="118">
        <v>25.32</v>
      </c>
      <c r="V73" s="118">
        <v>0</v>
      </c>
      <c r="W73" s="118">
        <v>5.8</v>
      </c>
      <c r="X73" s="118">
        <v>0.14000000000000001</v>
      </c>
      <c r="Y73" s="118">
        <v>0.09</v>
      </c>
      <c r="Z73" s="118">
        <v>33.68</v>
      </c>
      <c r="AA73" s="118"/>
      <c r="AB73" s="118">
        <v>4</v>
      </c>
      <c r="AC73" s="118"/>
      <c r="AD73" s="118">
        <v>2.2999999999999998</v>
      </c>
      <c r="AE73" s="118">
        <v>99.6</v>
      </c>
      <c r="AF73" s="118"/>
      <c r="AG73" s="118"/>
      <c r="AH73" s="118">
        <v>1.96</v>
      </c>
      <c r="AI73" s="118">
        <v>40</v>
      </c>
      <c r="AJ73" s="118">
        <v>0.08</v>
      </c>
      <c r="AK73" s="118">
        <v>0.6</v>
      </c>
      <c r="AL73" s="118">
        <v>20</v>
      </c>
      <c r="AM73" s="118">
        <v>0.37</v>
      </c>
      <c r="AN73" s="118">
        <v>31</v>
      </c>
      <c r="AO73" s="118">
        <v>414</v>
      </c>
      <c r="AP73" s="118">
        <v>1.48</v>
      </c>
      <c r="AQ73" s="118">
        <v>0.2</v>
      </c>
      <c r="AR73" s="118">
        <v>7.0000000000000007E-2</v>
      </c>
      <c r="AS73" s="118">
        <v>0.01</v>
      </c>
      <c r="AT73" s="118">
        <v>0.11</v>
      </c>
      <c r="AU73" s="118"/>
      <c r="AV73" s="124">
        <v>2.1569999999999999E-2</v>
      </c>
      <c r="AW73" s="124">
        <v>3.8770000000000006E-2</v>
      </c>
      <c r="AX73" s="124">
        <v>6.5519999999999995E-2</v>
      </c>
      <c r="AY73" s="124">
        <v>3.0300000000000001E-2</v>
      </c>
      <c r="AZ73" s="124">
        <v>1.0919999999999999E-2</v>
      </c>
      <c r="BA73" s="124">
        <v>7.28E-3</v>
      </c>
      <c r="BB73" s="124">
        <v>3.7670000000000002E-2</v>
      </c>
      <c r="BC73" s="124">
        <v>3.8399999999999997E-2</v>
      </c>
      <c r="BD73" s="124">
        <v>6.6400000000000001E-3</v>
      </c>
      <c r="BE73" s="124">
        <v>5.4240000000000003E-2</v>
      </c>
      <c r="BF73" s="124">
        <v>6.7069999999999991E-2</v>
      </c>
      <c r="BG73" s="124">
        <v>4.2770000000000002E-2</v>
      </c>
      <c r="BH73" s="124">
        <v>0.10773999999999999</v>
      </c>
      <c r="BI73" s="124">
        <v>0.10773999999999999</v>
      </c>
      <c r="BJ73" s="124">
        <v>6.0880000000000004E-2</v>
      </c>
      <c r="BK73" s="124">
        <v>3.7670000000000002E-2</v>
      </c>
      <c r="BL73" s="124">
        <v>4.4950000000000004E-2</v>
      </c>
      <c r="BM73" s="124">
        <v>2.8030000000000003E-2</v>
      </c>
      <c r="BN73" s="118">
        <v>11.66</v>
      </c>
      <c r="BO73" s="118">
        <v>26.49</v>
      </c>
      <c r="BP73" s="118"/>
      <c r="BQ73" s="118"/>
      <c r="BR73" s="154" t="s">
        <v>85</v>
      </c>
      <c r="BS73" s="154" t="s">
        <v>85</v>
      </c>
      <c r="BT73" s="154" t="s">
        <v>85</v>
      </c>
      <c r="BU73" s="154">
        <v>53.81</v>
      </c>
      <c r="BV73" s="154" t="s">
        <v>85</v>
      </c>
      <c r="BW73" s="154">
        <v>6.37</v>
      </c>
      <c r="BX73" s="154" t="s">
        <v>85</v>
      </c>
      <c r="BY73" s="154" t="s">
        <v>85</v>
      </c>
      <c r="BZ73" s="154">
        <v>82.53</v>
      </c>
      <c r="CA73" s="154">
        <v>27.75</v>
      </c>
      <c r="CB73" s="154"/>
      <c r="CC73" s="154" t="s">
        <v>85</v>
      </c>
      <c r="CD73" s="154">
        <v>31.08</v>
      </c>
      <c r="CE73" s="154" t="s">
        <v>85</v>
      </c>
      <c r="CF73" s="154" t="s">
        <v>85</v>
      </c>
      <c r="CG73" s="205"/>
    </row>
    <row r="74" spans="1:85">
      <c r="A74" s="122">
        <v>24009</v>
      </c>
      <c r="B74" s="122" t="s">
        <v>366</v>
      </c>
      <c r="C74" s="122" t="s">
        <v>367</v>
      </c>
      <c r="D74" s="122" t="s">
        <v>360</v>
      </c>
      <c r="E74" s="122" t="s">
        <v>76</v>
      </c>
      <c r="F74" s="122" t="s">
        <v>1207</v>
      </c>
      <c r="G74" s="163" t="s">
        <v>1208</v>
      </c>
      <c r="H74" s="122">
        <v>10</v>
      </c>
      <c r="I74" s="128" t="s">
        <v>197</v>
      </c>
      <c r="J74" s="118">
        <v>97</v>
      </c>
      <c r="K74" s="118">
        <v>72.900000000000006</v>
      </c>
      <c r="L74" s="118">
        <v>2.1</v>
      </c>
      <c r="M74" s="118">
        <v>0.2</v>
      </c>
      <c r="N74" s="118">
        <v>20.2</v>
      </c>
      <c r="O74" s="118">
        <v>3.2</v>
      </c>
      <c r="P74" s="118">
        <v>0.1</v>
      </c>
      <c r="Q74" s="118">
        <v>0.03</v>
      </c>
      <c r="R74" s="118">
        <v>0.51</v>
      </c>
      <c r="S74" s="118">
        <v>0.12</v>
      </c>
      <c r="T74" s="118">
        <v>0.17</v>
      </c>
      <c r="U74" s="118">
        <v>22</v>
      </c>
      <c r="V74" s="118">
        <v>0</v>
      </c>
      <c r="W74" s="118">
        <v>6</v>
      </c>
      <c r="X74" s="118">
        <v>0.27</v>
      </c>
      <c r="Y74" s="118">
        <v>0.33</v>
      </c>
      <c r="Z74" s="118">
        <v>3.15</v>
      </c>
      <c r="AA74" s="118">
        <v>0</v>
      </c>
      <c r="AB74" s="118">
        <v>4</v>
      </c>
      <c r="AC74" s="118"/>
      <c r="AD74" s="118">
        <v>35</v>
      </c>
      <c r="AE74" s="118">
        <v>5.87</v>
      </c>
      <c r="AF74" s="118"/>
      <c r="AG74" s="118"/>
      <c r="AH74" s="118">
        <v>2.0699999999999998</v>
      </c>
      <c r="AI74" s="118">
        <v>31</v>
      </c>
      <c r="AJ74" s="118">
        <v>0.3</v>
      </c>
      <c r="AK74" s="118">
        <v>0.7</v>
      </c>
      <c r="AL74" s="118">
        <v>37</v>
      </c>
      <c r="AM74" s="118">
        <v>0.47</v>
      </c>
      <c r="AN74" s="118">
        <v>81</v>
      </c>
      <c r="AO74" s="118">
        <v>514</v>
      </c>
      <c r="AP74" s="118">
        <v>0.3</v>
      </c>
      <c r="AQ74" s="118">
        <v>0.41</v>
      </c>
      <c r="AR74" s="118">
        <v>0.04</v>
      </c>
      <c r="AS74" s="118">
        <v>0.02</v>
      </c>
      <c r="AT74" s="118">
        <v>7.6999999999999999E-2</v>
      </c>
      <c r="AU74" s="118"/>
      <c r="AV74" s="124">
        <v>6.719E-2</v>
      </c>
      <c r="AW74" s="124">
        <v>0.10129000000000001</v>
      </c>
      <c r="AX74" s="124">
        <v>0.21052000000000001</v>
      </c>
      <c r="AY74" s="124">
        <v>0.13008</v>
      </c>
      <c r="AZ74" s="124">
        <v>2.5489999999999999E-2</v>
      </c>
      <c r="BA74" s="124">
        <v>4.6009999999999995E-2</v>
      </c>
      <c r="BB74" s="124">
        <v>0.17277999999999999</v>
      </c>
      <c r="BC74" s="124">
        <v>0.11254</v>
      </c>
      <c r="BD74" s="124">
        <v>3.8399999999999997E-2</v>
      </c>
      <c r="BE74" s="124">
        <v>0.17774999999999999</v>
      </c>
      <c r="BF74" s="124">
        <v>1.6000000000000001E-4</v>
      </c>
      <c r="BG74" s="124">
        <v>2.5000000000000001E-4</v>
      </c>
      <c r="BH74" s="124">
        <v>4.1999999999999996E-4</v>
      </c>
      <c r="BI74" s="124">
        <v>4.6999999999999999E-4</v>
      </c>
      <c r="BJ74" s="124">
        <v>1.4999999999999999E-4</v>
      </c>
      <c r="BK74" s="124">
        <v>1.3000000000000002E-4</v>
      </c>
      <c r="BL74" s="124">
        <v>1.4000000000000001E-4</v>
      </c>
      <c r="BM74" s="124">
        <v>0.12875999999999999</v>
      </c>
      <c r="BN74" s="118">
        <v>59.2</v>
      </c>
      <c r="BO74" s="118">
        <v>13.57</v>
      </c>
      <c r="BP74" s="118"/>
      <c r="BQ74" s="118"/>
      <c r="BR74" s="154" t="s">
        <v>85</v>
      </c>
      <c r="BS74" s="154" t="s">
        <v>85</v>
      </c>
      <c r="BT74" s="154" t="s">
        <v>85</v>
      </c>
      <c r="BU74" s="154">
        <v>38.35</v>
      </c>
      <c r="BV74" s="154" t="s">
        <v>85</v>
      </c>
      <c r="BW74" s="154">
        <v>22.92</v>
      </c>
      <c r="BX74" s="154" t="s">
        <v>85</v>
      </c>
      <c r="BY74" s="154" t="s">
        <v>85</v>
      </c>
      <c r="BZ74" s="154">
        <v>69.010000000000005</v>
      </c>
      <c r="CA74" s="154">
        <v>8.4</v>
      </c>
      <c r="CB74" s="154"/>
      <c r="CC74" s="154" t="s">
        <v>85</v>
      </c>
      <c r="CD74" s="154">
        <v>7.21</v>
      </c>
      <c r="CE74" s="154" t="s">
        <v>85</v>
      </c>
      <c r="CF74" s="154" t="s">
        <v>85</v>
      </c>
      <c r="CG74" s="205"/>
    </row>
    <row r="75" spans="1:85">
      <c r="A75" s="122">
        <v>21022</v>
      </c>
      <c r="B75" s="122" t="s">
        <v>370</v>
      </c>
      <c r="C75" s="122" t="s">
        <v>371</v>
      </c>
      <c r="D75" s="127" t="s">
        <v>372</v>
      </c>
      <c r="E75" s="122" t="s">
        <v>76</v>
      </c>
      <c r="F75" s="122" t="s">
        <v>1209</v>
      </c>
      <c r="G75" s="163" t="s">
        <v>1210</v>
      </c>
      <c r="H75" s="122">
        <v>2</v>
      </c>
      <c r="I75" s="128" t="s">
        <v>207</v>
      </c>
      <c r="J75" s="118">
        <v>43.5</v>
      </c>
      <c r="K75" s="125">
        <v>83.599998474121094</v>
      </c>
      <c r="L75" s="125">
        <v>3.4200000762939453</v>
      </c>
      <c r="M75" s="125">
        <v>1.3799999952316284</v>
      </c>
      <c r="N75" s="125">
        <v>3.690000057220459</v>
      </c>
      <c r="O75" s="125">
        <v>5.5999999046325684</v>
      </c>
      <c r="P75" s="125">
        <v>7.9999998211860657E-2</v>
      </c>
      <c r="Q75" s="125">
        <v>7.0000000298023224E-2</v>
      </c>
      <c r="R75" s="125">
        <v>0.80000001192092896</v>
      </c>
      <c r="S75" s="118"/>
      <c r="T75" s="125">
        <v>0.28999999165534973</v>
      </c>
      <c r="U75" s="125">
        <v>159.10000610351563</v>
      </c>
      <c r="V75" s="118">
        <v>0</v>
      </c>
      <c r="W75" s="125">
        <v>40.700000762939453</v>
      </c>
      <c r="X75" s="118"/>
      <c r="Y75" s="125">
        <v>7.0000000298023224E-2</v>
      </c>
      <c r="Z75" s="118"/>
      <c r="AA75" s="118"/>
      <c r="AB75" s="125">
        <v>959.66668701171875</v>
      </c>
      <c r="AC75" s="118"/>
      <c r="AD75" s="125">
        <v>5758</v>
      </c>
      <c r="AE75" s="118"/>
      <c r="AF75" s="118"/>
      <c r="AG75" s="118"/>
      <c r="AH75" s="118"/>
      <c r="AI75" s="125">
        <v>216.10000610351563</v>
      </c>
      <c r="AJ75" s="118"/>
      <c r="AK75" s="125">
        <v>3.4100000858306885</v>
      </c>
      <c r="AL75" s="118"/>
      <c r="AM75" s="118"/>
      <c r="AN75" s="118"/>
      <c r="AO75" s="118"/>
      <c r="AP75" s="118"/>
      <c r="AQ75" s="125">
        <v>0.81999999284744263</v>
      </c>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25">
        <v>14.399999618530273</v>
      </c>
      <c r="BP75" s="118"/>
      <c r="BQ75" s="118">
        <v>12.8</v>
      </c>
      <c r="BR75" s="205">
        <v>0</v>
      </c>
      <c r="BS75" s="205">
        <v>0</v>
      </c>
      <c r="BT75" s="205">
        <v>0</v>
      </c>
      <c r="BU75" s="205">
        <v>131</v>
      </c>
      <c r="BV75" s="205">
        <v>0</v>
      </c>
      <c r="BW75" s="205">
        <v>60</v>
      </c>
      <c r="BX75" s="205">
        <v>0</v>
      </c>
      <c r="BY75" s="205">
        <v>0</v>
      </c>
      <c r="BZ75" s="205">
        <v>214</v>
      </c>
      <c r="CA75" s="205">
        <v>930</v>
      </c>
      <c r="CB75" s="205">
        <v>0</v>
      </c>
      <c r="CC75" s="205">
        <v>0</v>
      </c>
      <c r="CD75" s="205">
        <v>20</v>
      </c>
      <c r="CE75" s="205">
        <v>0</v>
      </c>
      <c r="CF75" s="205">
        <v>0</v>
      </c>
      <c r="CG75" s="205"/>
    </row>
    <row r="76" spans="1:85">
      <c r="A76" s="122">
        <v>24005</v>
      </c>
      <c r="B76" s="122" t="s">
        <v>373</v>
      </c>
      <c r="C76" s="122" t="s">
        <v>374</v>
      </c>
      <c r="D76" s="122" t="s">
        <v>365</v>
      </c>
      <c r="E76" s="122" t="s">
        <v>76</v>
      </c>
      <c r="F76" s="122" t="s">
        <v>1211</v>
      </c>
      <c r="G76" s="163" t="s">
        <v>1212</v>
      </c>
      <c r="H76" s="122">
        <v>2</v>
      </c>
      <c r="I76" s="128" t="s">
        <v>197</v>
      </c>
      <c r="J76" s="118">
        <v>82</v>
      </c>
      <c r="K76" s="118">
        <v>76.69</v>
      </c>
      <c r="L76" s="118">
        <v>1.46</v>
      </c>
      <c r="M76" s="118">
        <v>0.19</v>
      </c>
      <c r="N76" s="118">
        <v>16.559999999999999</v>
      </c>
      <c r="O76" s="118">
        <v>4.0999999999999996</v>
      </c>
      <c r="P76" s="118">
        <v>0.09</v>
      </c>
      <c r="Q76" s="118">
        <v>0.03</v>
      </c>
      <c r="R76" s="118">
        <v>0.7</v>
      </c>
      <c r="S76" s="118"/>
      <c r="T76" s="118">
        <v>0.28000000000000003</v>
      </c>
      <c r="U76" s="118">
        <v>22</v>
      </c>
      <c r="V76" s="118"/>
      <c r="W76" s="118">
        <v>6.6</v>
      </c>
      <c r="X76" s="118">
        <v>0</v>
      </c>
      <c r="Y76" s="118">
        <v>2.38</v>
      </c>
      <c r="Z76" s="118">
        <v>1.4</v>
      </c>
      <c r="AA76" s="118">
        <v>0</v>
      </c>
      <c r="AB76" s="118"/>
      <c r="AC76" s="118"/>
      <c r="AD76" s="118"/>
      <c r="AE76" s="118"/>
      <c r="AF76" s="118"/>
      <c r="AG76" s="118"/>
      <c r="AH76" s="118"/>
      <c r="AI76" s="118">
        <v>46</v>
      </c>
      <c r="AJ76" s="118">
        <v>0.17</v>
      </c>
      <c r="AK76" s="118">
        <v>0.98</v>
      </c>
      <c r="AL76" s="118">
        <v>33</v>
      </c>
      <c r="AM76" s="118">
        <v>0.24199999999999999</v>
      </c>
      <c r="AN76" s="118">
        <v>72</v>
      </c>
      <c r="AO76" s="118">
        <v>591</v>
      </c>
      <c r="AP76" s="118">
        <v>0.7</v>
      </c>
      <c r="AQ76" s="118">
        <v>0.23</v>
      </c>
      <c r="AR76" s="118"/>
      <c r="AS76" s="118"/>
      <c r="AT76" s="118"/>
      <c r="AU76" s="118"/>
      <c r="AV76" s="124"/>
      <c r="AW76" s="124"/>
      <c r="AX76" s="124"/>
      <c r="AY76" s="124"/>
      <c r="AZ76" s="124"/>
      <c r="BA76" s="124"/>
      <c r="BB76" s="124"/>
      <c r="BC76" s="124"/>
      <c r="BD76" s="124"/>
      <c r="BE76" s="124"/>
      <c r="BF76" s="124"/>
      <c r="BG76" s="124"/>
      <c r="BH76" s="124"/>
      <c r="BI76" s="124"/>
      <c r="BJ76" s="124"/>
      <c r="BK76" s="124"/>
      <c r="BL76" s="124"/>
      <c r="BM76" s="124"/>
      <c r="BN76" s="118"/>
      <c r="BO76" s="118"/>
      <c r="BP76" s="118"/>
      <c r="BQ76" s="118"/>
      <c r="BR76" s="205"/>
      <c r="BS76" s="205"/>
      <c r="BT76" s="205"/>
      <c r="BU76" s="205"/>
      <c r="BV76" s="205"/>
      <c r="BW76" s="205"/>
      <c r="BX76" s="205"/>
      <c r="BY76" s="205"/>
      <c r="BZ76" s="205"/>
      <c r="CA76" s="205"/>
      <c r="CB76" s="205"/>
      <c r="CC76" s="205"/>
      <c r="CD76" s="205"/>
      <c r="CE76" s="205"/>
      <c r="CF76" s="205"/>
      <c r="CG76" s="205"/>
    </row>
    <row r="77" spans="1:85">
      <c r="A77" s="122">
        <v>24010</v>
      </c>
      <c r="B77" s="122" t="s">
        <v>376</v>
      </c>
      <c r="C77" s="122" t="s">
        <v>377</v>
      </c>
      <c r="D77" s="122" t="s">
        <v>378</v>
      </c>
      <c r="E77" s="122" t="s">
        <v>76</v>
      </c>
      <c r="F77" s="122" t="s">
        <v>1213</v>
      </c>
      <c r="G77" s="163" t="s">
        <v>1214</v>
      </c>
      <c r="H77" s="122">
        <v>13</v>
      </c>
      <c r="I77" s="128" t="s">
        <v>197</v>
      </c>
      <c r="J77" s="118">
        <v>97</v>
      </c>
      <c r="K77" s="118">
        <v>73.069999999999993</v>
      </c>
      <c r="L77" s="118">
        <v>1.53</v>
      </c>
      <c r="M77" s="118">
        <v>0.17</v>
      </c>
      <c r="N77" s="118">
        <v>20.309999999999999</v>
      </c>
      <c r="O77" s="118">
        <v>4.0999999999999996</v>
      </c>
      <c r="P77" s="118">
        <v>0.11</v>
      </c>
      <c r="Q77" s="118">
        <v>0.03</v>
      </c>
      <c r="R77" s="118">
        <v>0.55000000000000004</v>
      </c>
      <c r="S77" s="118">
        <v>0.42</v>
      </c>
      <c r="T77" s="118">
        <v>0.28999999999999998</v>
      </c>
      <c r="U77" s="118">
        <v>23</v>
      </c>
      <c r="V77" s="118">
        <v>0</v>
      </c>
      <c r="W77" s="118">
        <v>12.78</v>
      </c>
      <c r="X77" s="118">
        <v>0.9</v>
      </c>
      <c r="Y77" s="118">
        <v>0.46</v>
      </c>
      <c r="Z77" s="118">
        <v>5.5</v>
      </c>
      <c r="AA77" s="118">
        <v>0</v>
      </c>
      <c r="AB77" s="118">
        <v>2.5</v>
      </c>
      <c r="AC77" s="118"/>
      <c r="AD77" s="118">
        <v>188</v>
      </c>
      <c r="AE77" s="118">
        <v>150.80000000000001</v>
      </c>
      <c r="AF77" s="118"/>
      <c r="AG77" s="118"/>
      <c r="AH77" s="118">
        <v>6.78</v>
      </c>
      <c r="AI77" s="118">
        <v>17</v>
      </c>
      <c r="AJ77" s="118">
        <v>0.18</v>
      </c>
      <c r="AK77" s="118">
        <v>0.8</v>
      </c>
      <c r="AL77" s="118">
        <v>17.09</v>
      </c>
      <c r="AM77" s="118">
        <v>0.14000000000000001</v>
      </c>
      <c r="AN77" s="118">
        <v>34.9</v>
      </c>
      <c r="AO77" s="118">
        <v>352.54</v>
      </c>
      <c r="AP77" s="118">
        <v>0.56999999999999995</v>
      </c>
      <c r="AQ77" s="118">
        <v>0.34</v>
      </c>
      <c r="AR77" s="118">
        <v>0.05</v>
      </c>
      <c r="AS77" s="118">
        <v>0.01</v>
      </c>
      <c r="AT77" s="118">
        <v>0.1</v>
      </c>
      <c r="AU77" s="118"/>
      <c r="AV77" s="124">
        <v>7.0449999999999999E-2</v>
      </c>
      <c r="AW77" s="124">
        <v>9.0670000000000001E-2</v>
      </c>
      <c r="AX77" s="124">
        <v>0.16312000000000001</v>
      </c>
      <c r="AY77" s="124">
        <v>9.0150000000000008E-2</v>
      </c>
      <c r="AZ77" s="124">
        <v>3.601E-2</v>
      </c>
      <c r="BA77" s="124">
        <v>4.3990000000000001E-2</v>
      </c>
      <c r="BB77" s="124">
        <v>0.14949999999999999</v>
      </c>
      <c r="BC77" s="124">
        <v>9.8479999999999998E-2</v>
      </c>
      <c r="BD77" s="124">
        <v>2.8979999999999999E-2</v>
      </c>
      <c r="BE77" s="124">
        <v>0.14263999999999999</v>
      </c>
      <c r="BF77" s="124">
        <v>0.15591999999999998</v>
      </c>
      <c r="BG77" s="124">
        <v>0.22256000000000001</v>
      </c>
      <c r="BH77" s="124">
        <v>0.30195</v>
      </c>
      <c r="BI77" s="124">
        <v>0.41431000000000001</v>
      </c>
      <c r="BJ77" s="124">
        <v>0.12068999999999999</v>
      </c>
      <c r="BK77" s="124">
        <v>0.12841</v>
      </c>
      <c r="BL77" s="124">
        <v>0.15825999999999998</v>
      </c>
      <c r="BM77" s="124">
        <v>8.3299999999999999E-2</v>
      </c>
      <c r="BN77" s="118">
        <v>46.3</v>
      </c>
      <c r="BO77" s="118">
        <v>59</v>
      </c>
      <c r="BP77" s="118">
        <v>15</v>
      </c>
      <c r="BQ77" s="118"/>
      <c r="BR77" s="154" t="s">
        <v>85</v>
      </c>
      <c r="BS77" s="154" t="s">
        <v>85</v>
      </c>
      <c r="BT77" s="154" t="s">
        <v>85</v>
      </c>
      <c r="BU77" s="154">
        <v>39.42</v>
      </c>
      <c r="BV77" s="154" t="s">
        <v>85</v>
      </c>
      <c r="BW77" s="154">
        <v>13.04</v>
      </c>
      <c r="BX77" s="154" t="s">
        <v>85</v>
      </c>
      <c r="BY77" s="154" t="s">
        <v>85</v>
      </c>
      <c r="BZ77" s="154">
        <v>56.32</v>
      </c>
      <c r="CA77" s="154">
        <v>16.02</v>
      </c>
      <c r="CB77" s="154"/>
      <c r="CC77" s="154" t="s">
        <v>85</v>
      </c>
      <c r="CD77" s="154">
        <v>24</v>
      </c>
      <c r="CE77" s="154" t="s">
        <v>85</v>
      </c>
      <c r="CF77" s="154" t="s">
        <v>85</v>
      </c>
      <c r="CG77" s="205"/>
    </row>
    <row r="78" spans="1:85">
      <c r="A78" s="122">
        <v>25019</v>
      </c>
      <c r="B78" s="122" t="s">
        <v>380</v>
      </c>
      <c r="C78" s="122" t="s">
        <v>381</v>
      </c>
      <c r="D78" s="122" t="s">
        <v>382</v>
      </c>
      <c r="E78" s="122" t="s">
        <v>76</v>
      </c>
      <c r="F78" s="122" t="s">
        <v>1215</v>
      </c>
      <c r="G78" s="163" t="s">
        <v>1216</v>
      </c>
      <c r="H78" s="122">
        <v>13</v>
      </c>
      <c r="I78" s="128" t="s">
        <v>295</v>
      </c>
      <c r="J78" s="118">
        <v>21.27</v>
      </c>
      <c r="K78" s="118">
        <v>89.14</v>
      </c>
      <c r="L78" s="118">
        <v>1.47</v>
      </c>
      <c r="M78" s="118">
        <v>0.63</v>
      </c>
      <c r="N78" s="118">
        <v>2.15</v>
      </c>
      <c r="O78" s="118">
        <v>5.25</v>
      </c>
      <c r="P78" s="118">
        <v>0.02</v>
      </c>
      <c r="Q78" s="118">
        <v>0.02</v>
      </c>
      <c r="R78" s="118">
        <v>0.28000000000000003</v>
      </c>
      <c r="S78" s="118">
        <v>0.35</v>
      </c>
      <c r="T78" s="118">
        <v>0.13</v>
      </c>
      <c r="U78" s="118">
        <v>49.27</v>
      </c>
      <c r="V78" s="118"/>
      <c r="W78" s="118">
        <v>6.49</v>
      </c>
      <c r="X78" s="118">
        <v>1.29</v>
      </c>
      <c r="Y78" s="118">
        <v>0.19</v>
      </c>
      <c r="Z78" s="118">
        <v>3.38</v>
      </c>
      <c r="AA78" s="118"/>
      <c r="AB78" s="118"/>
      <c r="AC78" s="118"/>
      <c r="AD78" s="118">
        <v>35.36</v>
      </c>
      <c r="AE78" s="118"/>
      <c r="AF78" s="118"/>
      <c r="AG78" s="118"/>
      <c r="AH78" s="118"/>
      <c r="AI78" s="118">
        <v>34.06</v>
      </c>
      <c r="AJ78" s="118">
        <v>0.1</v>
      </c>
      <c r="AK78" s="118">
        <v>0.4</v>
      </c>
      <c r="AL78" s="118">
        <v>39.76</v>
      </c>
      <c r="AM78" s="118">
        <v>1.0900000000000001</v>
      </c>
      <c r="AN78" s="118">
        <v>47.31</v>
      </c>
      <c r="AO78" s="118">
        <v>488</v>
      </c>
      <c r="AP78" s="118">
        <v>2.82</v>
      </c>
      <c r="AQ78" s="118">
        <v>0.42</v>
      </c>
      <c r="AR78" s="118">
        <v>0.27</v>
      </c>
      <c r="AS78" s="118">
        <v>0.03</v>
      </c>
      <c r="AT78" s="118">
        <v>0.2</v>
      </c>
      <c r="AU78" s="118"/>
      <c r="AV78" s="124"/>
      <c r="AW78" s="124"/>
      <c r="AX78" s="124"/>
      <c r="AY78" s="124"/>
      <c r="AZ78" s="124"/>
      <c r="BA78" s="124"/>
      <c r="BB78" s="124"/>
      <c r="BC78" s="124"/>
      <c r="BD78" s="124"/>
      <c r="BE78" s="124"/>
      <c r="BF78" s="124"/>
      <c r="BG78" s="124"/>
      <c r="BH78" s="124"/>
      <c r="BI78" s="124"/>
      <c r="BJ78" s="124"/>
      <c r="BK78" s="124"/>
      <c r="BL78" s="124"/>
      <c r="BM78" s="124"/>
      <c r="BN78" s="118">
        <v>4.43</v>
      </c>
      <c r="BO78" s="118">
        <v>2.52</v>
      </c>
      <c r="BP78" s="118"/>
      <c r="BQ78" s="154">
        <v>13.5</v>
      </c>
      <c r="BR78" s="154" t="s">
        <v>85</v>
      </c>
      <c r="BS78" s="154" t="s">
        <v>85</v>
      </c>
      <c r="BT78" s="154">
        <v>1.87</v>
      </c>
      <c r="BU78" s="154">
        <v>125</v>
      </c>
      <c r="BV78" s="154" t="s">
        <v>85</v>
      </c>
      <c r="BW78" s="154">
        <v>29.84</v>
      </c>
      <c r="BX78" s="154" t="s">
        <v>85</v>
      </c>
      <c r="BY78" s="154" t="s">
        <v>85</v>
      </c>
      <c r="BZ78" s="154">
        <v>154</v>
      </c>
      <c r="CA78" s="154">
        <v>44.08</v>
      </c>
      <c r="CB78" s="154"/>
      <c r="CC78" s="154" t="s">
        <v>85</v>
      </c>
      <c r="CD78" s="154">
        <v>3.25</v>
      </c>
      <c r="CE78" s="154" t="s">
        <v>85</v>
      </c>
      <c r="CF78" s="154" t="s">
        <v>85</v>
      </c>
      <c r="CG78" s="205"/>
    </row>
    <row r="79" spans="1:85">
      <c r="A79" s="122">
        <v>25020</v>
      </c>
      <c r="B79" s="122" t="s">
        <v>384</v>
      </c>
      <c r="C79" s="122" t="s">
        <v>385</v>
      </c>
      <c r="D79" s="122" t="s">
        <v>382</v>
      </c>
      <c r="E79" s="122" t="s">
        <v>82</v>
      </c>
      <c r="F79" s="122" t="s">
        <v>386</v>
      </c>
      <c r="G79" s="163" t="s">
        <v>387</v>
      </c>
      <c r="H79" s="122">
        <v>2</v>
      </c>
      <c r="I79" s="128" t="s">
        <v>295</v>
      </c>
      <c r="J79" s="118">
        <v>39.44</v>
      </c>
      <c r="K79" s="118">
        <v>87.53</v>
      </c>
      <c r="L79" s="118">
        <v>0.35</v>
      </c>
      <c r="M79" s="118">
        <v>0.16</v>
      </c>
      <c r="N79" s="118">
        <v>8.64</v>
      </c>
      <c r="O79" s="118">
        <v>2.12</v>
      </c>
      <c r="P79" s="118">
        <v>0.02</v>
      </c>
      <c r="Q79" s="118">
        <v>0.02</v>
      </c>
      <c r="R79" s="118">
        <v>0.18</v>
      </c>
      <c r="S79" s="118">
        <v>0.24</v>
      </c>
      <c r="T79" s="118">
        <v>0.14000000000000001</v>
      </c>
      <c r="U79" s="118">
        <v>12.85</v>
      </c>
      <c r="V79" s="118"/>
      <c r="W79" s="118">
        <v>3.77</v>
      </c>
      <c r="X79" s="118">
        <v>0.32</v>
      </c>
      <c r="Y79" s="118">
        <v>0.02</v>
      </c>
      <c r="Z79" s="118">
        <v>2.5</v>
      </c>
      <c r="AA79" s="118"/>
      <c r="AB79" s="125">
        <f>AA79+1/12*(AD79)+1/24*(AC79)+1/24*(AG79)</f>
        <v>0.19916666666666666</v>
      </c>
      <c r="AC79" s="118"/>
      <c r="AD79" s="118">
        <v>2.39</v>
      </c>
      <c r="AE79" s="118">
        <v>26.3</v>
      </c>
      <c r="AF79" s="118"/>
      <c r="AG79" s="118"/>
      <c r="AH79" s="118">
        <v>3.68</v>
      </c>
      <c r="AI79" s="118">
        <v>11.24</v>
      </c>
      <c r="AJ79" s="118">
        <v>0.04</v>
      </c>
      <c r="AK79" s="118">
        <v>0.26</v>
      </c>
      <c r="AL79" s="118">
        <v>32.82</v>
      </c>
      <c r="AM79" s="118">
        <v>0.1</v>
      </c>
      <c r="AN79" s="118">
        <v>16.309999999999999</v>
      </c>
      <c r="AO79" s="118">
        <v>373</v>
      </c>
      <c r="AP79" s="118">
        <v>0.45</v>
      </c>
      <c r="AQ79" s="118">
        <v>0.14000000000000001</v>
      </c>
      <c r="AR79" s="118">
        <v>2.75E-2</v>
      </c>
      <c r="AS79" s="118">
        <v>2.7100000000000002E-3</v>
      </c>
      <c r="AT79" s="118">
        <v>2.8500000000000001E-2</v>
      </c>
      <c r="AU79" s="118"/>
      <c r="AV79" s="118">
        <v>1.91</v>
      </c>
      <c r="AW79" s="118">
        <v>4.92</v>
      </c>
      <c r="AX79" s="118">
        <v>4.59</v>
      </c>
      <c r="AY79" s="118">
        <v>2.99</v>
      </c>
      <c r="AZ79" s="118">
        <v>1.57</v>
      </c>
      <c r="BA79" s="118">
        <v>0.99</v>
      </c>
      <c r="BB79" s="118">
        <v>4.5</v>
      </c>
      <c r="BC79" s="118">
        <v>4.8600000000000003</v>
      </c>
      <c r="BD79" s="118">
        <v>0.67</v>
      </c>
      <c r="BE79" s="118">
        <v>5.84</v>
      </c>
      <c r="BF79" s="118">
        <v>7.68</v>
      </c>
      <c r="BG79" s="118">
        <v>3.84</v>
      </c>
      <c r="BH79" s="118">
        <v>10.82</v>
      </c>
      <c r="BI79" s="118">
        <v>20.16</v>
      </c>
      <c r="BJ79" s="118">
        <v>4.0599999999999996</v>
      </c>
      <c r="BK79" s="118">
        <v>4.8899999999999997</v>
      </c>
      <c r="BL79" s="118">
        <v>5.0599999999999996</v>
      </c>
      <c r="BM79" s="118">
        <v>2.83</v>
      </c>
      <c r="BN79" s="118">
        <v>12.24</v>
      </c>
      <c r="BO79" s="118">
        <v>15.33</v>
      </c>
      <c r="BP79" s="118">
        <v>213</v>
      </c>
      <c r="BQ79" s="118"/>
      <c r="BR79" s="154" t="s">
        <v>85</v>
      </c>
      <c r="BS79" s="154" t="s">
        <v>85</v>
      </c>
      <c r="BT79" s="154" t="s">
        <v>85</v>
      </c>
      <c r="BU79" s="154">
        <v>19.55</v>
      </c>
      <c r="BV79" s="154" t="s">
        <v>85</v>
      </c>
      <c r="BW79" s="154">
        <v>2.06</v>
      </c>
      <c r="BX79" s="154" t="s">
        <v>85</v>
      </c>
      <c r="BY79" s="154" t="s">
        <v>85</v>
      </c>
      <c r="BZ79" s="154">
        <v>14.12</v>
      </c>
      <c r="CA79" s="154">
        <v>14.38</v>
      </c>
      <c r="CB79" s="154"/>
      <c r="CC79" s="154" t="s">
        <v>85</v>
      </c>
      <c r="CD79" s="154">
        <v>7.66</v>
      </c>
      <c r="CE79" s="154" t="s">
        <v>85</v>
      </c>
      <c r="CF79" s="154" t="s">
        <v>85</v>
      </c>
      <c r="CG79" s="205"/>
    </row>
    <row r="80" spans="1:85">
      <c r="A80" s="122">
        <v>24006</v>
      </c>
      <c r="B80" s="122" t="s">
        <v>388</v>
      </c>
      <c r="C80" s="122" t="s">
        <v>389</v>
      </c>
      <c r="D80" s="122" t="s">
        <v>360</v>
      </c>
      <c r="E80" s="122" t="s">
        <v>76</v>
      </c>
      <c r="F80" s="122" t="s">
        <v>1217</v>
      </c>
      <c r="G80" s="163" t="s">
        <v>1218</v>
      </c>
      <c r="H80" s="122">
        <v>13</v>
      </c>
      <c r="I80" s="128" t="s">
        <v>197</v>
      </c>
      <c r="J80" s="118">
        <v>74</v>
      </c>
      <c r="K80" s="118">
        <v>78.7</v>
      </c>
      <c r="L80" s="118">
        <v>1.2</v>
      </c>
      <c r="M80" s="118">
        <v>0.12</v>
      </c>
      <c r="N80" s="118">
        <v>15.08</v>
      </c>
      <c r="O80" s="118">
        <v>4.0999999999999996</v>
      </c>
      <c r="P80" s="118">
        <v>0.06</v>
      </c>
      <c r="Q80" s="118">
        <v>7.0000000000000007E-2</v>
      </c>
      <c r="R80" s="118">
        <v>0.7</v>
      </c>
      <c r="S80" s="118"/>
      <c r="T80" s="118">
        <v>0.28000000000000003</v>
      </c>
      <c r="U80" s="118">
        <v>22</v>
      </c>
      <c r="V80" s="118"/>
      <c r="W80" s="118">
        <v>4.5</v>
      </c>
      <c r="X80" s="118">
        <v>0</v>
      </c>
      <c r="Y80" s="118">
        <v>1.43</v>
      </c>
      <c r="Z80" s="118">
        <v>4.8</v>
      </c>
      <c r="AA80" s="118">
        <v>0</v>
      </c>
      <c r="AB80" s="118"/>
      <c r="AC80" s="118"/>
      <c r="AD80" s="118"/>
      <c r="AE80" s="118"/>
      <c r="AF80" s="118"/>
      <c r="AG80" s="118"/>
      <c r="AH80" s="118"/>
      <c r="AI80" s="118">
        <v>50</v>
      </c>
      <c r="AJ80" s="118">
        <v>0.17</v>
      </c>
      <c r="AK80" s="118">
        <v>0.6</v>
      </c>
      <c r="AL80" s="118">
        <v>33</v>
      </c>
      <c r="AM80" s="118">
        <v>0.28000000000000003</v>
      </c>
      <c r="AN80" s="118">
        <v>84</v>
      </c>
      <c r="AO80" s="118">
        <v>591</v>
      </c>
      <c r="AP80" s="118">
        <v>0.59</v>
      </c>
      <c r="AQ80" s="118">
        <v>0.23</v>
      </c>
      <c r="AR80" s="118"/>
      <c r="AS80" s="118"/>
      <c r="AT80" s="118"/>
      <c r="AU80" s="118"/>
      <c r="AV80" s="124"/>
      <c r="AW80" s="124"/>
      <c r="AX80" s="124"/>
      <c r="AY80" s="124"/>
      <c r="AZ80" s="124"/>
      <c r="BA80" s="124"/>
      <c r="BB80" s="124"/>
      <c r="BC80" s="124"/>
      <c r="BD80" s="124"/>
      <c r="BE80" s="124"/>
      <c r="BF80" s="124"/>
      <c r="BG80" s="124"/>
      <c r="BH80" s="124"/>
      <c r="BI80" s="124"/>
      <c r="BJ80" s="124"/>
      <c r="BK80" s="124"/>
      <c r="BL80" s="124"/>
      <c r="BM80" s="124"/>
      <c r="BN80" s="118">
        <v>56.27</v>
      </c>
      <c r="BO80" s="118"/>
      <c r="BP80" s="118"/>
      <c r="BQ80" s="118"/>
      <c r="BR80" s="154" t="s">
        <v>85</v>
      </c>
      <c r="BS80" s="154" t="s">
        <v>85</v>
      </c>
      <c r="BT80" s="154" t="s">
        <v>85</v>
      </c>
      <c r="BU80" s="154">
        <v>31.01</v>
      </c>
      <c r="BV80" s="154" t="s">
        <v>85</v>
      </c>
      <c r="BW80" s="154">
        <v>6.75</v>
      </c>
      <c r="BX80" s="154" t="s">
        <v>85</v>
      </c>
      <c r="BY80" s="154" t="s">
        <v>85</v>
      </c>
      <c r="BZ80" s="154">
        <v>57.08</v>
      </c>
      <c r="CA80" s="154">
        <v>16.440000000000001</v>
      </c>
      <c r="CB80" s="154"/>
      <c r="CC80" s="154" t="s">
        <v>85</v>
      </c>
      <c r="CD80" s="154">
        <v>21.54</v>
      </c>
      <c r="CE80" s="154" t="s">
        <v>85</v>
      </c>
      <c r="CF80" s="154" t="s">
        <v>85</v>
      </c>
      <c r="CG80" s="205"/>
    </row>
    <row r="81" spans="1:85">
      <c r="A81" s="122">
        <v>25021</v>
      </c>
      <c r="B81" s="122" t="s">
        <v>391</v>
      </c>
      <c r="C81" s="122" t="s">
        <v>392</v>
      </c>
      <c r="D81" s="122" t="s">
        <v>393</v>
      </c>
      <c r="E81" s="122" t="s">
        <v>76</v>
      </c>
      <c r="F81" s="122" t="s">
        <v>1219</v>
      </c>
      <c r="G81" s="163" t="s">
        <v>1220</v>
      </c>
      <c r="H81" s="122">
        <v>13</v>
      </c>
      <c r="I81" s="128" t="s">
        <v>295</v>
      </c>
      <c r="J81" s="118">
        <v>43</v>
      </c>
      <c r="K81" s="118">
        <v>85.15</v>
      </c>
      <c r="L81" s="118">
        <v>2.85</v>
      </c>
      <c r="M81" s="118">
        <v>0.2</v>
      </c>
      <c r="N81" s="118">
        <v>5.0999999999999996</v>
      </c>
      <c r="O81" s="118">
        <v>4.8</v>
      </c>
      <c r="P81" s="118">
        <v>0.04</v>
      </c>
      <c r="Q81" s="118">
        <v>0.04</v>
      </c>
      <c r="R81" s="118">
        <v>0.6</v>
      </c>
      <c r="S81" s="118">
        <v>0.56999999999999995</v>
      </c>
      <c r="T81" s="118">
        <v>0.12</v>
      </c>
      <c r="U81" s="118">
        <v>44</v>
      </c>
      <c r="V81" s="118">
        <v>0</v>
      </c>
      <c r="W81" s="118">
        <v>69.87</v>
      </c>
      <c r="X81" s="118">
        <v>1.67</v>
      </c>
      <c r="Y81" s="118"/>
      <c r="Z81" s="118">
        <v>358</v>
      </c>
      <c r="AA81" s="118">
        <v>0</v>
      </c>
      <c r="AB81" s="118">
        <v>25.92</v>
      </c>
      <c r="AC81" s="118"/>
      <c r="AD81" s="118">
        <v>311</v>
      </c>
      <c r="AE81" s="118">
        <v>145</v>
      </c>
      <c r="AF81" s="118"/>
      <c r="AG81" s="118"/>
      <c r="AH81" s="118">
        <v>5.52</v>
      </c>
      <c r="AI81" s="118">
        <v>23.83</v>
      </c>
      <c r="AJ81" s="118">
        <v>0.01</v>
      </c>
      <c r="AK81" s="118">
        <v>0.18</v>
      </c>
      <c r="AL81" s="118">
        <v>28</v>
      </c>
      <c r="AM81" s="118">
        <v>0.19</v>
      </c>
      <c r="AN81" s="118">
        <v>110</v>
      </c>
      <c r="AO81" s="118">
        <v>259</v>
      </c>
      <c r="AP81" s="118">
        <v>3.12</v>
      </c>
      <c r="AQ81" s="118">
        <v>0.16</v>
      </c>
      <c r="AR81" s="118">
        <v>0.03</v>
      </c>
      <c r="AS81" s="118">
        <v>0.05</v>
      </c>
      <c r="AT81" s="118">
        <v>0.03</v>
      </c>
      <c r="AU81" s="118"/>
      <c r="AV81" s="124">
        <v>5.1090000000000003E-2</v>
      </c>
      <c r="AW81" s="124">
        <v>8.0700000000000008E-2</v>
      </c>
      <c r="AX81" s="124">
        <v>0.15668000000000001</v>
      </c>
      <c r="AY81" s="124">
        <v>8.095999999999999E-2</v>
      </c>
      <c r="AZ81" s="124">
        <v>2.8820000000000002E-2</v>
      </c>
      <c r="BA81" s="124">
        <v>2.332E-2</v>
      </c>
      <c r="BB81" s="124">
        <v>8.9870000000000005E-2</v>
      </c>
      <c r="BC81" s="124">
        <v>0.10034999999999999</v>
      </c>
      <c r="BD81" s="124">
        <v>1.3890000000000001E-2</v>
      </c>
      <c r="BE81" s="124">
        <v>0.13152</v>
      </c>
      <c r="BF81" s="124">
        <v>0.14881999999999998</v>
      </c>
      <c r="BG81" s="124">
        <v>0.28637000000000001</v>
      </c>
      <c r="BH81" s="124">
        <v>0.24680000000000002</v>
      </c>
      <c r="BI81" s="124">
        <v>0.61046</v>
      </c>
      <c r="BJ81" s="124">
        <v>0.10244</v>
      </c>
      <c r="BK81" s="124">
        <v>8.8029999999999997E-2</v>
      </c>
      <c r="BL81" s="124">
        <v>0.12052</v>
      </c>
      <c r="BM81" s="124">
        <v>5.6590000000000001E-2</v>
      </c>
      <c r="BN81" s="118">
        <v>139</v>
      </c>
      <c r="BO81" s="118">
        <v>85.74</v>
      </c>
      <c r="BP81" s="118"/>
      <c r="BQ81" s="118"/>
      <c r="BR81" s="154" t="s">
        <v>85</v>
      </c>
      <c r="BS81" s="154" t="s">
        <v>85</v>
      </c>
      <c r="BT81" s="154">
        <v>0.52</v>
      </c>
      <c r="BU81" s="154">
        <v>19.22</v>
      </c>
      <c r="BV81" s="154" t="s">
        <v>85</v>
      </c>
      <c r="BW81" s="154">
        <v>45.05</v>
      </c>
      <c r="BX81" s="154" t="s">
        <v>85</v>
      </c>
      <c r="BY81" s="154" t="s">
        <v>85</v>
      </c>
      <c r="BZ81" s="154">
        <v>19.14</v>
      </c>
      <c r="CA81" s="154">
        <v>8.07</v>
      </c>
      <c r="CB81" s="154"/>
      <c r="CC81" s="154" t="s">
        <v>85</v>
      </c>
      <c r="CD81" s="154">
        <v>28.05</v>
      </c>
      <c r="CE81" s="154" t="s">
        <v>85</v>
      </c>
      <c r="CF81" s="154" t="s">
        <v>85</v>
      </c>
      <c r="CG81" s="205"/>
    </row>
    <row r="82" spans="1:85">
      <c r="A82" s="122">
        <v>22004</v>
      </c>
      <c r="B82" s="122" t="s">
        <v>399</v>
      </c>
      <c r="C82" s="122" t="s">
        <v>396</v>
      </c>
      <c r="D82" s="122" t="s">
        <v>397</v>
      </c>
      <c r="E82" s="122" t="s">
        <v>76</v>
      </c>
      <c r="F82" s="122" t="s">
        <v>1221</v>
      </c>
      <c r="G82" s="163" t="s">
        <v>1222</v>
      </c>
      <c r="H82" s="122">
        <v>13</v>
      </c>
      <c r="I82" s="128" t="s">
        <v>295</v>
      </c>
      <c r="J82" s="118">
        <v>16</v>
      </c>
      <c r="K82" s="118">
        <v>95.01</v>
      </c>
      <c r="L82" s="118">
        <v>1.1000000000000001</v>
      </c>
      <c r="M82" s="118">
        <v>0.2</v>
      </c>
      <c r="N82" s="118">
        <v>1.4</v>
      </c>
      <c r="O82" s="118">
        <v>1.7</v>
      </c>
      <c r="P82" s="118">
        <v>0.04</v>
      </c>
      <c r="Q82" s="118">
        <v>0.04</v>
      </c>
      <c r="R82" s="118">
        <v>0.52</v>
      </c>
      <c r="S82" s="118">
        <v>0.19</v>
      </c>
      <c r="T82" s="118">
        <v>0.05</v>
      </c>
      <c r="U82" s="118">
        <v>15</v>
      </c>
      <c r="V82" s="118">
        <v>0</v>
      </c>
      <c r="W82" s="118">
        <v>12.29</v>
      </c>
      <c r="X82" s="118">
        <v>9.5299999999999994</v>
      </c>
      <c r="Y82" s="118">
        <v>0.25</v>
      </c>
      <c r="Z82" s="118">
        <v>24.12</v>
      </c>
      <c r="AA82" s="118"/>
      <c r="AB82" s="118">
        <v>13</v>
      </c>
      <c r="AC82" s="118">
        <v>101</v>
      </c>
      <c r="AD82" s="118">
        <v>103.85</v>
      </c>
      <c r="AE82" s="118">
        <v>1266</v>
      </c>
      <c r="AF82" s="118">
        <v>2108.5</v>
      </c>
      <c r="AG82" s="118"/>
      <c r="AH82" s="118">
        <v>14.24</v>
      </c>
      <c r="AI82" s="118">
        <v>12.95</v>
      </c>
      <c r="AJ82" s="118">
        <v>0.97</v>
      </c>
      <c r="AK82" s="118">
        <v>0.2</v>
      </c>
      <c r="AL82" s="118">
        <v>7</v>
      </c>
      <c r="AM82" s="118">
        <v>0.09</v>
      </c>
      <c r="AN82" s="118">
        <v>17</v>
      </c>
      <c r="AO82" s="118">
        <v>156</v>
      </c>
      <c r="AP82" s="118"/>
      <c r="AQ82" s="118">
        <v>0.12</v>
      </c>
      <c r="AR82" s="118">
        <v>0.06</v>
      </c>
      <c r="AS82" s="118">
        <v>0.04</v>
      </c>
      <c r="AT82" s="118">
        <v>0.16</v>
      </c>
      <c r="AU82" s="118"/>
      <c r="AV82" s="124">
        <v>2.3699999999999999E-2</v>
      </c>
      <c r="AW82" s="124">
        <v>2.0670000000000001E-2</v>
      </c>
      <c r="AX82" s="124">
        <v>3.6889999999999999E-2</v>
      </c>
      <c r="AY82" s="124">
        <v>2.0250000000000001E-2</v>
      </c>
      <c r="AZ82" s="124">
        <v>5.5999999999999999E-3</v>
      </c>
      <c r="BA82" s="124">
        <v>7.8399999999999997E-3</v>
      </c>
      <c r="BB82" s="124">
        <v>3.669E-2</v>
      </c>
      <c r="BC82" s="124">
        <v>2.1700000000000001E-2</v>
      </c>
      <c r="BD82" s="124">
        <v>4.81E-3</v>
      </c>
      <c r="BE82" s="124">
        <v>2.4899999999999999E-2</v>
      </c>
      <c r="BF82" s="124">
        <v>3.7060000000000003E-2</v>
      </c>
      <c r="BG82" s="124">
        <v>1.9050000000000001E-2</v>
      </c>
      <c r="BH82" s="124">
        <v>0.11193</v>
      </c>
      <c r="BI82" s="124">
        <v>0.31825999999999999</v>
      </c>
      <c r="BJ82" s="124">
        <v>3.1129999999999998E-2</v>
      </c>
      <c r="BK82" s="124">
        <v>2.1999999999999999E-2</v>
      </c>
      <c r="BL82" s="124">
        <v>2.9340000000000001E-2</v>
      </c>
      <c r="BM82" s="124">
        <v>2.2159999999999999E-2</v>
      </c>
      <c r="BN82" s="118">
        <v>26.35</v>
      </c>
      <c r="BO82" s="118">
        <v>2.4900000000000002</v>
      </c>
      <c r="BP82" s="118">
        <v>4</v>
      </c>
      <c r="BQ82" s="118">
        <v>7</v>
      </c>
      <c r="BR82" s="154" t="s">
        <v>85</v>
      </c>
      <c r="BS82" s="154" t="s">
        <v>85</v>
      </c>
      <c r="BT82" s="154" t="s">
        <v>85</v>
      </c>
      <c r="BU82" s="154">
        <v>35.229999999999997</v>
      </c>
      <c r="BV82" s="154" t="s">
        <v>85</v>
      </c>
      <c r="BW82" s="154">
        <v>29.25</v>
      </c>
      <c r="BX82" s="154" t="s">
        <v>85</v>
      </c>
      <c r="BY82" s="154" t="s">
        <v>85</v>
      </c>
      <c r="BZ82" s="154">
        <v>104</v>
      </c>
      <c r="CA82" s="154">
        <v>14.7</v>
      </c>
      <c r="CB82" s="154"/>
      <c r="CC82" s="154" t="s">
        <v>85</v>
      </c>
      <c r="CD82" s="154">
        <v>16.77</v>
      </c>
      <c r="CE82" s="154" t="s">
        <v>85</v>
      </c>
      <c r="CF82" s="154" t="s">
        <v>85</v>
      </c>
      <c r="CG82" s="205">
        <v>2</v>
      </c>
    </row>
    <row r="83" spans="1:85">
      <c r="A83" s="122">
        <v>25022</v>
      </c>
      <c r="B83" s="122" t="s">
        <v>401</v>
      </c>
      <c r="C83" s="122" t="s">
        <v>402</v>
      </c>
      <c r="D83" s="122" t="s">
        <v>403</v>
      </c>
      <c r="E83" s="122" t="s">
        <v>76</v>
      </c>
      <c r="F83" s="122" t="s">
        <v>1223</v>
      </c>
      <c r="G83" s="163" t="s">
        <v>1224</v>
      </c>
      <c r="H83" s="122">
        <v>13</v>
      </c>
      <c r="I83" s="128" t="s">
        <v>295</v>
      </c>
      <c r="J83" s="118">
        <v>31</v>
      </c>
      <c r="K83" s="118">
        <v>90.36</v>
      </c>
      <c r="L83" s="118">
        <v>2.06</v>
      </c>
      <c r="M83" s="118">
        <v>0.34</v>
      </c>
      <c r="N83" s="118">
        <v>3.59</v>
      </c>
      <c r="O83" s="118">
        <v>2.6</v>
      </c>
      <c r="P83" s="118">
        <v>0.05</v>
      </c>
      <c r="Q83" s="118">
        <v>0.03</v>
      </c>
      <c r="R83" s="118">
        <v>0.4</v>
      </c>
      <c r="S83" s="118">
        <v>0.21</v>
      </c>
      <c r="T83" s="118"/>
      <c r="U83" s="118">
        <v>45</v>
      </c>
      <c r="V83" s="118">
        <v>0</v>
      </c>
      <c r="W83" s="118">
        <v>90.63</v>
      </c>
      <c r="X83" s="118">
        <v>1.88</v>
      </c>
      <c r="Y83" s="118">
        <v>0.03</v>
      </c>
      <c r="Z83" s="118">
        <v>4.55</v>
      </c>
      <c r="AA83" s="118">
        <v>0</v>
      </c>
      <c r="AB83" s="118">
        <v>23.79</v>
      </c>
      <c r="AC83" s="118">
        <v>95</v>
      </c>
      <c r="AD83" s="118">
        <v>237.97</v>
      </c>
      <c r="AE83" s="118"/>
      <c r="AF83" s="118"/>
      <c r="AG83" s="118"/>
      <c r="AH83" s="118"/>
      <c r="AI83" s="118">
        <v>15.98</v>
      </c>
      <c r="AJ83" s="118">
        <v>0.27</v>
      </c>
      <c r="AK83" s="118">
        <v>1.78</v>
      </c>
      <c r="AL83" s="118">
        <v>31.25</v>
      </c>
      <c r="AM83" s="118">
        <v>0.25</v>
      </c>
      <c r="AN83" s="118">
        <v>19.72</v>
      </c>
      <c r="AO83" s="118">
        <v>182.04</v>
      </c>
      <c r="AP83" s="118">
        <v>4.97</v>
      </c>
      <c r="AQ83" s="118">
        <v>0.35</v>
      </c>
      <c r="AR83" s="118">
        <v>0.14000000000000001</v>
      </c>
      <c r="AS83" s="118">
        <v>0.01</v>
      </c>
      <c r="AT83" s="118">
        <v>0.05</v>
      </c>
      <c r="AU83" s="118"/>
      <c r="AV83" s="124">
        <v>5.0709999999999998E-2</v>
      </c>
      <c r="AW83" s="124">
        <v>6.9589999999999999E-2</v>
      </c>
      <c r="AX83" s="124">
        <v>0.10701999999999999</v>
      </c>
      <c r="AY83" s="124">
        <v>9.348999999999999E-2</v>
      </c>
      <c r="AZ83" s="124">
        <v>2.2679999999999999E-2</v>
      </c>
      <c r="BA83" s="124">
        <v>1.3480000000000001E-2</v>
      </c>
      <c r="BB83" s="124">
        <v>4.249E-2</v>
      </c>
      <c r="BC83" s="124">
        <v>6.8909999999999999E-2</v>
      </c>
      <c r="BD83" s="124">
        <v>1.9559999999999998E-2</v>
      </c>
      <c r="BE83" s="124">
        <v>9.6170000000000005E-2</v>
      </c>
      <c r="BF83" s="124">
        <v>7.4609999999999996E-2</v>
      </c>
      <c r="BG83" s="124">
        <v>0.19344999999999998</v>
      </c>
      <c r="BH83" s="124">
        <v>0.11592</v>
      </c>
      <c r="BI83" s="124">
        <v>0.12720999999999999</v>
      </c>
      <c r="BJ83" s="124">
        <v>7.8109999999999999E-2</v>
      </c>
      <c r="BK83" s="124">
        <v>6.8860000000000005E-2</v>
      </c>
      <c r="BL83" s="124">
        <v>6.2200000000000005E-2</v>
      </c>
      <c r="BM83" s="124">
        <v>6.8430000000000005E-2</v>
      </c>
      <c r="BN83" s="118">
        <v>49.76</v>
      </c>
      <c r="BO83" s="118">
        <v>13.64</v>
      </c>
      <c r="BP83" s="118"/>
      <c r="BQ83" s="118"/>
      <c r="BR83" s="154" t="s">
        <v>85</v>
      </c>
      <c r="BS83" s="154" t="s">
        <v>85</v>
      </c>
      <c r="BT83" s="154">
        <v>2.99</v>
      </c>
      <c r="BU83" s="154">
        <v>78.62</v>
      </c>
      <c r="BV83" s="154" t="s">
        <v>85</v>
      </c>
      <c r="BW83" s="154">
        <v>4.55</v>
      </c>
      <c r="BX83" s="154" t="s">
        <v>85</v>
      </c>
      <c r="BY83" s="154" t="s">
        <v>85</v>
      </c>
      <c r="BZ83" s="154">
        <v>17.739999999999998</v>
      </c>
      <c r="CA83" s="154">
        <v>23.04</v>
      </c>
      <c r="CB83" s="154"/>
      <c r="CC83" s="154" t="s">
        <v>85</v>
      </c>
      <c r="CD83" s="154">
        <v>41.25</v>
      </c>
      <c r="CE83" s="154" t="s">
        <v>85</v>
      </c>
      <c r="CF83" s="154" t="s">
        <v>85</v>
      </c>
      <c r="CG83" s="205"/>
    </row>
    <row r="84" spans="1:85">
      <c r="A84" s="122">
        <v>25023</v>
      </c>
      <c r="B84" s="122" t="s">
        <v>405</v>
      </c>
      <c r="C84" s="122" t="s">
        <v>406</v>
      </c>
      <c r="D84" s="127" t="s">
        <v>407</v>
      </c>
      <c r="E84" s="122" t="s">
        <v>103</v>
      </c>
      <c r="F84" s="122">
        <v>16133</v>
      </c>
      <c r="G84" s="163" t="s">
        <v>408</v>
      </c>
      <c r="H84" s="122">
        <v>13</v>
      </c>
      <c r="I84" s="128" t="s">
        <v>295</v>
      </c>
      <c r="J84" s="118">
        <v>347</v>
      </c>
      <c r="K84" s="118">
        <v>8.43</v>
      </c>
      <c r="L84" s="118">
        <v>24.3</v>
      </c>
      <c r="M84" s="118">
        <v>1.31</v>
      </c>
      <c r="N84" s="118">
        <v>61.9</v>
      </c>
      <c r="O84" s="118">
        <v>11</v>
      </c>
      <c r="P84" s="118">
        <v>0.88700000000000001</v>
      </c>
      <c r="Q84" s="118">
        <v>0.23499999999999999</v>
      </c>
      <c r="R84" s="118">
        <v>2.16</v>
      </c>
      <c r="S84" s="118">
        <v>1.56</v>
      </c>
      <c r="T84" s="118">
        <v>0.371</v>
      </c>
      <c r="U84" s="118">
        <v>658</v>
      </c>
      <c r="V84" s="118">
        <v>0</v>
      </c>
      <c r="W84" s="118">
        <v>1.6</v>
      </c>
      <c r="X84" s="118">
        <v>0</v>
      </c>
      <c r="Y84" s="118"/>
      <c r="Z84" s="118"/>
      <c r="AA84" s="118">
        <v>0</v>
      </c>
      <c r="AB84" s="118">
        <v>3</v>
      </c>
      <c r="AC84" s="118"/>
      <c r="AD84" s="118"/>
      <c r="AE84" s="118"/>
      <c r="AF84" s="118"/>
      <c r="AG84" s="118"/>
      <c r="AH84" s="118"/>
      <c r="AI84" s="118">
        <v>138</v>
      </c>
      <c r="AJ84" s="118">
        <v>0.879</v>
      </c>
      <c r="AK84" s="118">
        <v>8.61</v>
      </c>
      <c r="AL84" s="118">
        <v>338</v>
      </c>
      <c r="AM84" s="118">
        <v>1.59</v>
      </c>
      <c r="AN84" s="118">
        <v>559</v>
      </c>
      <c r="AO84" s="118">
        <v>1160</v>
      </c>
      <c r="AP84" s="118">
        <v>8.1999999999999993</v>
      </c>
      <c r="AQ84" s="118">
        <v>3.5</v>
      </c>
      <c r="AR84" s="118">
        <v>0.33900000000000002</v>
      </c>
      <c r="AS84" s="118">
        <v>0.114</v>
      </c>
      <c r="AT84" s="118">
        <v>0.56499999999999995</v>
      </c>
      <c r="AU84" s="118">
        <v>0</v>
      </c>
      <c r="AV84" s="118">
        <v>0.755</v>
      </c>
      <c r="AW84" s="118">
        <v>0.98899999999999999</v>
      </c>
      <c r="AX84" s="118">
        <v>1.86</v>
      </c>
      <c r="AY84" s="118">
        <v>1.65</v>
      </c>
      <c r="AZ84" s="118">
        <v>0.34599999999999997</v>
      </c>
      <c r="BA84" s="118">
        <v>0.26900000000000002</v>
      </c>
      <c r="BB84" s="118">
        <v>1.42</v>
      </c>
      <c r="BC84" s="118">
        <v>0.92600000000000005</v>
      </c>
      <c r="BD84" s="118">
        <v>0.3</v>
      </c>
      <c r="BE84" s="118">
        <v>1.1599999999999999</v>
      </c>
      <c r="BF84" s="118">
        <v>1.1100000000000001</v>
      </c>
      <c r="BG84" s="118">
        <v>1.68</v>
      </c>
      <c r="BH84" s="118">
        <v>2.94</v>
      </c>
      <c r="BI84" s="118">
        <v>4.6100000000000003</v>
      </c>
      <c r="BJ84" s="118">
        <v>1</v>
      </c>
      <c r="BK84" s="118">
        <v>1.0900000000000001</v>
      </c>
      <c r="BL84" s="118">
        <v>1.22</v>
      </c>
      <c r="BM84" s="118">
        <v>0.78600000000000003</v>
      </c>
      <c r="BN84" s="118"/>
      <c r="BO84" s="118"/>
      <c r="BP84" s="118"/>
      <c r="BQ84" s="205"/>
      <c r="BR84" s="205"/>
      <c r="BS84" s="205"/>
      <c r="BT84" s="205"/>
      <c r="BU84" s="205"/>
      <c r="BV84" s="205"/>
      <c r="BW84" s="205"/>
      <c r="BX84" s="205"/>
      <c r="BY84" s="205"/>
      <c r="BZ84" s="205"/>
      <c r="CA84" s="205"/>
      <c r="CB84" s="205"/>
      <c r="CC84" s="205"/>
      <c r="CD84" s="205"/>
      <c r="CE84" s="205"/>
      <c r="CF84" s="205"/>
      <c r="CG84" s="205"/>
    </row>
    <row r="85" spans="1:85">
      <c r="A85" s="122">
        <v>25024</v>
      </c>
      <c r="B85" s="122" t="s">
        <v>409</v>
      </c>
      <c r="C85" s="122" t="s">
        <v>410</v>
      </c>
      <c r="D85" s="122" t="s">
        <v>411</v>
      </c>
      <c r="E85" s="122" t="s">
        <v>76</v>
      </c>
      <c r="F85" s="122" t="s">
        <v>1225</v>
      </c>
      <c r="G85" s="163" t="s">
        <v>1226</v>
      </c>
      <c r="H85" s="122">
        <v>13</v>
      </c>
      <c r="I85" s="128" t="s">
        <v>295</v>
      </c>
      <c r="J85" s="118">
        <v>22</v>
      </c>
      <c r="K85" s="118">
        <v>92.88</v>
      </c>
      <c r="L85" s="118">
        <v>1.6</v>
      </c>
      <c r="M85" s="118">
        <v>0.3</v>
      </c>
      <c r="N85" s="118">
        <v>1.8</v>
      </c>
      <c r="O85" s="118">
        <v>3.1</v>
      </c>
      <c r="P85" s="118">
        <v>0.06</v>
      </c>
      <c r="Q85" s="118">
        <v>0.05</v>
      </c>
      <c r="R85" s="118"/>
      <c r="S85" s="118">
        <v>0.45</v>
      </c>
      <c r="T85" s="118">
        <v>0.13</v>
      </c>
      <c r="U85" s="118">
        <v>43</v>
      </c>
      <c r="V85" s="118">
        <v>0</v>
      </c>
      <c r="W85" s="118">
        <v>15.89</v>
      </c>
      <c r="X85" s="118">
        <v>1</v>
      </c>
      <c r="Y85" s="118">
        <v>0.05</v>
      </c>
      <c r="Z85" s="118">
        <v>111</v>
      </c>
      <c r="AA85" s="118">
        <v>0</v>
      </c>
      <c r="AB85" s="118">
        <v>6</v>
      </c>
      <c r="AC85" s="118">
        <v>33</v>
      </c>
      <c r="AD85" s="118">
        <v>59</v>
      </c>
      <c r="AE85" s="118">
        <v>3.98</v>
      </c>
      <c r="AF85" s="118"/>
      <c r="AG85" s="118"/>
      <c r="AH85" s="118"/>
      <c r="AI85" s="118">
        <v>42</v>
      </c>
      <c r="AJ85" s="118">
        <v>0.03</v>
      </c>
      <c r="AK85" s="118">
        <v>0.4</v>
      </c>
      <c r="AL85" s="118">
        <v>15</v>
      </c>
      <c r="AM85" s="118">
        <v>0.19</v>
      </c>
      <c r="AN85" s="118">
        <v>30</v>
      </c>
      <c r="AO85" s="118">
        <v>233</v>
      </c>
      <c r="AP85" s="118">
        <v>1.85</v>
      </c>
      <c r="AQ85" s="118">
        <v>0.38</v>
      </c>
      <c r="AR85" s="118">
        <v>0.05</v>
      </c>
      <c r="AS85" s="118">
        <v>0.03</v>
      </c>
      <c r="AT85" s="118">
        <v>0.09</v>
      </c>
      <c r="AU85" s="118"/>
      <c r="AV85" s="124">
        <v>2.1219999999999999E-2</v>
      </c>
      <c r="AW85" s="124">
        <v>4.8420000000000005E-2</v>
      </c>
      <c r="AX85" s="124">
        <v>7.2219999999999993E-2</v>
      </c>
      <c r="AY85" s="124">
        <v>4.2430000000000002E-2</v>
      </c>
      <c r="AZ85" s="124">
        <v>1.4420000000000001E-2</v>
      </c>
      <c r="BA85" s="124">
        <v>1.2240000000000001E-2</v>
      </c>
      <c r="BB85" s="124">
        <v>3.4820000000000004E-2</v>
      </c>
      <c r="BC85" s="124">
        <v>5.1139999999999998E-2</v>
      </c>
      <c r="BD85" s="124">
        <v>1.265E-2</v>
      </c>
      <c r="BE85" s="124">
        <v>6.5689999999999998E-2</v>
      </c>
      <c r="BF85" s="124">
        <v>8.5140000000000007E-2</v>
      </c>
      <c r="BG85" s="124">
        <v>6.2149999999999997E-2</v>
      </c>
      <c r="BH85" s="124">
        <v>0.14362</v>
      </c>
      <c r="BI85" s="124">
        <v>0.34408</v>
      </c>
      <c r="BJ85" s="124">
        <v>4.4060000000000002E-2</v>
      </c>
      <c r="BK85" s="124">
        <v>5.4130000000000005E-2</v>
      </c>
      <c r="BL85" s="124">
        <v>5.4670000000000003E-2</v>
      </c>
      <c r="BM85" s="124">
        <v>2.87E-2</v>
      </c>
      <c r="BN85" s="118">
        <v>27.97</v>
      </c>
      <c r="BO85" s="118">
        <v>11.77</v>
      </c>
      <c r="BP85" s="118"/>
      <c r="BQ85" s="118">
        <v>10.7</v>
      </c>
      <c r="BR85" s="154" t="s">
        <v>85</v>
      </c>
      <c r="BS85" s="154" t="s">
        <v>85</v>
      </c>
      <c r="BT85" s="154" t="s">
        <v>85</v>
      </c>
      <c r="BU85" s="154">
        <v>29.26</v>
      </c>
      <c r="BV85" s="154" t="s">
        <v>85</v>
      </c>
      <c r="BW85" s="154">
        <v>15.97</v>
      </c>
      <c r="BX85" s="154" t="s">
        <v>85</v>
      </c>
      <c r="BY85" s="154" t="s">
        <v>85</v>
      </c>
      <c r="BZ85" s="154">
        <v>11.68</v>
      </c>
      <c r="CA85" s="154">
        <v>43.33</v>
      </c>
      <c r="CB85" s="154"/>
      <c r="CC85" s="154" t="s">
        <v>85</v>
      </c>
      <c r="CD85" s="154">
        <v>3.76</v>
      </c>
      <c r="CE85" s="154" t="s">
        <v>85</v>
      </c>
      <c r="CF85" s="154" t="s">
        <v>85</v>
      </c>
      <c r="CG85" s="205">
        <v>1</v>
      </c>
    </row>
    <row r="86" spans="1:85">
      <c r="A86" s="122">
        <v>25025</v>
      </c>
      <c r="B86" s="122" t="s">
        <v>413</v>
      </c>
      <c r="C86" s="122" t="s">
        <v>414</v>
      </c>
      <c r="D86" s="122" t="s">
        <v>415</v>
      </c>
      <c r="E86" s="122" t="s">
        <v>76</v>
      </c>
      <c r="F86" s="122">
        <v>30023</v>
      </c>
      <c r="G86" s="163" t="s">
        <v>1227</v>
      </c>
      <c r="H86" s="122">
        <v>2</v>
      </c>
      <c r="I86" s="128" t="s">
        <v>295</v>
      </c>
      <c r="J86" s="118">
        <v>61</v>
      </c>
      <c r="K86" s="118">
        <v>83.68</v>
      </c>
      <c r="L86" s="118">
        <v>1.91</v>
      </c>
      <c r="M86" s="118">
        <v>0.47</v>
      </c>
      <c r="N86" s="118">
        <v>11.77</v>
      </c>
      <c r="O86" s="118">
        <v>1.1000000000000001</v>
      </c>
      <c r="P86" s="118">
        <v>0.08</v>
      </c>
      <c r="Q86" s="118">
        <v>0.06</v>
      </c>
      <c r="R86" s="118">
        <v>0.5</v>
      </c>
      <c r="S86" s="118"/>
      <c r="T86" s="118">
        <v>0.04</v>
      </c>
      <c r="U86" s="118">
        <v>16.25</v>
      </c>
      <c r="V86" s="118"/>
      <c r="W86" s="118">
        <v>142.80000000000001</v>
      </c>
      <c r="X86" s="118">
        <v>0</v>
      </c>
      <c r="Y86" s="118">
        <v>0.23</v>
      </c>
      <c r="Z86" s="118"/>
      <c r="AA86" s="118">
        <v>0</v>
      </c>
      <c r="AB86" s="118">
        <v>13.58</v>
      </c>
      <c r="AC86" s="118">
        <v>0</v>
      </c>
      <c r="AD86" s="118">
        <v>163</v>
      </c>
      <c r="AE86" s="118"/>
      <c r="AF86" s="118"/>
      <c r="AG86" s="118"/>
      <c r="AH86" s="118"/>
      <c r="AI86" s="118">
        <v>27.28</v>
      </c>
      <c r="AJ86" s="118">
        <v>0.1</v>
      </c>
      <c r="AK86" s="118">
        <v>2.57</v>
      </c>
      <c r="AL86" s="118">
        <v>19.57</v>
      </c>
      <c r="AM86" s="118"/>
      <c r="AN86" s="118">
        <v>25.88</v>
      </c>
      <c r="AO86" s="118">
        <v>186.34</v>
      </c>
      <c r="AP86" s="118"/>
      <c r="AQ86" s="118">
        <v>0.48</v>
      </c>
      <c r="AR86" s="118"/>
      <c r="AS86" s="118"/>
      <c r="AT86" s="118"/>
      <c r="AU86" s="118"/>
      <c r="AV86" s="124"/>
      <c r="AW86" s="124"/>
      <c r="AX86" s="124"/>
      <c r="AY86" s="124"/>
      <c r="AZ86" s="124"/>
      <c r="BA86" s="124"/>
      <c r="BB86" s="124"/>
      <c r="BC86" s="124"/>
      <c r="BD86" s="124"/>
      <c r="BE86" s="124"/>
      <c r="BF86" s="124"/>
      <c r="BG86" s="124"/>
      <c r="BH86" s="124"/>
      <c r="BI86" s="124"/>
      <c r="BJ86" s="124"/>
      <c r="BK86" s="124"/>
      <c r="BL86" s="124"/>
      <c r="BM86" s="124"/>
      <c r="BN86" s="118"/>
      <c r="BO86" s="118"/>
      <c r="BP86" s="118"/>
      <c r="BQ86" s="118"/>
      <c r="BR86" s="205"/>
      <c r="BS86" s="205"/>
      <c r="BT86" s="205"/>
      <c r="BU86" s="205"/>
      <c r="BV86" s="205"/>
      <c r="BW86" s="205"/>
      <c r="BX86" s="205"/>
      <c r="BY86" s="205"/>
      <c r="BZ86" s="205"/>
      <c r="CA86" s="205"/>
      <c r="CB86" s="205"/>
      <c r="CC86" s="205"/>
      <c r="CD86" s="205"/>
      <c r="CE86" s="205"/>
      <c r="CF86" s="205"/>
      <c r="CG86" s="205"/>
    </row>
    <row r="87" spans="1:85">
      <c r="A87" s="122">
        <v>14002</v>
      </c>
      <c r="B87" s="122" t="s">
        <v>417</v>
      </c>
      <c r="C87" s="122" t="s">
        <v>418</v>
      </c>
      <c r="D87" s="122" t="s">
        <v>372</v>
      </c>
      <c r="E87" s="122" t="s">
        <v>103</v>
      </c>
      <c r="F87" s="122" t="s">
        <v>1228</v>
      </c>
      <c r="G87" s="163" t="s">
        <v>1229</v>
      </c>
      <c r="H87" s="122">
        <v>13</v>
      </c>
      <c r="I87" s="122" t="s">
        <v>197</v>
      </c>
      <c r="J87" s="118">
        <v>118</v>
      </c>
      <c r="K87" s="118">
        <v>69.599999999999994</v>
      </c>
      <c r="L87" s="118">
        <v>1.53</v>
      </c>
      <c r="M87" s="118">
        <v>0.17</v>
      </c>
      <c r="N87" s="118">
        <v>27.9</v>
      </c>
      <c r="O87" s="118">
        <v>4.0999999999999996</v>
      </c>
      <c r="P87" s="118">
        <v>0.112</v>
      </c>
      <c r="Q87" s="118">
        <v>3.2000000000000001E-2</v>
      </c>
      <c r="R87" s="118">
        <v>0.55200000000000005</v>
      </c>
      <c r="S87" s="118">
        <v>0.314</v>
      </c>
      <c r="T87" s="118">
        <v>0.29299999999999998</v>
      </c>
      <c r="U87" s="118">
        <v>23</v>
      </c>
      <c r="V87" s="118">
        <v>0</v>
      </c>
      <c r="W87" s="118">
        <v>17.100000000000001</v>
      </c>
      <c r="X87" s="118">
        <v>0</v>
      </c>
      <c r="Y87" s="118">
        <v>0.35</v>
      </c>
      <c r="Z87" s="118">
        <v>2.2999999999999998</v>
      </c>
      <c r="AA87" s="118">
        <v>0</v>
      </c>
      <c r="AB87" s="118">
        <v>7</v>
      </c>
      <c r="AC87" s="118">
        <v>0</v>
      </c>
      <c r="AD87" s="118">
        <v>83</v>
      </c>
      <c r="AE87" s="118">
        <v>0</v>
      </c>
      <c r="AF87" s="118">
        <v>0</v>
      </c>
      <c r="AG87" s="118">
        <v>0</v>
      </c>
      <c r="AH87" s="118">
        <v>0</v>
      </c>
      <c r="AI87" s="118">
        <v>17</v>
      </c>
      <c r="AJ87" s="118">
        <v>0.17799999999999999</v>
      </c>
      <c r="AK87" s="118">
        <v>0.54</v>
      </c>
      <c r="AL87" s="118">
        <v>21</v>
      </c>
      <c r="AM87" s="118">
        <v>0.39700000000000002</v>
      </c>
      <c r="AN87" s="118">
        <v>55</v>
      </c>
      <c r="AO87" s="118">
        <v>816</v>
      </c>
      <c r="AP87" s="118">
        <v>0.7</v>
      </c>
      <c r="AQ87" s="118">
        <v>0.24</v>
      </c>
      <c r="AR87" s="118">
        <v>3.6999999999999998E-2</v>
      </c>
      <c r="AS87" s="118">
        <v>6.0000000000000001E-3</v>
      </c>
      <c r="AT87" s="118">
        <v>7.5999999999999998E-2</v>
      </c>
      <c r="AU87" s="118">
        <v>0</v>
      </c>
      <c r="AV87" s="118">
        <v>3.4000000000000002E-2</v>
      </c>
      <c r="AW87" s="118">
        <v>5.1999999999999998E-2</v>
      </c>
      <c r="AX87" s="118">
        <v>9.6000000000000002E-2</v>
      </c>
      <c r="AY87" s="118">
        <v>5.8999999999999997E-2</v>
      </c>
      <c r="AZ87" s="118">
        <v>2.1000000000000001E-2</v>
      </c>
      <c r="BA87" s="118">
        <v>1.9E-2</v>
      </c>
      <c r="BB87" s="118">
        <v>7.0999999999999994E-2</v>
      </c>
      <c r="BC87" s="118">
        <v>5.3999999999999999E-2</v>
      </c>
      <c r="BD87" s="118">
        <v>1.2E-2</v>
      </c>
      <c r="BE87" s="118">
        <v>6.2E-2</v>
      </c>
      <c r="BF87" s="118">
        <v>6.3E-2</v>
      </c>
      <c r="BG87" s="118">
        <v>0.127</v>
      </c>
      <c r="BH87" s="118">
        <v>0.155</v>
      </c>
      <c r="BI87" s="118">
        <v>0.18099999999999999</v>
      </c>
      <c r="BJ87" s="118">
        <v>5.2999999999999999E-2</v>
      </c>
      <c r="BK87" s="118">
        <v>5.3999999999999999E-2</v>
      </c>
      <c r="BL87" s="118">
        <v>8.1000000000000003E-2</v>
      </c>
      <c r="BM87" s="118">
        <v>0.04</v>
      </c>
      <c r="BN87" s="118"/>
      <c r="BO87" s="118"/>
      <c r="BP87" s="118"/>
      <c r="BQ87" s="118"/>
      <c r="BR87" s="154" t="s">
        <v>85</v>
      </c>
      <c r="BS87" s="154" t="s">
        <v>85</v>
      </c>
      <c r="BT87" s="154" t="s">
        <v>85</v>
      </c>
      <c r="BU87" s="154">
        <v>67.83</v>
      </c>
      <c r="BV87" s="154" t="s">
        <v>85</v>
      </c>
      <c r="BW87" s="154">
        <v>22.66</v>
      </c>
      <c r="BX87" s="154" t="s">
        <v>85</v>
      </c>
      <c r="BY87" s="154" t="s">
        <v>85</v>
      </c>
      <c r="BZ87" s="154">
        <v>111</v>
      </c>
      <c r="CA87" s="154">
        <v>30.93</v>
      </c>
      <c r="CB87" s="154"/>
      <c r="CC87" s="154" t="s">
        <v>85</v>
      </c>
      <c r="CD87" s="154">
        <v>29.74</v>
      </c>
      <c r="CE87" s="154" t="s">
        <v>85</v>
      </c>
      <c r="CF87" s="154" t="s">
        <v>85</v>
      </c>
      <c r="CG87" s="205"/>
    </row>
    <row r="88" spans="1:85">
      <c r="A88" s="122">
        <v>25026</v>
      </c>
      <c r="B88" s="122" t="s">
        <v>419</v>
      </c>
      <c r="C88" s="122" t="s">
        <v>420</v>
      </c>
      <c r="D88" s="122" t="s">
        <v>372</v>
      </c>
      <c r="E88" s="122" t="s">
        <v>76</v>
      </c>
      <c r="F88" s="122" t="s">
        <v>1209</v>
      </c>
      <c r="G88" s="163" t="s">
        <v>1210</v>
      </c>
      <c r="H88" s="122">
        <v>10</v>
      </c>
      <c r="I88" s="128" t="s">
        <v>295</v>
      </c>
      <c r="J88" s="118">
        <v>43.5</v>
      </c>
      <c r="K88" s="125">
        <v>83.599998474121094</v>
      </c>
      <c r="L88" s="125">
        <v>3.4200000762939453</v>
      </c>
      <c r="M88" s="125">
        <v>1.3799999952316284</v>
      </c>
      <c r="N88" s="125">
        <v>3.690000057220459</v>
      </c>
      <c r="O88" s="125">
        <v>5.5999999046325684</v>
      </c>
      <c r="P88" s="125">
        <v>7.9999998211860657E-2</v>
      </c>
      <c r="Q88" s="125">
        <v>7.0000000298023224E-2</v>
      </c>
      <c r="R88" s="125">
        <v>0.80000001192092896</v>
      </c>
      <c r="S88" s="118"/>
      <c r="T88" s="125">
        <v>0.28999999165534973</v>
      </c>
      <c r="U88" s="125">
        <v>159.10000610351563</v>
      </c>
      <c r="V88" s="118">
        <v>0</v>
      </c>
      <c r="W88" s="125">
        <v>40.700000762939453</v>
      </c>
      <c r="X88" s="118"/>
      <c r="Y88" s="125">
        <v>7.0000000298023224E-2</v>
      </c>
      <c r="Z88" s="118"/>
      <c r="AA88" s="118"/>
      <c r="AB88" s="125">
        <v>959.66668701171875</v>
      </c>
      <c r="AC88" s="118"/>
      <c r="AD88" s="125">
        <v>5758</v>
      </c>
      <c r="AE88" s="118"/>
      <c r="AF88" s="118"/>
      <c r="AG88" s="118"/>
      <c r="AH88" s="118"/>
      <c r="AI88" s="125">
        <v>216.10000610351563</v>
      </c>
      <c r="AJ88" s="118"/>
      <c r="AK88" s="125">
        <v>3.4100000858306885</v>
      </c>
      <c r="AL88" s="118"/>
      <c r="AM88" s="118"/>
      <c r="AN88" s="118"/>
      <c r="AO88" s="118"/>
      <c r="AP88" s="118"/>
      <c r="AQ88" s="125">
        <v>0.81999999284744263</v>
      </c>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25">
        <v>14.399999618530273</v>
      </c>
      <c r="BP88" s="118"/>
      <c r="BQ88" s="118"/>
      <c r="BR88" s="205"/>
      <c r="BS88" s="205"/>
      <c r="BT88" s="205"/>
      <c r="BU88" s="205"/>
      <c r="BV88" s="205"/>
      <c r="BW88" s="205"/>
      <c r="BX88" s="205"/>
      <c r="BY88" s="205"/>
      <c r="BZ88" s="205"/>
      <c r="CA88" s="205"/>
      <c r="CB88" s="205"/>
      <c r="CC88" s="205"/>
      <c r="CD88" s="205"/>
      <c r="CE88" s="205"/>
      <c r="CF88" s="205"/>
      <c r="CG88" s="205"/>
    </row>
    <row r="89" spans="1:85">
      <c r="A89" s="122">
        <v>25027</v>
      </c>
      <c r="B89" s="122" t="s">
        <v>421</v>
      </c>
      <c r="C89" s="122" t="s">
        <v>422</v>
      </c>
      <c r="D89" s="122" t="s">
        <v>423</v>
      </c>
      <c r="E89" s="122" t="s">
        <v>1152</v>
      </c>
      <c r="F89" s="122" t="s">
        <v>1230</v>
      </c>
      <c r="G89" s="163" t="s">
        <v>1231</v>
      </c>
      <c r="H89" s="122">
        <v>4</v>
      </c>
      <c r="I89" s="122" t="s">
        <v>207</v>
      </c>
      <c r="J89" s="118"/>
      <c r="K89" s="118">
        <v>88.84</v>
      </c>
      <c r="L89" s="118">
        <v>2.81</v>
      </c>
      <c r="M89" s="118">
        <v>0.66</v>
      </c>
      <c r="N89" s="118">
        <v>2.94</v>
      </c>
      <c r="O89" s="118">
        <v>2.44</v>
      </c>
      <c r="P89" s="118"/>
      <c r="Q89" s="118"/>
      <c r="R89" s="118"/>
      <c r="S89" s="118"/>
      <c r="T89" s="118"/>
      <c r="U89" s="118"/>
      <c r="V89" s="118"/>
      <c r="W89" s="118">
        <v>108.08</v>
      </c>
      <c r="X89" s="118"/>
      <c r="Y89" s="118"/>
      <c r="Z89" s="118"/>
      <c r="AA89" s="118"/>
      <c r="AB89" s="118"/>
      <c r="AC89" s="118"/>
      <c r="AD89" s="118"/>
      <c r="AE89" s="118"/>
      <c r="AF89" s="118"/>
      <c r="AG89" s="118"/>
      <c r="AH89" s="118"/>
      <c r="AI89" s="118">
        <v>22.59</v>
      </c>
      <c r="AJ89" s="118"/>
      <c r="AK89" s="118">
        <v>58.4</v>
      </c>
      <c r="AL89" s="118"/>
      <c r="AM89" s="118"/>
      <c r="AN89" s="118"/>
      <c r="AO89" s="118">
        <v>5.23</v>
      </c>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v>2119</v>
      </c>
      <c r="BO89" s="118">
        <v>3.5E-4</v>
      </c>
      <c r="BP89" s="118">
        <v>7.19</v>
      </c>
      <c r="BQ89" s="118"/>
      <c r="BR89" s="205"/>
      <c r="BS89" s="205"/>
      <c r="BT89" s="205"/>
      <c r="BU89" s="205"/>
      <c r="BV89" s="205"/>
      <c r="BW89" s="205"/>
      <c r="BX89" s="205"/>
      <c r="BY89" s="205"/>
      <c r="BZ89" s="205"/>
      <c r="CA89" s="205"/>
      <c r="CB89" s="205"/>
      <c r="CC89" s="205"/>
      <c r="CD89" s="205"/>
      <c r="CE89" s="205"/>
      <c r="CF89" s="205"/>
      <c r="CG89" s="205"/>
    </row>
    <row r="90" spans="1:85">
      <c r="A90" s="122">
        <v>63001</v>
      </c>
      <c r="B90" s="122" t="s">
        <v>424</v>
      </c>
      <c r="C90" s="122" t="s">
        <v>425</v>
      </c>
      <c r="D90" s="122" t="s">
        <v>426</v>
      </c>
      <c r="E90" s="122" t="s">
        <v>76</v>
      </c>
      <c r="F90" s="122" t="s">
        <v>1232</v>
      </c>
      <c r="G90" s="163" t="s">
        <v>1233</v>
      </c>
      <c r="H90" s="122">
        <v>21</v>
      </c>
      <c r="I90" s="122" t="s">
        <v>202</v>
      </c>
      <c r="J90" s="118">
        <v>613</v>
      </c>
      <c r="K90" s="118">
        <v>3.9</v>
      </c>
      <c r="L90" s="118">
        <v>24.1</v>
      </c>
      <c r="M90" s="118">
        <v>47.8</v>
      </c>
      <c r="N90" s="118">
        <v>21.8</v>
      </c>
      <c r="O90" s="118">
        <v>3.1</v>
      </c>
      <c r="P90" s="118">
        <v>0.44</v>
      </c>
      <c r="Q90" s="118">
        <v>0.1</v>
      </c>
      <c r="R90" s="118">
        <v>11.35</v>
      </c>
      <c r="S90" s="118">
        <v>1.01</v>
      </c>
      <c r="T90" s="118">
        <v>0.23</v>
      </c>
      <c r="U90" s="118">
        <v>109</v>
      </c>
      <c r="V90" s="118">
        <v>0</v>
      </c>
      <c r="W90" s="118">
        <v>0</v>
      </c>
      <c r="X90" s="118">
        <v>6.14</v>
      </c>
      <c r="Y90" s="118">
        <v>0.28000000000000003</v>
      </c>
      <c r="Z90" s="118">
        <v>2.5</v>
      </c>
      <c r="AA90" s="118">
        <v>0</v>
      </c>
      <c r="AB90" s="118">
        <v>2</v>
      </c>
      <c r="AC90" s="118">
        <v>0</v>
      </c>
      <c r="AD90" s="118">
        <v>18.5</v>
      </c>
      <c r="AE90" s="118">
        <v>4.42</v>
      </c>
      <c r="AF90" s="118"/>
      <c r="AG90" s="118"/>
      <c r="AH90" s="118">
        <v>8.07</v>
      </c>
      <c r="AI90" s="118">
        <v>34</v>
      </c>
      <c r="AJ90" s="118">
        <v>0.92</v>
      </c>
      <c r="AK90" s="118">
        <v>2</v>
      </c>
      <c r="AL90" s="118">
        <v>197</v>
      </c>
      <c r="AM90" s="118">
        <v>1.62</v>
      </c>
      <c r="AN90" s="118">
        <v>391</v>
      </c>
      <c r="AO90" s="118">
        <v>679</v>
      </c>
      <c r="AP90" s="118">
        <v>3.41</v>
      </c>
      <c r="AQ90" s="118">
        <v>3.18</v>
      </c>
      <c r="AR90" s="118">
        <v>8.99</v>
      </c>
      <c r="AS90" s="118">
        <v>19.41</v>
      </c>
      <c r="AT90" s="118">
        <v>15.91</v>
      </c>
      <c r="AU90" s="118">
        <v>0</v>
      </c>
      <c r="AV90" s="124">
        <v>0.52976000000000001</v>
      </c>
      <c r="AW90" s="124">
        <v>1.10446</v>
      </c>
      <c r="AX90" s="124">
        <v>1.5135999999999998</v>
      </c>
      <c r="AY90" s="124">
        <v>0.80174000000000001</v>
      </c>
      <c r="AZ90" s="124">
        <v>0.28617000000000004</v>
      </c>
      <c r="BA90" s="124">
        <v>0.31455</v>
      </c>
      <c r="BB90" s="124">
        <v>1.2770999999999999</v>
      </c>
      <c r="BC90" s="124">
        <v>0.60071000000000008</v>
      </c>
      <c r="BD90" s="124">
        <v>0.21284999999999998</v>
      </c>
      <c r="BE90" s="124">
        <v>0.92708000000000002</v>
      </c>
      <c r="BF90" s="124">
        <v>1.0004</v>
      </c>
      <c r="BG90" s="124">
        <v>2.56603</v>
      </c>
      <c r="BH90" s="124">
        <v>2.7623200000000003</v>
      </c>
      <c r="BI90" s="124">
        <v>4.5904699999999998</v>
      </c>
      <c r="BJ90" s="124">
        <v>1.31494</v>
      </c>
      <c r="BK90" s="124">
        <v>0.88451000000000002</v>
      </c>
      <c r="BL90" s="124">
        <v>1.1943299999999999</v>
      </c>
      <c r="BM90" s="124">
        <v>0.91288999999999998</v>
      </c>
      <c r="BN90" s="118">
        <v>127</v>
      </c>
      <c r="BO90" s="118"/>
      <c r="BP90" s="118"/>
      <c r="BQ90" s="118">
        <v>64.599999999999994</v>
      </c>
      <c r="BR90" s="205"/>
      <c r="BS90" s="205"/>
      <c r="BT90" s="205"/>
      <c r="BU90" s="205"/>
      <c r="BV90" s="205"/>
      <c r="BW90" s="205"/>
      <c r="BX90" s="205"/>
      <c r="BY90" s="205"/>
      <c r="BZ90" s="205"/>
      <c r="CA90" s="205"/>
      <c r="CB90" s="205"/>
      <c r="CC90" s="205"/>
      <c r="CD90" s="205"/>
      <c r="CE90" s="205"/>
      <c r="CF90" s="205"/>
      <c r="CG90" s="205"/>
    </row>
    <row r="91" spans="1:85">
      <c r="A91" s="122">
        <v>90819</v>
      </c>
      <c r="B91" s="122" t="s">
        <v>1234</v>
      </c>
      <c r="C91" s="122" t="s">
        <v>429</v>
      </c>
      <c r="D91" s="122" t="s">
        <v>121</v>
      </c>
      <c r="E91" s="122" t="s">
        <v>1235</v>
      </c>
      <c r="F91" s="122">
        <v>2428753</v>
      </c>
      <c r="G91" s="163" t="s">
        <v>1236</v>
      </c>
      <c r="H91" s="122">
        <v>3</v>
      </c>
      <c r="I91" s="122" t="s">
        <v>78</v>
      </c>
      <c r="J91" s="118">
        <v>400</v>
      </c>
      <c r="K91" s="118"/>
      <c r="L91" s="118">
        <v>0</v>
      </c>
      <c r="M91" s="118">
        <v>16.7</v>
      </c>
      <c r="N91" s="118">
        <v>50</v>
      </c>
      <c r="O91" s="118">
        <v>33.299999999999997</v>
      </c>
      <c r="P91" s="118"/>
      <c r="Q91" s="118"/>
      <c r="R91" s="118"/>
      <c r="S91" s="118"/>
      <c r="T91" s="118"/>
      <c r="U91" s="118"/>
      <c r="V91" s="118"/>
      <c r="W91" s="118"/>
      <c r="X91" s="118">
        <v>0</v>
      </c>
      <c r="Y91" s="118"/>
      <c r="Z91" s="118"/>
      <c r="AA91" s="118"/>
      <c r="AB91" s="118"/>
      <c r="AC91" s="118"/>
      <c r="AD91" s="118"/>
      <c r="AE91" s="118"/>
      <c r="AF91" s="118"/>
      <c r="AG91" s="118"/>
      <c r="AH91" s="118"/>
      <c r="AI91" s="118">
        <v>1000</v>
      </c>
      <c r="AJ91" s="118"/>
      <c r="AK91" s="118">
        <v>16.7</v>
      </c>
      <c r="AL91" s="118">
        <v>333</v>
      </c>
      <c r="AM91" s="118"/>
      <c r="AN91" s="118"/>
      <c r="AO91" s="118">
        <v>1670</v>
      </c>
      <c r="AP91" s="118"/>
      <c r="AQ91" s="118"/>
      <c r="AR91" s="118">
        <v>0</v>
      </c>
      <c r="AS91" s="118"/>
      <c r="AT91" s="118"/>
      <c r="AU91" s="118">
        <v>0</v>
      </c>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205"/>
      <c r="BS91" s="205"/>
      <c r="BT91" s="205"/>
      <c r="BU91" s="205"/>
      <c r="BV91" s="205"/>
      <c r="BW91" s="205"/>
      <c r="BX91" s="205"/>
      <c r="BY91" s="205"/>
      <c r="BZ91" s="205"/>
      <c r="CA91" s="205"/>
      <c r="CB91" s="205"/>
      <c r="CC91" s="205"/>
      <c r="CD91" s="205"/>
      <c r="CE91" s="205"/>
      <c r="CF91" s="205"/>
      <c r="CG91" s="205"/>
    </row>
    <row r="92" spans="1:85">
      <c r="A92" s="122">
        <v>24003</v>
      </c>
      <c r="B92" s="122" t="s">
        <v>438</v>
      </c>
      <c r="C92" s="122" t="s">
        <v>439</v>
      </c>
      <c r="D92" s="122" t="s">
        <v>440</v>
      </c>
      <c r="E92" s="122" t="s">
        <v>76</v>
      </c>
      <c r="F92" s="122" t="s">
        <v>1237</v>
      </c>
      <c r="G92" s="163" t="s">
        <v>1238</v>
      </c>
      <c r="H92" s="122">
        <v>13</v>
      </c>
      <c r="I92" s="122" t="s">
        <v>78</v>
      </c>
      <c r="J92" s="118">
        <v>147</v>
      </c>
      <c r="K92" s="118">
        <v>61.63</v>
      </c>
      <c r="L92" s="118">
        <v>6.85</v>
      </c>
      <c r="M92" s="118">
        <v>0.55000000000000004</v>
      </c>
      <c r="N92" s="118">
        <v>27.62</v>
      </c>
      <c r="O92" s="118">
        <v>2.1</v>
      </c>
      <c r="P92" s="118">
        <v>0.13</v>
      </c>
      <c r="Q92" s="118">
        <v>0.12</v>
      </c>
      <c r="R92" s="118">
        <v>0.5</v>
      </c>
      <c r="S92" s="118">
        <v>1.69</v>
      </c>
      <c r="T92" s="118">
        <v>1.24</v>
      </c>
      <c r="U92" s="118">
        <v>4</v>
      </c>
      <c r="V92" s="118">
        <v>0</v>
      </c>
      <c r="W92" s="118">
        <v>24.1</v>
      </c>
      <c r="X92" s="118">
        <v>2.2400000000000002</v>
      </c>
      <c r="Y92" s="118">
        <v>0.08</v>
      </c>
      <c r="Z92" s="118">
        <v>2.8</v>
      </c>
      <c r="AA92" s="118">
        <v>0</v>
      </c>
      <c r="AB92" s="118">
        <v>0</v>
      </c>
      <c r="AC92" s="118">
        <v>0</v>
      </c>
      <c r="AD92" s="118">
        <v>0</v>
      </c>
      <c r="AE92" s="118">
        <v>4.5599999999999996</v>
      </c>
      <c r="AF92" s="118"/>
      <c r="AG92" s="118"/>
      <c r="AH92" s="118">
        <v>1.56</v>
      </c>
      <c r="AI92" s="118">
        <v>24.5</v>
      </c>
      <c r="AJ92" s="118">
        <v>0.18</v>
      </c>
      <c r="AK92" s="118">
        <v>1.63</v>
      </c>
      <c r="AL92" s="118">
        <v>25</v>
      </c>
      <c r="AM92" s="118">
        <v>0.34</v>
      </c>
      <c r="AN92" s="118">
        <v>161.5</v>
      </c>
      <c r="AO92" s="118">
        <v>510.5</v>
      </c>
      <c r="AP92" s="118"/>
      <c r="AQ92" s="118">
        <v>1.08</v>
      </c>
      <c r="AR92" s="118">
        <v>0.03</v>
      </c>
      <c r="AS92" s="118">
        <v>0.01</v>
      </c>
      <c r="AT92" s="118">
        <v>0.06</v>
      </c>
      <c r="AU92" s="118"/>
      <c r="AV92" s="124">
        <v>8.5919999999999996E-2</v>
      </c>
      <c r="AW92" s="124">
        <v>0.14896000000000001</v>
      </c>
      <c r="AX92" s="124">
        <v>0.26075999999999999</v>
      </c>
      <c r="AY92" s="124">
        <v>0.26706000000000002</v>
      </c>
      <c r="AZ92" s="124">
        <v>5.0090000000000003E-2</v>
      </c>
      <c r="BA92" s="124">
        <v>0.12076000000000001</v>
      </c>
      <c r="BB92" s="124">
        <v>0.22559000000000001</v>
      </c>
      <c r="BC92" s="124">
        <v>0.20768</v>
      </c>
      <c r="BD92" s="124">
        <v>5.1749999999999997E-2</v>
      </c>
      <c r="BE92" s="124">
        <v>0.23089999999999999</v>
      </c>
      <c r="BF92" s="124">
        <v>0.27104</v>
      </c>
      <c r="BG92" s="124">
        <v>1.03241</v>
      </c>
      <c r="BH92" s="124">
        <v>0.71525000000000005</v>
      </c>
      <c r="BI92" s="124">
        <v>1.14686</v>
      </c>
      <c r="BJ92" s="124">
        <v>0.19805</v>
      </c>
      <c r="BK92" s="124">
        <v>0.24515999999999999</v>
      </c>
      <c r="BL92" s="124">
        <v>0.22725000000000001</v>
      </c>
      <c r="BM92" s="124">
        <v>0.21828999999999998</v>
      </c>
      <c r="BN92" s="118">
        <v>95.26</v>
      </c>
      <c r="BO92" s="118">
        <v>34.64</v>
      </c>
      <c r="BP92" s="118"/>
      <c r="BQ92" s="118">
        <v>23.2</v>
      </c>
      <c r="BR92" s="154" t="s">
        <v>85</v>
      </c>
      <c r="BS92" s="154" t="s">
        <v>85</v>
      </c>
      <c r="BT92" s="154" t="s">
        <v>85</v>
      </c>
      <c r="BU92" s="154">
        <v>26.56</v>
      </c>
      <c r="BV92" s="154" t="s">
        <v>85</v>
      </c>
      <c r="BW92" s="154">
        <v>14.24</v>
      </c>
      <c r="BX92" s="154" t="s">
        <v>85</v>
      </c>
      <c r="BY92" s="154" t="s">
        <v>85</v>
      </c>
      <c r="BZ92" s="154">
        <v>60.62</v>
      </c>
      <c r="CA92" s="154">
        <v>6.28</v>
      </c>
      <c r="CB92" s="154"/>
      <c r="CC92" s="154" t="s">
        <v>85</v>
      </c>
      <c r="CD92" s="154">
        <v>30.59</v>
      </c>
      <c r="CE92" s="154" t="s">
        <v>85</v>
      </c>
      <c r="CF92" s="154" t="s">
        <v>85</v>
      </c>
      <c r="CG92" s="154">
        <v>3</v>
      </c>
    </row>
    <row r="93" spans="1:85">
      <c r="A93" s="122">
        <v>25028</v>
      </c>
      <c r="B93" s="122" t="s">
        <v>442</v>
      </c>
      <c r="C93" s="122" t="s">
        <v>443</v>
      </c>
      <c r="D93" s="122" t="s">
        <v>444</v>
      </c>
      <c r="E93" s="122" t="s">
        <v>82</v>
      </c>
      <c r="F93" s="122" t="s">
        <v>445</v>
      </c>
      <c r="G93" s="163" t="s">
        <v>446</v>
      </c>
      <c r="H93" s="122">
        <v>13</v>
      </c>
      <c r="I93" s="128" t="s">
        <v>295</v>
      </c>
      <c r="J93" s="118">
        <v>13.15</v>
      </c>
      <c r="K93" s="118">
        <v>94.99</v>
      </c>
      <c r="L93" s="118">
        <v>0.91</v>
      </c>
      <c r="M93" s="118">
        <v>0.14000000000000001</v>
      </c>
      <c r="N93" s="118">
        <v>1.72</v>
      </c>
      <c r="O93" s="118">
        <v>1.81</v>
      </c>
      <c r="P93" s="118">
        <v>0.02</v>
      </c>
      <c r="Q93" s="118">
        <v>0.01</v>
      </c>
      <c r="R93" s="118">
        <v>0.2</v>
      </c>
      <c r="S93" s="118">
        <v>0.28000000000000003</v>
      </c>
      <c r="T93" s="118">
        <v>7.0000000000000007E-2</v>
      </c>
      <c r="U93" s="118">
        <v>29.26</v>
      </c>
      <c r="V93" s="118"/>
      <c r="W93" s="118">
        <v>5.42</v>
      </c>
      <c r="X93" s="118">
        <v>0.37</v>
      </c>
      <c r="Y93" s="118">
        <v>0.02</v>
      </c>
      <c r="Z93" s="118">
        <v>11.23</v>
      </c>
      <c r="AA93" s="118"/>
      <c r="AB93" s="125">
        <f>AA93+1/12*(AD93)+1/24*(AC93)+1/24*(AG93)</f>
        <v>29</v>
      </c>
      <c r="AC93" s="118"/>
      <c r="AD93" s="118">
        <v>348</v>
      </c>
      <c r="AE93" s="118">
        <v>129</v>
      </c>
      <c r="AF93" s="118"/>
      <c r="AG93" s="118"/>
      <c r="AH93" s="118">
        <v>19.5</v>
      </c>
      <c r="AI93" s="118">
        <v>13.7</v>
      </c>
      <c r="AJ93" s="118">
        <v>0.1</v>
      </c>
      <c r="AK93" s="118">
        <v>0.42</v>
      </c>
      <c r="AL93" s="118">
        <v>16.149999999999999</v>
      </c>
      <c r="AM93" s="118">
        <v>0.11</v>
      </c>
      <c r="AN93" s="118">
        <v>33.06</v>
      </c>
      <c r="AO93" s="118">
        <v>118</v>
      </c>
      <c r="AP93" s="118">
        <v>0.59</v>
      </c>
      <c r="AQ93" s="118">
        <v>0.22</v>
      </c>
      <c r="AR93" s="118">
        <v>5.45E-2</v>
      </c>
      <c r="AS93" s="118">
        <v>2.5699999999999998E-3</v>
      </c>
      <c r="AT93" s="118">
        <v>5.5100000000000003E-2</v>
      </c>
      <c r="AU93" s="118"/>
      <c r="AV93" s="118">
        <v>1.87</v>
      </c>
      <c r="AW93" s="118">
        <v>4.5999999999999996</v>
      </c>
      <c r="AX93" s="118">
        <v>5.34</v>
      </c>
      <c r="AY93" s="118">
        <v>4.78</v>
      </c>
      <c r="AZ93" s="118">
        <v>0.98</v>
      </c>
      <c r="BA93" s="118">
        <v>0.4</v>
      </c>
      <c r="BB93" s="118">
        <v>4.21</v>
      </c>
      <c r="BC93" s="118">
        <v>3.68</v>
      </c>
      <c r="BD93" s="118">
        <v>0.72</v>
      </c>
      <c r="BE93" s="118">
        <v>5.95</v>
      </c>
      <c r="BF93" s="118">
        <v>6.47</v>
      </c>
      <c r="BG93" s="118">
        <v>5.15</v>
      </c>
      <c r="BH93" s="118">
        <v>9.98</v>
      </c>
      <c r="BI93" s="118">
        <v>21.06</v>
      </c>
      <c r="BJ93" s="118">
        <v>5.04</v>
      </c>
      <c r="BK93" s="118">
        <v>3.39</v>
      </c>
      <c r="BL93" s="118">
        <v>4.33</v>
      </c>
      <c r="BM93" s="118">
        <v>3.27</v>
      </c>
      <c r="BN93" s="118">
        <v>8.31</v>
      </c>
      <c r="BO93" s="118">
        <v>14.91</v>
      </c>
      <c r="BP93" s="118">
        <v>29.55</v>
      </c>
      <c r="BQ93" s="118"/>
      <c r="BR93" s="154" t="s">
        <v>85</v>
      </c>
      <c r="BS93" s="154" t="s">
        <v>85</v>
      </c>
      <c r="BT93" s="154">
        <v>0.83</v>
      </c>
      <c r="BU93" s="154">
        <v>42.19</v>
      </c>
      <c r="BV93" s="154" t="s">
        <v>85</v>
      </c>
      <c r="BW93" s="154">
        <v>1.75</v>
      </c>
      <c r="BX93" s="154" t="s">
        <v>85</v>
      </c>
      <c r="BY93" s="154" t="s">
        <v>85</v>
      </c>
      <c r="BZ93" s="154">
        <v>28.66</v>
      </c>
      <c r="CA93" s="154">
        <v>26.42</v>
      </c>
      <c r="CB93" s="154"/>
      <c r="CC93" s="154" t="s">
        <v>85</v>
      </c>
      <c r="CD93" s="154">
        <v>6.72</v>
      </c>
      <c r="CE93" s="154" t="s">
        <v>85</v>
      </c>
      <c r="CF93" s="154" t="s">
        <v>85</v>
      </c>
      <c r="CG93" s="205"/>
    </row>
    <row r="94" spans="1:85">
      <c r="A94" s="122">
        <v>25007</v>
      </c>
      <c r="B94" s="122" t="s">
        <v>447</v>
      </c>
      <c r="C94" s="122" t="s">
        <v>448</v>
      </c>
      <c r="D94" s="122" t="s">
        <v>449</v>
      </c>
      <c r="E94" s="122" t="s">
        <v>76</v>
      </c>
      <c r="F94" s="122" t="s">
        <v>1239</v>
      </c>
      <c r="G94" s="163" t="s">
        <v>1240</v>
      </c>
      <c r="H94" s="122">
        <v>21</v>
      </c>
      <c r="I94" s="122" t="s">
        <v>78</v>
      </c>
      <c r="J94" s="118">
        <v>313</v>
      </c>
      <c r="K94" s="118">
        <v>10</v>
      </c>
      <c r="L94" s="118">
        <v>15.9</v>
      </c>
      <c r="M94" s="118">
        <v>6.2</v>
      </c>
      <c r="N94" s="118">
        <v>35.18</v>
      </c>
      <c r="O94" s="118">
        <v>26.62</v>
      </c>
      <c r="P94" s="118">
        <v>0.93</v>
      </c>
      <c r="Q94" s="118">
        <v>0.43</v>
      </c>
      <c r="R94" s="118">
        <v>8.6999999999999993</v>
      </c>
      <c r="S94" s="118">
        <v>0.56999999999999995</v>
      </c>
      <c r="T94" s="118">
        <v>2.4500000000000002</v>
      </c>
      <c r="U94" s="118">
        <v>106</v>
      </c>
      <c r="V94" s="118">
        <v>0</v>
      </c>
      <c r="W94" s="118">
        <v>47.4</v>
      </c>
      <c r="X94" s="118">
        <v>0</v>
      </c>
      <c r="Y94" s="118">
        <v>19.71</v>
      </c>
      <c r="Z94" s="118">
        <v>274</v>
      </c>
      <c r="AA94" s="118">
        <v>0</v>
      </c>
      <c r="AB94" s="118">
        <v>746.91</v>
      </c>
      <c r="AC94" s="118">
        <v>0</v>
      </c>
      <c r="AD94" s="118">
        <v>7840.65</v>
      </c>
      <c r="AE94" s="118">
        <v>1843</v>
      </c>
      <c r="AF94" s="118">
        <v>36.44</v>
      </c>
      <c r="AG94" s="118">
        <v>1599</v>
      </c>
      <c r="AH94" s="118">
        <v>2712</v>
      </c>
      <c r="AI94" s="118">
        <v>160</v>
      </c>
      <c r="AJ94" s="118">
        <v>0.37</v>
      </c>
      <c r="AK94" s="118">
        <v>2.2999999999999998</v>
      </c>
      <c r="AL94" s="118">
        <v>152</v>
      </c>
      <c r="AM94" s="118">
        <v>1.45</v>
      </c>
      <c r="AN94" s="118">
        <v>293</v>
      </c>
      <c r="AO94" s="118">
        <v>2010</v>
      </c>
      <c r="AP94" s="118">
        <v>18.829999999999998</v>
      </c>
      <c r="AQ94" s="118">
        <v>2.48</v>
      </c>
      <c r="AR94" s="118">
        <v>1.1399999999999999</v>
      </c>
      <c r="AS94" s="118">
        <v>0.72</v>
      </c>
      <c r="AT94" s="118">
        <v>3.2629999999999999</v>
      </c>
      <c r="AU94" s="118"/>
      <c r="AV94" s="124">
        <v>0.26776</v>
      </c>
      <c r="AW94" s="124">
        <v>0.47587999999999997</v>
      </c>
      <c r="AX94" s="124">
        <v>0.80962000000000001</v>
      </c>
      <c r="AY94" s="124">
        <v>0.53171000000000002</v>
      </c>
      <c r="AZ94" s="124">
        <v>0.15988999999999998</v>
      </c>
      <c r="BA94" s="124">
        <v>0.22081000000000001</v>
      </c>
      <c r="BB94" s="124">
        <v>0.64591999999999994</v>
      </c>
      <c r="BC94" s="124">
        <v>0.51775000000000004</v>
      </c>
      <c r="BD94" s="124">
        <v>0.11675000000000001</v>
      </c>
      <c r="BE94" s="124">
        <v>0.61165999999999998</v>
      </c>
      <c r="BF94" s="124">
        <v>0.6053099999999999</v>
      </c>
      <c r="BG94" s="124">
        <v>0.62941999999999998</v>
      </c>
      <c r="BH94" s="124">
        <v>1.78295</v>
      </c>
      <c r="BI94" s="124">
        <v>2.1979099999999998</v>
      </c>
      <c r="BJ94" s="124">
        <v>0.65100000000000002</v>
      </c>
      <c r="BK94" s="124">
        <v>0.71951999999999994</v>
      </c>
      <c r="BL94" s="124">
        <v>0.54821000000000009</v>
      </c>
      <c r="BM94" s="124">
        <v>0.39212000000000002</v>
      </c>
      <c r="BN94" s="118">
        <v>211</v>
      </c>
      <c r="BO94" s="118">
        <v>264</v>
      </c>
      <c r="BP94" s="118">
        <v>67</v>
      </c>
      <c r="BQ94" s="154">
        <v>34.299999999999997</v>
      </c>
      <c r="BR94" s="154" t="s">
        <v>85</v>
      </c>
      <c r="BS94" s="154" t="s">
        <v>85</v>
      </c>
      <c r="BT94" s="154">
        <v>60.26</v>
      </c>
      <c r="BU94" s="154">
        <v>890</v>
      </c>
      <c r="BV94" s="154" t="s">
        <v>85</v>
      </c>
      <c r="BW94" s="154">
        <v>646</v>
      </c>
      <c r="BX94" s="154">
        <v>6.75</v>
      </c>
      <c r="BY94" s="154" t="s">
        <v>85</v>
      </c>
      <c r="BZ94" s="154">
        <v>3081</v>
      </c>
      <c r="CA94" s="154">
        <v>182</v>
      </c>
      <c r="CB94" s="154"/>
      <c r="CC94" s="154" t="s">
        <v>85</v>
      </c>
      <c r="CD94" s="154">
        <v>188</v>
      </c>
      <c r="CE94" s="154" t="s">
        <v>85</v>
      </c>
      <c r="CF94" s="154" t="s">
        <v>85</v>
      </c>
      <c r="CG94" s="205"/>
    </row>
    <row r="95" spans="1:85">
      <c r="A95" s="122">
        <v>21023</v>
      </c>
      <c r="B95" s="122" t="s">
        <v>450</v>
      </c>
      <c r="C95" s="122" t="s">
        <v>451</v>
      </c>
      <c r="D95" s="122" t="s">
        <v>397</v>
      </c>
      <c r="E95" s="122" t="s">
        <v>76</v>
      </c>
      <c r="F95" s="122" t="s">
        <v>1241</v>
      </c>
      <c r="G95" s="163" t="s">
        <v>1242</v>
      </c>
      <c r="H95" s="122">
        <v>10</v>
      </c>
      <c r="I95" s="122" t="s">
        <v>207</v>
      </c>
      <c r="J95" s="118">
        <v>72</v>
      </c>
      <c r="K95" s="118">
        <v>79.73</v>
      </c>
      <c r="L95" s="118">
        <v>6.7</v>
      </c>
      <c r="M95" s="118">
        <v>1.8</v>
      </c>
      <c r="N95" s="118">
        <v>4.58</v>
      </c>
      <c r="O95" s="118">
        <v>5.2</v>
      </c>
      <c r="P95" s="118">
        <v>0.26</v>
      </c>
      <c r="Q95" s="118">
        <v>0.66</v>
      </c>
      <c r="R95" s="118">
        <v>0.8</v>
      </c>
      <c r="S95" s="118">
        <v>0.39</v>
      </c>
      <c r="T95" s="118">
        <v>1.2</v>
      </c>
      <c r="U95" s="118">
        <v>205</v>
      </c>
      <c r="V95" s="118"/>
      <c r="W95" s="118">
        <v>220</v>
      </c>
      <c r="X95" s="118">
        <v>14.33</v>
      </c>
      <c r="Y95" s="118">
        <v>0.31</v>
      </c>
      <c r="Z95" s="118">
        <v>479</v>
      </c>
      <c r="AA95" s="118">
        <v>0</v>
      </c>
      <c r="AB95" s="118">
        <v>1100</v>
      </c>
      <c r="AC95" s="118">
        <v>0</v>
      </c>
      <c r="AD95" s="118">
        <v>13160</v>
      </c>
      <c r="AE95" s="118">
        <v>15580</v>
      </c>
      <c r="AF95" s="118"/>
      <c r="AG95" s="118"/>
      <c r="AH95" s="118">
        <v>235</v>
      </c>
      <c r="AI95" s="118">
        <v>440</v>
      </c>
      <c r="AJ95" s="118">
        <v>7.0000000000000007E-2</v>
      </c>
      <c r="AK95" s="118">
        <v>0.85</v>
      </c>
      <c r="AL95" s="118">
        <v>42</v>
      </c>
      <c r="AM95" s="118">
        <v>1.26</v>
      </c>
      <c r="AN95" s="118">
        <v>70</v>
      </c>
      <c r="AO95" s="118">
        <v>259</v>
      </c>
      <c r="AP95" s="118">
        <v>5.95</v>
      </c>
      <c r="AQ95" s="118">
        <v>0.16</v>
      </c>
      <c r="AR95" s="118">
        <v>0.56000000000000005</v>
      </c>
      <c r="AS95" s="118">
        <v>0.1</v>
      </c>
      <c r="AT95" s="118">
        <v>0.67</v>
      </c>
      <c r="AU95" s="118"/>
      <c r="AV95" s="124">
        <v>0.13205</v>
      </c>
      <c r="AW95" s="124">
        <v>0.19871</v>
      </c>
      <c r="AX95" s="124">
        <v>0.42947000000000002</v>
      </c>
      <c r="AY95" s="124">
        <v>0.28076000000000001</v>
      </c>
      <c r="AZ95" s="124">
        <v>5.8970000000000002E-2</v>
      </c>
      <c r="BA95" s="124">
        <v>4.8079999999999998E-2</v>
      </c>
      <c r="BB95" s="124">
        <v>0.41344999999999998</v>
      </c>
      <c r="BC95" s="124">
        <v>0.24037999999999998</v>
      </c>
      <c r="BD95" s="124">
        <v>8.1409999999999996E-2</v>
      </c>
      <c r="BE95" s="124">
        <v>0.28076000000000001</v>
      </c>
      <c r="BF95" s="124">
        <v>0.46023999999999998</v>
      </c>
      <c r="BG95" s="124">
        <v>0.35639999999999999</v>
      </c>
      <c r="BH95" s="124">
        <v>0.76534999999999997</v>
      </c>
      <c r="BI95" s="124">
        <v>1.0813699999999999</v>
      </c>
      <c r="BJ95" s="124">
        <v>0.29486000000000001</v>
      </c>
      <c r="BK95" s="124">
        <v>0.25639999999999996</v>
      </c>
      <c r="BL95" s="124">
        <v>0.30704000000000004</v>
      </c>
      <c r="BM95" s="124">
        <v>0.18396999999999999</v>
      </c>
      <c r="BN95" s="118">
        <v>29.9</v>
      </c>
      <c r="BO95" s="118">
        <v>128</v>
      </c>
      <c r="BP95" s="118"/>
      <c r="BQ95" s="118"/>
      <c r="BR95" s="154" t="s">
        <v>85</v>
      </c>
      <c r="BS95" s="154" t="s">
        <v>85</v>
      </c>
      <c r="BT95" s="154">
        <v>44.09</v>
      </c>
      <c r="BU95" s="154">
        <v>370</v>
      </c>
      <c r="BV95" s="154" t="s">
        <v>85</v>
      </c>
      <c r="BW95" s="154">
        <v>102</v>
      </c>
      <c r="BX95" s="154" t="s">
        <v>85</v>
      </c>
      <c r="BY95" s="154" t="s">
        <v>85</v>
      </c>
      <c r="BZ95" s="154">
        <v>222</v>
      </c>
      <c r="CA95" s="154">
        <v>446</v>
      </c>
      <c r="CB95" s="154"/>
      <c r="CC95" s="154" t="s">
        <v>85</v>
      </c>
      <c r="CD95" s="154">
        <v>69.53</v>
      </c>
      <c r="CE95" s="154" t="s">
        <v>85</v>
      </c>
      <c r="CF95" s="154" t="s">
        <v>85</v>
      </c>
      <c r="CG95" s="205"/>
    </row>
    <row r="96" spans="1:85">
      <c r="A96" s="122">
        <v>90814</v>
      </c>
      <c r="B96" s="122" t="s">
        <v>453</v>
      </c>
      <c r="C96" s="122" t="s">
        <v>454</v>
      </c>
      <c r="D96" s="122" t="s">
        <v>254</v>
      </c>
      <c r="E96" s="122" t="s">
        <v>76</v>
      </c>
      <c r="F96" s="122" t="s">
        <v>1243</v>
      </c>
      <c r="G96" s="163" t="s">
        <v>1244</v>
      </c>
      <c r="H96" s="122">
        <v>4</v>
      </c>
      <c r="I96" s="122" t="s">
        <v>202</v>
      </c>
      <c r="J96" s="118">
        <v>501</v>
      </c>
      <c r="K96" s="118">
        <v>8.5</v>
      </c>
      <c r="L96" s="118">
        <v>22</v>
      </c>
      <c r="M96" s="118">
        <v>35</v>
      </c>
      <c r="N96" s="118">
        <v>18.510000000000002</v>
      </c>
      <c r="O96" s="118">
        <v>11.78</v>
      </c>
      <c r="P96" s="118">
        <v>0.65</v>
      </c>
      <c r="Q96" s="118">
        <v>0.26</v>
      </c>
      <c r="R96" s="118">
        <v>4.57</v>
      </c>
      <c r="S96" s="118">
        <v>0.48</v>
      </c>
      <c r="T96" s="118">
        <v>0.38</v>
      </c>
      <c r="U96" s="118">
        <v>156.47999999999999</v>
      </c>
      <c r="V96" s="118">
        <v>0</v>
      </c>
      <c r="W96" s="118">
        <v>0</v>
      </c>
      <c r="X96" s="118">
        <v>30.84</v>
      </c>
      <c r="Y96" s="118">
        <v>5.07</v>
      </c>
      <c r="Z96" s="118">
        <v>8.1999999999999993</v>
      </c>
      <c r="AA96" s="118">
        <v>0</v>
      </c>
      <c r="AB96" s="118">
        <v>1.45</v>
      </c>
      <c r="AC96" s="118">
        <v>0</v>
      </c>
      <c r="AD96" s="118">
        <v>17.39</v>
      </c>
      <c r="AE96" s="118">
        <v>5.67</v>
      </c>
      <c r="AF96" s="118"/>
      <c r="AG96" s="118"/>
      <c r="AH96" s="118">
        <v>7.22</v>
      </c>
      <c r="AI96" s="118">
        <v>256.93</v>
      </c>
      <c r="AJ96" s="118">
        <v>0.62</v>
      </c>
      <c r="AK96" s="118">
        <v>8.9</v>
      </c>
      <c r="AL96" s="118">
        <v>357.38</v>
      </c>
      <c r="AM96" s="118">
        <v>4.2300000000000004</v>
      </c>
      <c r="AN96" s="118">
        <v>799.77</v>
      </c>
      <c r="AO96" s="118">
        <v>712.84</v>
      </c>
      <c r="AP96" s="118">
        <v>71.47</v>
      </c>
      <c r="AQ96" s="118">
        <v>5.87</v>
      </c>
      <c r="AR96" s="118">
        <v>2.11</v>
      </c>
      <c r="AS96" s="118">
        <v>21.03</v>
      </c>
      <c r="AT96" s="118">
        <v>8.91</v>
      </c>
      <c r="AU96" s="118"/>
      <c r="AV96" s="124">
        <v>0.74099999999999999</v>
      </c>
      <c r="AW96" s="124">
        <v>0.998</v>
      </c>
      <c r="AX96" s="124">
        <v>1.7549999999999999</v>
      </c>
      <c r="AY96" s="124">
        <v>1.556</v>
      </c>
      <c r="AZ96" s="124">
        <v>0.40699999999999997</v>
      </c>
      <c r="BA96" s="124">
        <v>0.57399999999999995</v>
      </c>
      <c r="BB96" s="124">
        <v>0.98899999999999999</v>
      </c>
      <c r="BC96" s="124">
        <v>0.70699999999999996</v>
      </c>
      <c r="BD96" s="124">
        <v>0.216</v>
      </c>
      <c r="BE96" s="124">
        <v>1.2729999999999999</v>
      </c>
      <c r="BF96" s="124">
        <v>0.98899999999999999</v>
      </c>
      <c r="BG96" s="124">
        <v>1.631</v>
      </c>
      <c r="BH96" s="124">
        <v>2.0539999999999998</v>
      </c>
      <c r="BI96" s="124">
        <v>4.4409999999999998</v>
      </c>
      <c r="BJ96" s="124">
        <v>1.339</v>
      </c>
      <c r="BK96" s="124">
        <v>2.37</v>
      </c>
      <c r="BL96" s="124">
        <v>0.64</v>
      </c>
      <c r="BM96" s="124">
        <v>0.68200000000000005</v>
      </c>
      <c r="BN96" s="118">
        <v>48.81</v>
      </c>
      <c r="BO96" s="118">
        <v>132</v>
      </c>
      <c r="BP96" s="118"/>
      <c r="BQ96" s="118"/>
      <c r="BR96" s="154" t="s">
        <v>85</v>
      </c>
      <c r="BS96" s="154" t="s">
        <v>85</v>
      </c>
      <c r="BT96" s="154" t="s">
        <v>85</v>
      </c>
      <c r="BU96" s="154">
        <v>856</v>
      </c>
      <c r="BV96" s="154" t="s">
        <v>85</v>
      </c>
      <c r="BW96" s="154">
        <v>4012</v>
      </c>
      <c r="BX96" s="154">
        <v>1838</v>
      </c>
      <c r="BY96" s="154">
        <v>14468</v>
      </c>
      <c r="BZ96" s="154">
        <v>4932</v>
      </c>
      <c r="CA96" s="154">
        <v>3341</v>
      </c>
      <c r="CB96" s="154"/>
      <c r="CC96" s="154" t="s">
        <v>85</v>
      </c>
      <c r="CD96" s="154">
        <v>7911</v>
      </c>
      <c r="CE96" s="154" t="s">
        <v>85</v>
      </c>
      <c r="CF96" s="154" t="s">
        <v>85</v>
      </c>
      <c r="CG96" s="205"/>
    </row>
    <row r="97" spans="1:85">
      <c r="A97" s="122">
        <v>25006</v>
      </c>
      <c r="B97" s="122" t="s">
        <v>456</v>
      </c>
      <c r="C97" s="122" t="s">
        <v>457</v>
      </c>
      <c r="D97" s="122" t="s">
        <v>302</v>
      </c>
      <c r="E97" s="122" t="s">
        <v>76</v>
      </c>
      <c r="F97" s="122" t="s">
        <v>1245</v>
      </c>
      <c r="G97" s="163" t="s">
        <v>1246</v>
      </c>
      <c r="H97" s="122">
        <v>13</v>
      </c>
      <c r="I97" s="128" t="s">
        <v>295</v>
      </c>
      <c r="J97" s="118">
        <v>13</v>
      </c>
      <c r="K97" s="118">
        <v>95.5</v>
      </c>
      <c r="L97" s="118">
        <v>0.9</v>
      </c>
      <c r="M97" s="118">
        <v>0.1</v>
      </c>
      <c r="N97" s="118">
        <v>1.3</v>
      </c>
      <c r="O97" s="118">
        <v>1.5</v>
      </c>
      <c r="P97" s="118">
        <v>0.06</v>
      </c>
      <c r="Q97" s="118">
        <v>0.03</v>
      </c>
      <c r="R97" s="118">
        <v>0.35</v>
      </c>
      <c r="S97" s="118">
        <v>0.32</v>
      </c>
      <c r="T97" s="118">
        <v>7.0000000000000007E-2</v>
      </c>
      <c r="U97" s="118">
        <v>14</v>
      </c>
      <c r="V97" s="118">
        <v>0</v>
      </c>
      <c r="W97" s="118">
        <v>5.52</v>
      </c>
      <c r="X97" s="118">
        <v>1.36</v>
      </c>
      <c r="Y97" s="118">
        <v>0.02</v>
      </c>
      <c r="Z97" s="118">
        <v>8</v>
      </c>
      <c r="AA97" s="118">
        <v>0</v>
      </c>
      <c r="AB97" s="118"/>
      <c r="AC97" s="118"/>
      <c r="AD97" s="118">
        <v>4.8</v>
      </c>
      <c r="AE97" s="118">
        <v>4.8600000000000003</v>
      </c>
      <c r="AF97" s="118"/>
      <c r="AG97" s="118"/>
      <c r="AH97" s="118"/>
      <c r="AI97" s="118">
        <v>18</v>
      </c>
      <c r="AJ97" s="118">
        <v>0.03</v>
      </c>
      <c r="AK97" s="118">
        <v>0.6</v>
      </c>
      <c r="AL97" s="118">
        <v>11</v>
      </c>
      <c r="AM97" s="118">
        <v>0.09</v>
      </c>
      <c r="AN97" s="118">
        <v>30</v>
      </c>
      <c r="AO97" s="118">
        <v>198</v>
      </c>
      <c r="AP97" s="118">
        <v>0.19</v>
      </c>
      <c r="AQ97" s="118">
        <v>0.21</v>
      </c>
      <c r="AR97" s="118">
        <v>7.0000000000000007E-2</v>
      </c>
      <c r="AS97" s="118">
        <v>0.01</v>
      </c>
      <c r="AT97" s="118">
        <v>0.05</v>
      </c>
      <c r="AU97" s="118"/>
      <c r="AV97" s="124">
        <v>1.5269999999999999E-2</v>
      </c>
      <c r="AW97" s="124">
        <v>3.1289999999999998E-2</v>
      </c>
      <c r="AX97" s="124">
        <v>5.0709999999999998E-2</v>
      </c>
      <c r="AY97" s="124">
        <v>2.8050000000000002E-2</v>
      </c>
      <c r="AZ97" s="124">
        <v>7.2199999999999999E-3</v>
      </c>
      <c r="BA97" s="124">
        <v>6.5599999999999999E-3</v>
      </c>
      <c r="BB97" s="124">
        <v>3.4360000000000002E-2</v>
      </c>
      <c r="BC97" s="124">
        <v>2.606E-2</v>
      </c>
      <c r="BD97" s="124">
        <v>5.4800000000000005E-3</v>
      </c>
      <c r="BE97" s="124">
        <v>4.333E-2</v>
      </c>
      <c r="BF97" s="124">
        <v>5.91E-2</v>
      </c>
      <c r="BG97" s="124">
        <v>4.1169999999999998E-2</v>
      </c>
      <c r="BH97" s="124">
        <v>5.8349999999999999E-2</v>
      </c>
      <c r="BI97" s="124">
        <v>0.20128000000000001</v>
      </c>
      <c r="BJ97" s="124">
        <v>4.1000000000000002E-2</v>
      </c>
      <c r="BK97" s="124">
        <v>3.0539999999999998E-2</v>
      </c>
      <c r="BL97" s="124">
        <v>3.27E-2</v>
      </c>
      <c r="BM97" s="124">
        <v>2.1409999999999998E-2</v>
      </c>
      <c r="BN97" s="118">
        <v>13.92</v>
      </c>
      <c r="BO97" s="118">
        <v>16.350000000000001</v>
      </c>
      <c r="BP97" s="118"/>
      <c r="BQ97" s="118">
        <v>6</v>
      </c>
      <c r="BR97" s="154" t="s">
        <v>85</v>
      </c>
      <c r="BS97" s="154" t="s">
        <v>85</v>
      </c>
      <c r="BT97" s="154">
        <v>1.06</v>
      </c>
      <c r="BU97" s="154">
        <v>52.54</v>
      </c>
      <c r="BV97" s="154" t="s">
        <v>85</v>
      </c>
      <c r="BW97" s="154">
        <v>7.24</v>
      </c>
      <c r="BX97" s="154" t="s">
        <v>85</v>
      </c>
      <c r="BY97" s="154" t="s">
        <v>85</v>
      </c>
      <c r="BZ97" s="154">
        <v>35.729999999999997</v>
      </c>
      <c r="CA97" s="154">
        <v>16.100000000000001</v>
      </c>
      <c r="CB97" s="154"/>
      <c r="CC97" s="154" t="s">
        <v>85</v>
      </c>
      <c r="CD97" s="154">
        <v>9.31</v>
      </c>
      <c r="CE97" s="154" t="s">
        <v>85</v>
      </c>
      <c r="CF97" s="154" t="s">
        <v>85</v>
      </c>
      <c r="CG97" s="205">
        <v>3</v>
      </c>
    </row>
    <row r="98" spans="1:85">
      <c r="A98" s="122">
        <v>25002</v>
      </c>
      <c r="B98" s="122" t="s">
        <v>459</v>
      </c>
      <c r="C98" s="122" t="s">
        <v>460</v>
      </c>
      <c r="D98" s="122" t="s">
        <v>461</v>
      </c>
      <c r="E98" s="122" t="s">
        <v>76</v>
      </c>
      <c r="F98" s="122" t="s">
        <v>1247</v>
      </c>
      <c r="G98" s="163" t="s">
        <v>1248</v>
      </c>
      <c r="H98" s="122">
        <v>13</v>
      </c>
      <c r="I98" s="128" t="s">
        <v>295</v>
      </c>
      <c r="J98" s="118">
        <v>16</v>
      </c>
      <c r="K98" s="118">
        <v>94.28</v>
      </c>
      <c r="L98" s="118">
        <v>0.9</v>
      </c>
      <c r="M98" s="118">
        <v>0.1</v>
      </c>
      <c r="N98" s="118">
        <v>1.7</v>
      </c>
      <c r="O98" s="118">
        <v>2.4</v>
      </c>
      <c r="P98" s="118">
        <v>0.43</v>
      </c>
      <c r="Q98" s="118">
        <v>0.01</v>
      </c>
      <c r="R98" s="118">
        <v>0.3</v>
      </c>
      <c r="S98" s="118">
        <v>0.15</v>
      </c>
      <c r="T98" s="118">
        <v>7.0000000000000007E-2</v>
      </c>
      <c r="U98" s="118">
        <v>25</v>
      </c>
      <c r="V98" s="118"/>
      <c r="W98" s="118">
        <v>17.190000000000001</v>
      </c>
      <c r="X98" s="118">
        <v>0.05</v>
      </c>
      <c r="Y98" s="118">
        <v>0.01</v>
      </c>
      <c r="Z98" s="118">
        <v>2.5</v>
      </c>
      <c r="AA98" s="118">
        <v>0</v>
      </c>
      <c r="AB98" s="118"/>
      <c r="AC98" s="118">
        <v>0</v>
      </c>
      <c r="AD98" s="118">
        <v>1.4</v>
      </c>
      <c r="AE98" s="118">
        <v>5.34</v>
      </c>
      <c r="AF98" s="118"/>
      <c r="AG98" s="118"/>
      <c r="AH98" s="118">
        <v>2.08</v>
      </c>
      <c r="AI98" s="118">
        <v>25</v>
      </c>
      <c r="AJ98" s="118">
        <v>0.03</v>
      </c>
      <c r="AK98" s="118">
        <v>0.4</v>
      </c>
      <c r="AL98" s="118">
        <v>17</v>
      </c>
      <c r="AM98" s="118">
        <v>0.1</v>
      </c>
      <c r="AN98" s="118">
        <v>23</v>
      </c>
      <c r="AO98" s="118">
        <v>142</v>
      </c>
      <c r="AP98" s="118">
        <v>0.1</v>
      </c>
      <c r="AQ98" s="118">
        <v>0.38</v>
      </c>
      <c r="AR98" s="118">
        <v>0.04</v>
      </c>
      <c r="AS98" s="118">
        <v>0.01</v>
      </c>
      <c r="AT98" s="118">
        <v>0.05</v>
      </c>
      <c r="AU98" s="118"/>
      <c r="AV98" s="124">
        <v>1.3710000000000002E-2</v>
      </c>
      <c r="AW98" s="124">
        <v>2.564E-2</v>
      </c>
      <c r="AX98" s="124">
        <v>4.7280000000000003E-2</v>
      </c>
      <c r="AY98" s="124">
        <v>2.325E-2</v>
      </c>
      <c r="AZ98" s="124">
        <v>5.9299999999999995E-3</v>
      </c>
      <c r="BA98" s="124">
        <v>6.5499999999999994E-3</v>
      </c>
      <c r="BB98" s="124">
        <v>2.5100000000000001E-2</v>
      </c>
      <c r="BC98" s="124">
        <v>3.1030000000000002E-2</v>
      </c>
      <c r="BD98" s="124">
        <v>4.0000000000000001E-3</v>
      </c>
      <c r="BE98" s="124">
        <v>4.3659999999999997E-2</v>
      </c>
      <c r="BF98" s="124">
        <v>5.7669999999999999E-2</v>
      </c>
      <c r="BG98" s="124">
        <v>3.1960000000000002E-2</v>
      </c>
      <c r="BH98" s="124">
        <v>7.5310000000000002E-2</v>
      </c>
      <c r="BI98" s="124">
        <v>0.20219999999999999</v>
      </c>
      <c r="BJ98" s="124">
        <v>3.1960000000000002E-2</v>
      </c>
      <c r="BK98" s="124">
        <v>3.2960000000000003E-2</v>
      </c>
      <c r="BL98" s="124">
        <v>3.5040000000000002E-2</v>
      </c>
      <c r="BM98" s="124">
        <v>1.332E-2</v>
      </c>
      <c r="BN98" s="118">
        <v>46.74</v>
      </c>
      <c r="BO98" s="118">
        <v>1.75</v>
      </c>
      <c r="BP98" s="118"/>
      <c r="BQ98" s="154">
        <v>6.5</v>
      </c>
      <c r="BR98" s="154" t="s">
        <v>85</v>
      </c>
      <c r="BS98" s="154" t="s">
        <v>85</v>
      </c>
      <c r="BT98" s="154" t="s">
        <v>85</v>
      </c>
      <c r="BU98" s="154">
        <v>34.72</v>
      </c>
      <c r="BV98" s="154" t="s">
        <v>85</v>
      </c>
      <c r="BW98" s="154">
        <v>7.94</v>
      </c>
      <c r="BX98" s="154" t="s">
        <v>85</v>
      </c>
      <c r="BY98" s="154" t="s">
        <v>85</v>
      </c>
      <c r="BZ98" s="154">
        <v>21.64</v>
      </c>
      <c r="CA98" s="154">
        <v>32</v>
      </c>
      <c r="CB98" s="154"/>
      <c r="CC98" s="154" t="s">
        <v>85</v>
      </c>
      <c r="CD98" s="154">
        <v>10.42</v>
      </c>
      <c r="CE98" s="154" t="s">
        <v>85</v>
      </c>
      <c r="CF98" s="154" t="s">
        <v>85</v>
      </c>
      <c r="CG98" s="205"/>
    </row>
    <row r="99" spans="1:85">
      <c r="A99" s="122">
        <v>22003</v>
      </c>
      <c r="B99" s="122" t="s">
        <v>462</v>
      </c>
      <c r="C99" s="122" t="s">
        <v>463</v>
      </c>
      <c r="D99" s="122" t="s">
        <v>464</v>
      </c>
      <c r="E99" s="122" t="s">
        <v>76</v>
      </c>
      <c r="F99" s="122" t="s">
        <v>1249</v>
      </c>
      <c r="G99" s="163" t="s">
        <v>1250</v>
      </c>
      <c r="H99" s="122">
        <v>11</v>
      </c>
      <c r="I99" s="122" t="s">
        <v>308</v>
      </c>
      <c r="J99" s="118">
        <v>33</v>
      </c>
      <c r="K99" s="118">
        <v>89.1</v>
      </c>
      <c r="L99" s="118">
        <v>0.9</v>
      </c>
      <c r="M99" s="118">
        <v>0.3</v>
      </c>
      <c r="N99" s="118">
        <v>5.4</v>
      </c>
      <c r="O99" s="118">
        <v>2.6</v>
      </c>
      <c r="P99" s="118">
        <v>0.04</v>
      </c>
      <c r="Q99" s="118">
        <v>0.08</v>
      </c>
      <c r="R99" s="118">
        <v>0.25</v>
      </c>
      <c r="S99" s="118">
        <v>0.3</v>
      </c>
      <c r="T99" s="118">
        <v>0.13</v>
      </c>
      <c r="U99" s="118">
        <v>19</v>
      </c>
      <c r="V99" s="118">
        <v>0</v>
      </c>
      <c r="W99" s="118">
        <v>1.44</v>
      </c>
      <c r="X99" s="118">
        <v>1.08</v>
      </c>
      <c r="Y99" s="118">
        <v>0.21</v>
      </c>
      <c r="Z99" s="118">
        <v>18.350000000000001</v>
      </c>
      <c r="AA99" s="118">
        <v>0</v>
      </c>
      <c r="AB99" s="118">
        <v>445</v>
      </c>
      <c r="AC99" s="118">
        <v>2654</v>
      </c>
      <c r="AD99" s="118">
        <v>3945.96</v>
      </c>
      <c r="AE99" s="118"/>
      <c r="AF99" s="118"/>
      <c r="AG99" s="118"/>
      <c r="AH99" s="118"/>
      <c r="AI99" s="118">
        <v>26</v>
      </c>
      <c r="AJ99" s="118">
        <v>0.23</v>
      </c>
      <c r="AK99" s="118">
        <v>0.4</v>
      </c>
      <c r="AL99" s="118">
        <v>16</v>
      </c>
      <c r="AM99" s="118">
        <v>0.23</v>
      </c>
      <c r="AN99" s="118">
        <v>34</v>
      </c>
      <c r="AO99" s="118">
        <v>145</v>
      </c>
      <c r="AP99" s="118">
        <v>0.22</v>
      </c>
      <c r="AQ99" s="118">
        <v>7.0000000000000007E-2</v>
      </c>
      <c r="AR99" s="118">
        <v>0.09</v>
      </c>
      <c r="AS99" s="118">
        <v>0.02</v>
      </c>
      <c r="AT99" s="118">
        <v>0.27</v>
      </c>
      <c r="AU99" s="118"/>
      <c r="AV99" s="124">
        <v>1.311E-2</v>
      </c>
      <c r="AW99" s="124">
        <v>3.3820000000000003E-2</v>
      </c>
      <c r="AX99" s="124">
        <v>4.598E-2</v>
      </c>
      <c r="AY99" s="124">
        <v>3.1920000000000004E-2</v>
      </c>
      <c r="AZ99" s="124">
        <v>7.4099999999999999E-3</v>
      </c>
      <c r="BA99" s="124">
        <v>8.5500000000000003E-3</v>
      </c>
      <c r="BB99" s="124">
        <v>2.6980000000000001E-2</v>
      </c>
      <c r="BC99" s="124">
        <v>3.7810000000000003E-2</v>
      </c>
      <c r="BD99" s="124">
        <v>9.5999999999999992E-3</v>
      </c>
      <c r="BE99" s="124">
        <v>4.351E-2</v>
      </c>
      <c r="BF99" s="124">
        <v>9.9180000000000004E-2</v>
      </c>
      <c r="BG99" s="124">
        <v>3.1350000000000003E-2</v>
      </c>
      <c r="BH99" s="124">
        <v>0.13633000000000001</v>
      </c>
      <c r="BI99" s="124">
        <v>0.25231999999999999</v>
      </c>
      <c r="BJ99" s="124">
        <v>3.458E-2</v>
      </c>
      <c r="BK99" s="124">
        <v>3.5529999999999999E-2</v>
      </c>
      <c r="BL99" s="124">
        <v>3.5340000000000003E-2</v>
      </c>
      <c r="BM99" s="124">
        <v>1.6250000000000001E-2</v>
      </c>
      <c r="BN99" s="118">
        <v>49.44</v>
      </c>
      <c r="BO99" s="118">
        <v>19.600000000000001</v>
      </c>
      <c r="BP99" s="118">
        <v>6</v>
      </c>
      <c r="BQ99" s="154">
        <v>8.1999999999999993</v>
      </c>
      <c r="BR99" s="154" t="s">
        <v>85</v>
      </c>
      <c r="BS99" s="154" t="s">
        <v>85</v>
      </c>
      <c r="BT99" s="154" t="s">
        <v>85</v>
      </c>
      <c r="BU99" s="154">
        <v>72.819999999999993</v>
      </c>
      <c r="BV99" s="154" t="s">
        <v>85</v>
      </c>
      <c r="BW99" s="154">
        <v>21.01</v>
      </c>
      <c r="BX99" s="154" t="s">
        <v>85</v>
      </c>
      <c r="BY99" s="154" t="s">
        <v>85</v>
      </c>
      <c r="BZ99" s="154">
        <v>241</v>
      </c>
      <c r="CA99" s="154">
        <v>24.38</v>
      </c>
      <c r="CB99" s="154"/>
      <c r="CC99" s="154" t="s">
        <v>85</v>
      </c>
      <c r="CD99" s="154">
        <v>3.49</v>
      </c>
      <c r="CE99" s="154" t="s">
        <v>85</v>
      </c>
      <c r="CF99" s="154" t="s">
        <v>85</v>
      </c>
      <c r="CG99" s="154">
        <v>2</v>
      </c>
    </row>
    <row r="100" spans="1:85">
      <c r="A100" s="122">
        <v>25003</v>
      </c>
      <c r="B100" s="122" t="s">
        <v>466</v>
      </c>
      <c r="C100" s="122" t="s">
        <v>467</v>
      </c>
      <c r="D100" s="122" t="s">
        <v>468</v>
      </c>
      <c r="E100" s="122" t="s">
        <v>76</v>
      </c>
      <c r="F100" s="122" t="s">
        <v>1251</v>
      </c>
      <c r="G100" s="163" t="s">
        <v>1252</v>
      </c>
      <c r="H100" s="122">
        <v>13</v>
      </c>
      <c r="I100" s="128" t="s">
        <v>295</v>
      </c>
      <c r="J100" s="118">
        <v>59</v>
      </c>
      <c r="K100" s="118">
        <v>83.73</v>
      </c>
      <c r="L100" s="118">
        <v>1.38</v>
      </c>
      <c r="M100" s="118">
        <v>7.0000000000000007E-2</v>
      </c>
      <c r="N100" s="118">
        <v>12.22</v>
      </c>
      <c r="O100" s="118">
        <v>1.93</v>
      </c>
      <c r="P100" s="118">
        <v>0.05</v>
      </c>
      <c r="Q100" s="118">
        <v>0.14000000000000001</v>
      </c>
      <c r="R100" s="118">
        <v>0.12</v>
      </c>
      <c r="S100" s="118">
        <v>0.22</v>
      </c>
      <c r="T100" s="118">
        <v>0.17</v>
      </c>
      <c r="U100" s="118">
        <v>19</v>
      </c>
      <c r="V100" s="118">
        <v>0</v>
      </c>
      <c r="W100" s="118">
        <v>4.5</v>
      </c>
      <c r="X100" s="118">
        <v>0.43</v>
      </c>
      <c r="Y100" s="118">
        <v>0.02</v>
      </c>
      <c r="Z100" s="118">
        <v>4.5</v>
      </c>
      <c r="AA100" s="118">
        <v>0</v>
      </c>
      <c r="AB100" s="118">
        <v>1.9</v>
      </c>
      <c r="AC100" s="118"/>
      <c r="AD100" s="118">
        <v>22.78</v>
      </c>
      <c r="AE100" s="118">
        <v>8.5299999999999994</v>
      </c>
      <c r="AF100" s="118"/>
      <c r="AG100" s="118"/>
      <c r="AH100" s="118">
        <v>1.75</v>
      </c>
      <c r="AI100" s="118">
        <v>23.97</v>
      </c>
      <c r="AJ100" s="118">
        <v>0.36</v>
      </c>
      <c r="AK100" s="118">
        <v>0.94</v>
      </c>
      <c r="AL100" s="118">
        <v>24.12</v>
      </c>
      <c r="AM100" s="118">
        <v>0.24</v>
      </c>
      <c r="AN100" s="118">
        <v>29</v>
      </c>
      <c r="AO100" s="118">
        <v>209.75</v>
      </c>
      <c r="AP100" s="118">
        <v>0.35</v>
      </c>
      <c r="AQ100" s="118">
        <v>0.41</v>
      </c>
      <c r="AR100" s="118">
        <v>0.05</v>
      </c>
      <c r="AS100" s="118">
        <v>0.03</v>
      </c>
      <c r="AT100" s="118">
        <v>0.04</v>
      </c>
      <c r="AU100" s="118"/>
      <c r="AV100" s="124">
        <v>2.7309999999999997E-2</v>
      </c>
      <c r="AW100" s="124">
        <v>4.972E-2</v>
      </c>
      <c r="AX100" s="124">
        <v>6.8640000000000007E-2</v>
      </c>
      <c r="AY100" s="124">
        <v>5.0959999999999998E-2</v>
      </c>
      <c r="AZ100" s="124">
        <v>2.291E-2</v>
      </c>
      <c r="BA100" s="124">
        <v>1.8760000000000002E-2</v>
      </c>
      <c r="BB100" s="124">
        <v>5.7270000000000001E-2</v>
      </c>
      <c r="BC100" s="124">
        <v>4.7479999999999994E-2</v>
      </c>
      <c r="BD100" s="124">
        <v>1.627E-2</v>
      </c>
      <c r="BE100" s="124">
        <v>5.5439999999999996E-2</v>
      </c>
      <c r="BF100" s="124">
        <v>7.5450000000000003E-2</v>
      </c>
      <c r="BG100" s="124">
        <v>0.21156999999999998</v>
      </c>
      <c r="BH100" s="124">
        <v>0.15330000000000002</v>
      </c>
      <c r="BI100" s="124">
        <v>0.41864999999999997</v>
      </c>
      <c r="BJ100" s="124">
        <v>8.5989999999999997E-2</v>
      </c>
      <c r="BK100" s="124">
        <v>4.6149999999999997E-2</v>
      </c>
      <c r="BL100" s="124">
        <v>4.7390000000000002E-2</v>
      </c>
      <c r="BM100" s="124">
        <v>3.4529999999999998E-2</v>
      </c>
      <c r="BN100" s="118">
        <v>35.119999999999997</v>
      </c>
      <c r="BO100" s="118">
        <v>11.09</v>
      </c>
      <c r="BP100" s="118">
        <v>3</v>
      </c>
      <c r="BQ100" s="154">
        <v>6.1</v>
      </c>
      <c r="BR100" s="154" t="s">
        <v>85</v>
      </c>
      <c r="BS100" s="154" t="s">
        <v>85</v>
      </c>
      <c r="BT100" s="154" t="s">
        <v>85</v>
      </c>
      <c r="BU100" s="154">
        <v>47.96</v>
      </c>
      <c r="BV100" s="154" t="s">
        <v>85</v>
      </c>
      <c r="BW100" s="154">
        <v>39.36</v>
      </c>
      <c r="BX100" s="154" t="s">
        <v>85</v>
      </c>
      <c r="BY100" s="154" t="s">
        <v>85</v>
      </c>
      <c r="BZ100" s="154">
        <v>100</v>
      </c>
      <c r="CA100" s="154">
        <v>6.63</v>
      </c>
      <c r="CB100" s="154"/>
      <c r="CC100" s="154" t="s">
        <v>85</v>
      </c>
      <c r="CD100" s="154">
        <v>62.5</v>
      </c>
      <c r="CE100" s="154" t="s">
        <v>85</v>
      </c>
      <c r="CF100" s="154" t="s">
        <v>85</v>
      </c>
      <c r="CG100" s="154">
        <v>2</v>
      </c>
    </row>
    <row r="101" spans="1:85">
      <c r="A101" s="122">
        <v>25004</v>
      </c>
      <c r="B101" s="122" t="s">
        <v>470</v>
      </c>
      <c r="C101" s="122" t="s">
        <v>471</v>
      </c>
      <c r="D101" s="122" t="s">
        <v>449</v>
      </c>
      <c r="E101" s="122" t="s">
        <v>76</v>
      </c>
      <c r="F101" s="122" t="s">
        <v>1253</v>
      </c>
      <c r="G101" s="163" t="s">
        <v>1254</v>
      </c>
      <c r="H101" s="122">
        <v>13</v>
      </c>
      <c r="I101" s="128" t="s">
        <v>295</v>
      </c>
      <c r="J101" s="118">
        <v>45</v>
      </c>
      <c r="K101" s="118">
        <v>85.51</v>
      </c>
      <c r="L101" s="118">
        <v>2.78</v>
      </c>
      <c r="M101" s="118">
        <v>0.13</v>
      </c>
      <c r="N101" s="118">
        <v>5.9</v>
      </c>
      <c r="O101" s="118">
        <v>4.7</v>
      </c>
      <c r="P101" s="118">
        <v>0.03</v>
      </c>
      <c r="Q101" s="118">
        <v>0.05</v>
      </c>
      <c r="R101" s="118">
        <v>0.9</v>
      </c>
      <c r="S101" s="118">
        <v>0.22</v>
      </c>
      <c r="T101" s="118">
        <v>0.23</v>
      </c>
      <c r="U101" s="118">
        <v>10</v>
      </c>
      <c r="V101" s="118"/>
      <c r="W101" s="118">
        <v>102.27</v>
      </c>
      <c r="X101" s="118">
        <v>2.97</v>
      </c>
      <c r="Y101" s="118">
        <v>0.28999999999999998</v>
      </c>
      <c r="Z101" s="118">
        <v>19.18</v>
      </c>
      <c r="AA101" s="118">
        <v>0</v>
      </c>
      <c r="AB101" s="118">
        <v>9.57</v>
      </c>
      <c r="AC101" s="118"/>
      <c r="AD101" s="118">
        <v>114.83</v>
      </c>
      <c r="AE101" s="118">
        <v>261</v>
      </c>
      <c r="AF101" s="118"/>
      <c r="AG101" s="118"/>
      <c r="AH101" s="118">
        <v>31.47</v>
      </c>
      <c r="AI101" s="118">
        <v>22.04</v>
      </c>
      <c r="AJ101" s="118">
        <v>0.87</v>
      </c>
      <c r="AK101" s="118">
        <v>1.65</v>
      </c>
      <c r="AL101" s="118">
        <v>43.35</v>
      </c>
      <c r="AM101" s="118">
        <v>0.28000000000000003</v>
      </c>
      <c r="AN101" s="118">
        <v>30</v>
      </c>
      <c r="AO101" s="118">
        <v>281.74</v>
      </c>
      <c r="AP101" s="118"/>
      <c r="AQ101" s="118">
        <v>1.97</v>
      </c>
      <c r="AR101" s="118">
        <v>0.13</v>
      </c>
      <c r="AS101" s="118">
        <v>0.03</v>
      </c>
      <c r="AT101" s="118">
        <v>0.41</v>
      </c>
      <c r="AU101" s="118"/>
      <c r="AV101" s="124">
        <v>4.0590000000000001E-2</v>
      </c>
      <c r="AW101" s="124">
        <v>7.4099999999999999E-2</v>
      </c>
      <c r="AX101" s="124">
        <v>0.11918000000000001</v>
      </c>
      <c r="AY101" s="124">
        <v>8.6379999999999998E-2</v>
      </c>
      <c r="AZ101" s="124">
        <v>2.572E-2</v>
      </c>
      <c r="BA101" s="124">
        <v>3.304E-2</v>
      </c>
      <c r="BB101" s="124">
        <v>0.11068</v>
      </c>
      <c r="BC101" s="124">
        <v>8.6379999999999998E-2</v>
      </c>
      <c r="BD101" s="124">
        <v>1.8170000000000002E-2</v>
      </c>
      <c r="BE101" s="124">
        <v>9.487000000000001E-2</v>
      </c>
      <c r="BF101" s="124">
        <v>0.1147</v>
      </c>
      <c r="BG101" s="124">
        <v>0.11304</v>
      </c>
      <c r="BH101" s="124">
        <v>0.40686</v>
      </c>
      <c r="BI101" s="124">
        <v>0.42337999999999998</v>
      </c>
      <c r="BJ101" s="124">
        <v>0.10526000000000001</v>
      </c>
      <c r="BK101" s="124">
        <v>6.726E-2</v>
      </c>
      <c r="BL101" s="124">
        <v>0.10431</v>
      </c>
      <c r="BM101" s="124">
        <v>6.2299999999999994E-2</v>
      </c>
      <c r="BN101" s="118">
        <v>55.66</v>
      </c>
      <c r="BO101" s="118">
        <v>13.38</v>
      </c>
      <c r="BP101" s="118">
        <v>29</v>
      </c>
      <c r="BQ101" s="118">
        <v>34.299999999999997</v>
      </c>
      <c r="BR101" s="154" t="s">
        <v>85</v>
      </c>
      <c r="BS101" s="154" t="s">
        <v>85</v>
      </c>
      <c r="BT101" s="154">
        <v>5.58</v>
      </c>
      <c r="BU101" s="154">
        <v>88.25</v>
      </c>
      <c r="BV101" s="154" t="s">
        <v>85</v>
      </c>
      <c r="BW101" s="154">
        <v>27.88</v>
      </c>
      <c r="BX101" s="154" t="s">
        <v>85</v>
      </c>
      <c r="BY101" s="154" t="s">
        <v>85</v>
      </c>
      <c r="BZ101" s="154">
        <v>370</v>
      </c>
      <c r="CA101" s="154">
        <v>43.14</v>
      </c>
      <c r="CB101" s="154"/>
      <c r="CC101" s="154" t="s">
        <v>85</v>
      </c>
      <c r="CD101" s="154">
        <v>3.41</v>
      </c>
      <c r="CE101" s="154" t="s">
        <v>85</v>
      </c>
      <c r="CF101" s="154" t="s">
        <v>85</v>
      </c>
      <c r="CG101" s="205"/>
    </row>
    <row r="102" spans="1:85">
      <c r="A102" s="122">
        <v>25005</v>
      </c>
      <c r="B102" s="122" t="s">
        <v>473</v>
      </c>
      <c r="C102" s="122" t="s">
        <v>474</v>
      </c>
      <c r="D102" s="122" t="s">
        <v>449</v>
      </c>
      <c r="E102" s="122" t="s">
        <v>82</v>
      </c>
      <c r="F102" s="122" t="s">
        <v>475</v>
      </c>
      <c r="G102" s="163" t="s">
        <v>476</v>
      </c>
      <c r="H102" s="122">
        <v>13</v>
      </c>
      <c r="I102" s="128" t="s">
        <v>295</v>
      </c>
      <c r="J102" s="118">
        <v>16.25</v>
      </c>
      <c r="K102" s="118">
        <v>93.89</v>
      </c>
      <c r="L102" s="118">
        <v>1.1000000000000001</v>
      </c>
      <c r="M102" s="118">
        <v>0.34</v>
      </c>
      <c r="N102" s="118">
        <v>1.84</v>
      </c>
      <c r="O102" s="118">
        <v>2.06</v>
      </c>
      <c r="P102" s="118">
        <v>0.05</v>
      </c>
      <c r="Q102" s="118">
        <v>0.03</v>
      </c>
      <c r="R102" s="118">
        <v>0.56000000000000005</v>
      </c>
      <c r="S102" s="118">
        <v>0.21</v>
      </c>
      <c r="T102" s="118">
        <v>0.15</v>
      </c>
      <c r="U102" s="118">
        <v>51.85</v>
      </c>
      <c r="V102" s="118"/>
      <c r="W102" s="118">
        <v>123</v>
      </c>
      <c r="X102" s="118">
        <v>0.7</v>
      </c>
      <c r="Y102" s="118">
        <v>7.0000000000000007E-2</v>
      </c>
      <c r="Z102" s="118">
        <v>24.66</v>
      </c>
      <c r="AA102" s="118"/>
      <c r="AB102" s="125">
        <f>AA102+1/12*(AD102)+1/24*(AC102)+1/24*(AG102)</f>
        <v>28.5</v>
      </c>
      <c r="AC102" s="118">
        <v>21</v>
      </c>
      <c r="AD102" s="118">
        <v>328</v>
      </c>
      <c r="AE102" s="118">
        <v>164</v>
      </c>
      <c r="AF102" s="118"/>
      <c r="AG102" s="118">
        <v>7</v>
      </c>
      <c r="AH102" s="118">
        <v>21.41</v>
      </c>
      <c r="AI102" s="118">
        <v>14.75</v>
      </c>
      <c r="AJ102" s="118">
        <v>0.06</v>
      </c>
      <c r="AK102" s="118">
        <v>0.48</v>
      </c>
      <c r="AL102" s="118">
        <v>11.84</v>
      </c>
      <c r="AM102" s="118">
        <v>0.1</v>
      </c>
      <c r="AN102" s="118">
        <v>23</v>
      </c>
      <c r="AO102" s="118">
        <v>154</v>
      </c>
      <c r="AP102" s="118">
        <v>0.18</v>
      </c>
      <c r="AQ102" s="118">
        <v>0.15</v>
      </c>
      <c r="AR102" s="118">
        <v>7.7030000000000001E-2</v>
      </c>
      <c r="AS102" s="118">
        <v>1.2699999999999999E-2</v>
      </c>
      <c r="AT102" s="118">
        <v>0.17199999999999999</v>
      </c>
      <c r="AU102" s="118"/>
      <c r="AV102" s="118">
        <v>1.72</v>
      </c>
      <c r="AW102" s="118">
        <v>3.79</v>
      </c>
      <c r="AX102" s="118">
        <v>5.68</v>
      </c>
      <c r="AY102" s="118">
        <v>3.47</v>
      </c>
      <c r="AZ102" s="118">
        <v>1.24</v>
      </c>
      <c r="BA102" s="118">
        <v>0.98</v>
      </c>
      <c r="BB102" s="118">
        <v>3.49</v>
      </c>
      <c r="BC102" s="118">
        <v>4.05</v>
      </c>
      <c r="BD102" s="118">
        <v>0.96</v>
      </c>
      <c r="BE102" s="118">
        <v>5.17</v>
      </c>
      <c r="BF102" s="118">
        <v>6.43</v>
      </c>
      <c r="BG102" s="118">
        <v>3.07</v>
      </c>
      <c r="BH102" s="118">
        <v>14.89</v>
      </c>
      <c r="BI102" s="118">
        <v>24.82</v>
      </c>
      <c r="BJ102" s="118">
        <v>4.8600000000000003</v>
      </c>
      <c r="BK102" s="118">
        <v>3.83</v>
      </c>
      <c r="BL102" s="118">
        <v>4.3</v>
      </c>
      <c r="BM102" s="118">
        <v>2.91</v>
      </c>
      <c r="BN102" s="118">
        <v>10.82</v>
      </c>
      <c r="BO102" s="118">
        <v>15.96</v>
      </c>
      <c r="BP102" s="118">
        <v>19.12</v>
      </c>
      <c r="BQ102" s="118"/>
      <c r="BR102" s="154" t="s">
        <v>85</v>
      </c>
      <c r="BS102" s="154" t="s">
        <v>85</v>
      </c>
      <c r="BT102" s="154">
        <v>1.8</v>
      </c>
      <c r="BU102" s="154">
        <v>48.13</v>
      </c>
      <c r="BV102" s="154" t="s">
        <v>85</v>
      </c>
      <c r="BW102" s="154">
        <v>11.29</v>
      </c>
      <c r="BX102" s="154" t="s">
        <v>85</v>
      </c>
      <c r="BY102" s="154" t="s">
        <v>85</v>
      </c>
      <c r="BZ102" s="154">
        <v>135</v>
      </c>
      <c r="CA102" s="154">
        <v>37.08</v>
      </c>
      <c r="CB102" s="154"/>
      <c r="CC102" s="154" t="s">
        <v>85</v>
      </c>
      <c r="CD102" s="154">
        <v>20.149999999999999</v>
      </c>
      <c r="CE102" s="154" t="s">
        <v>85</v>
      </c>
      <c r="CF102" s="154" t="s">
        <v>85</v>
      </c>
      <c r="CG102" s="205">
        <v>1</v>
      </c>
    </row>
    <row r="103" spans="1:85">
      <c r="A103" s="122">
        <v>90823</v>
      </c>
      <c r="B103" s="122" t="s">
        <v>477</v>
      </c>
      <c r="C103" s="122" t="s">
        <v>478</v>
      </c>
      <c r="D103" s="122" t="s">
        <v>264</v>
      </c>
      <c r="E103" s="122" t="s">
        <v>76</v>
      </c>
      <c r="F103" s="122" t="s">
        <v>1163</v>
      </c>
      <c r="G103" s="163" t="s">
        <v>1164</v>
      </c>
      <c r="H103" s="122">
        <v>21</v>
      </c>
      <c r="I103" s="122" t="s">
        <v>78</v>
      </c>
      <c r="J103" s="118">
        <v>30</v>
      </c>
      <c r="K103" s="118">
        <v>87.88</v>
      </c>
      <c r="L103" s="118">
        <v>3.34</v>
      </c>
      <c r="M103" s="118">
        <v>0.52</v>
      </c>
      <c r="N103" s="118">
        <v>0.1</v>
      </c>
      <c r="O103" s="118">
        <v>5.92</v>
      </c>
      <c r="P103" s="118">
        <v>0.05</v>
      </c>
      <c r="Q103" s="118">
        <v>0.06</v>
      </c>
      <c r="R103" s="118">
        <v>1.1100000000000001</v>
      </c>
      <c r="S103" s="118">
        <v>0.63</v>
      </c>
      <c r="T103" s="118">
        <v>0.15</v>
      </c>
      <c r="U103" s="118">
        <v>62</v>
      </c>
      <c r="V103" s="118">
        <v>0</v>
      </c>
      <c r="W103" s="118">
        <v>105.69</v>
      </c>
      <c r="X103" s="118">
        <v>3.55</v>
      </c>
      <c r="Y103" s="118">
        <v>2.5</v>
      </c>
      <c r="Z103" s="118">
        <v>274</v>
      </c>
      <c r="AA103" s="118">
        <v>0</v>
      </c>
      <c r="AB103" s="118">
        <v>132.46</v>
      </c>
      <c r="AC103" s="118">
        <v>36</v>
      </c>
      <c r="AD103" s="118">
        <v>1470.54</v>
      </c>
      <c r="AE103" s="118">
        <v>6351</v>
      </c>
      <c r="AF103" s="118"/>
      <c r="AG103" s="118"/>
      <c r="AH103" s="118">
        <v>28.3</v>
      </c>
      <c r="AI103" s="118">
        <v>160.44</v>
      </c>
      <c r="AJ103" s="118">
        <v>0.14000000000000001</v>
      </c>
      <c r="AK103" s="118">
        <v>1.42</v>
      </c>
      <c r="AL103" s="118">
        <v>33.700000000000003</v>
      </c>
      <c r="AM103" s="118">
        <v>0.96</v>
      </c>
      <c r="AN103" s="118">
        <v>30.29</v>
      </c>
      <c r="AO103" s="118">
        <v>396.48</v>
      </c>
      <c r="AP103" s="118">
        <v>0.45</v>
      </c>
      <c r="AQ103" s="118">
        <v>0.32</v>
      </c>
      <c r="AR103" s="118">
        <v>0.23</v>
      </c>
      <c r="AS103" s="118">
        <v>0.01</v>
      </c>
      <c r="AT103" s="118">
        <v>0.32</v>
      </c>
      <c r="AU103" s="118"/>
      <c r="AV103" s="124">
        <v>6.0899999999999996E-2</v>
      </c>
      <c r="AW103" s="124">
        <v>0.13200000000000001</v>
      </c>
      <c r="AX103" s="124">
        <v>0.22914999999999999</v>
      </c>
      <c r="AY103" s="124">
        <v>0.12883</v>
      </c>
      <c r="AZ103" s="124">
        <v>1.7600000000000001E-2</v>
      </c>
      <c r="BA103" s="124">
        <v>2.112E-2</v>
      </c>
      <c r="BB103" s="124">
        <v>0.1232</v>
      </c>
      <c r="BC103" s="124">
        <v>0.13658000000000001</v>
      </c>
      <c r="BD103" s="124">
        <v>5.7729999999999997E-2</v>
      </c>
      <c r="BE103" s="124">
        <v>0.13797999999999999</v>
      </c>
      <c r="BF103" s="124">
        <v>0.19571</v>
      </c>
      <c r="BG103" s="124">
        <v>0.17740999999999998</v>
      </c>
      <c r="BH103" s="124">
        <v>0.51919999999999999</v>
      </c>
      <c r="BI103" s="124">
        <v>0.43331000000000003</v>
      </c>
      <c r="BJ103" s="124">
        <v>0.17846000000000001</v>
      </c>
      <c r="BK103" s="124">
        <v>0.14396999999999999</v>
      </c>
      <c r="BL103" s="124">
        <v>0.13869000000000001</v>
      </c>
      <c r="BM103" s="124">
        <v>0.12038</v>
      </c>
      <c r="BN103" s="118">
        <v>60.28</v>
      </c>
      <c r="BO103" s="118">
        <v>40.99</v>
      </c>
      <c r="BP103" s="118">
        <v>47</v>
      </c>
      <c r="BQ103" s="118"/>
      <c r="BR103" s="154" t="s">
        <v>85</v>
      </c>
      <c r="BS103" s="154" t="s">
        <v>85</v>
      </c>
      <c r="BT103" s="154">
        <v>18.14</v>
      </c>
      <c r="BU103" s="154">
        <v>144</v>
      </c>
      <c r="BV103" s="154" t="s">
        <v>85</v>
      </c>
      <c r="BW103" s="154">
        <v>8.31</v>
      </c>
      <c r="BX103" s="154">
        <v>0.75</v>
      </c>
      <c r="BY103" s="154" t="s">
        <v>85</v>
      </c>
      <c r="BZ103" s="154">
        <v>151</v>
      </c>
      <c r="CA103" s="154">
        <v>169</v>
      </c>
      <c r="CB103" s="154"/>
      <c r="CC103" s="154" t="s">
        <v>85</v>
      </c>
      <c r="CD103" s="154">
        <v>2.19</v>
      </c>
      <c r="CE103" s="154" t="s">
        <v>85</v>
      </c>
      <c r="CF103" s="154" t="s">
        <v>85</v>
      </c>
      <c r="CG103" s="205"/>
    </row>
    <row r="104" spans="1:85">
      <c r="A104" s="122">
        <v>24001</v>
      </c>
      <c r="B104" s="122" t="s">
        <v>479</v>
      </c>
      <c r="C104" s="122" t="s">
        <v>480</v>
      </c>
      <c r="D104" s="122" t="s">
        <v>102</v>
      </c>
      <c r="E104" s="122" t="s">
        <v>76</v>
      </c>
      <c r="F104" s="122" t="s">
        <v>1255</v>
      </c>
      <c r="G104" s="163" t="s">
        <v>1256</v>
      </c>
      <c r="H104" s="122">
        <v>21</v>
      </c>
      <c r="I104" s="122" t="s">
        <v>78</v>
      </c>
      <c r="J104" s="118">
        <v>72</v>
      </c>
      <c r="K104" s="118">
        <v>81.099999999999994</v>
      </c>
      <c r="L104" s="118">
        <v>1.91</v>
      </c>
      <c r="M104" s="118">
        <v>0.79</v>
      </c>
      <c r="N104" s="118">
        <v>13.29</v>
      </c>
      <c r="O104" s="118">
        <v>2</v>
      </c>
      <c r="P104" s="118">
        <v>0.03</v>
      </c>
      <c r="Q104" s="118">
        <v>0.03</v>
      </c>
      <c r="R104" s="118">
        <v>0.77</v>
      </c>
      <c r="S104" s="118">
        <v>0.24</v>
      </c>
      <c r="T104" s="118">
        <v>0.16</v>
      </c>
      <c r="U104" s="118">
        <v>11</v>
      </c>
      <c r="V104" s="118">
        <v>0</v>
      </c>
      <c r="W104" s="118">
        <v>5</v>
      </c>
      <c r="X104" s="118">
        <v>4.09</v>
      </c>
      <c r="Y104" s="118">
        <v>0.26</v>
      </c>
      <c r="Z104" s="118">
        <v>25.55</v>
      </c>
      <c r="AA104" s="118">
        <v>0</v>
      </c>
      <c r="AB104" s="118">
        <v>0</v>
      </c>
      <c r="AC104" s="118">
        <v>0</v>
      </c>
      <c r="AD104" s="118">
        <v>0</v>
      </c>
      <c r="AE104" s="118">
        <v>15.04</v>
      </c>
      <c r="AF104" s="118"/>
      <c r="AG104" s="118"/>
      <c r="AH104" s="118">
        <v>5.97</v>
      </c>
      <c r="AI104" s="118">
        <v>17.25</v>
      </c>
      <c r="AJ104" s="118">
        <v>0.17</v>
      </c>
      <c r="AK104" s="118">
        <v>1.1000000000000001</v>
      </c>
      <c r="AL104" s="118">
        <v>40.33</v>
      </c>
      <c r="AM104" s="118">
        <v>3.85</v>
      </c>
      <c r="AN104" s="118">
        <v>31.67</v>
      </c>
      <c r="AO104" s="118">
        <v>386.67</v>
      </c>
      <c r="AP104" s="118"/>
      <c r="AQ104" s="118">
        <v>0.36</v>
      </c>
      <c r="AR104" s="118">
        <v>0.23</v>
      </c>
      <c r="AS104" s="118">
        <v>7.0000000000000007E-2</v>
      </c>
      <c r="AT104" s="118">
        <v>0.38</v>
      </c>
      <c r="AU104" s="118"/>
      <c r="AV104" s="124">
        <v>3.508E-2</v>
      </c>
      <c r="AW104" s="124">
        <v>8.8359999999999994E-2</v>
      </c>
      <c r="AX104" s="124">
        <v>0.14408000000000001</v>
      </c>
      <c r="AY104" s="124">
        <v>5.1279999999999999E-2</v>
      </c>
      <c r="AZ104" s="124">
        <v>1.9760000000000003E-2</v>
      </c>
      <c r="BA104" s="124">
        <v>1.8200000000000001E-2</v>
      </c>
      <c r="BB104" s="124">
        <v>9.6790000000000001E-2</v>
      </c>
      <c r="BC104" s="124">
        <v>9.6569999999999989E-2</v>
      </c>
      <c r="BD104" s="124">
        <v>2.198E-2</v>
      </c>
      <c r="BE104" s="124">
        <v>9.6569999999999989E-2</v>
      </c>
      <c r="BF104" s="124">
        <v>0.10501000000000001</v>
      </c>
      <c r="BG104" s="124">
        <v>0.13165000000000002</v>
      </c>
      <c r="BH104" s="124">
        <v>0.34055000000000002</v>
      </c>
      <c r="BI104" s="124">
        <v>0.30680000000000002</v>
      </c>
      <c r="BJ104" s="124">
        <v>0.109</v>
      </c>
      <c r="BK104" s="124">
        <v>7.2819999999999996E-2</v>
      </c>
      <c r="BL104" s="124">
        <v>0.10656</v>
      </c>
      <c r="BM104" s="124">
        <v>8.3920000000000008E-2</v>
      </c>
      <c r="BN104" s="118">
        <v>225</v>
      </c>
      <c r="BO104" s="118">
        <v>14.5</v>
      </c>
      <c r="BP104" s="118"/>
      <c r="BQ104" s="118"/>
      <c r="BR104" s="154" t="s">
        <v>85</v>
      </c>
      <c r="BS104" s="154">
        <v>24.21</v>
      </c>
      <c r="BT104" s="154">
        <v>11.05</v>
      </c>
      <c r="BU104" s="154">
        <v>176</v>
      </c>
      <c r="BV104" s="154" t="s">
        <v>85</v>
      </c>
      <c r="BW104" s="154">
        <v>67.97</v>
      </c>
      <c r="BX104" s="154" t="s">
        <v>85</v>
      </c>
      <c r="BY104" s="154" t="s">
        <v>85</v>
      </c>
      <c r="BZ104" s="154">
        <v>302</v>
      </c>
      <c r="CA104" s="154">
        <v>78.989999999999995</v>
      </c>
      <c r="CB104" s="154"/>
      <c r="CC104" s="154" t="s">
        <v>85</v>
      </c>
      <c r="CD104" s="154">
        <v>4.08</v>
      </c>
      <c r="CE104" s="154" t="s">
        <v>85</v>
      </c>
      <c r="CF104" s="154" t="s">
        <v>85</v>
      </c>
      <c r="CG104" s="205"/>
    </row>
    <row r="105" spans="1:85">
      <c r="A105" s="122">
        <v>25029</v>
      </c>
      <c r="B105" s="122" t="s">
        <v>482</v>
      </c>
      <c r="C105" s="122" t="s">
        <v>483</v>
      </c>
      <c r="D105" s="122" t="s">
        <v>484</v>
      </c>
      <c r="E105" s="122" t="s">
        <v>76</v>
      </c>
      <c r="F105" s="122" t="s">
        <v>1257</v>
      </c>
      <c r="G105" s="163" t="s">
        <v>1258</v>
      </c>
      <c r="H105" s="122">
        <v>13</v>
      </c>
      <c r="I105" s="128" t="s">
        <v>295</v>
      </c>
      <c r="J105" s="118">
        <v>25</v>
      </c>
      <c r="K105" s="118">
        <v>91.9</v>
      </c>
      <c r="L105" s="118">
        <v>2.4</v>
      </c>
      <c r="M105" s="118">
        <v>0.3</v>
      </c>
      <c r="N105" s="118">
        <v>1.8</v>
      </c>
      <c r="O105" s="118">
        <v>2.9</v>
      </c>
      <c r="P105" s="118">
        <v>0.03</v>
      </c>
      <c r="Q105" s="118">
        <v>0.03</v>
      </c>
      <c r="R105" s="118">
        <v>0.6</v>
      </c>
      <c r="S105" s="118">
        <v>0.62</v>
      </c>
      <c r="T105" s="118">
        <v>0.13</v>
      </c>
      <c r="U105" s="118">
        <v>57</v>
      </c>
      <c r="V105" s="118">
        <v>0</v>
      </c>
      <c r="W105" s="118">
        <v>72.7</v>
      </c>
      <c r="X105" s="118">
        <v>1.32</v>
      </c>
      <c r="Y105" s="118">
        <v>0.02</v>
      </c>
      <c r="Z105" s="118">
        <v>14.33</v>
      </c>
      <c r="AA105" s="118">
        <v>0</v>
      </c>
      <c r="AB105" s="118">
        <v>1</v>
      </c>
      <c r="AC105" s="118">
        <v>0</v>
      </c>
      <c r="AD105" s="118">
        <v>8</v>
      </c>
      <c r="AE105" s="118">
        <v>31.37</v>
      </c>
      <c r="AF105" s="118"/>
      <c r="AG105" s="118"/>
      <c r="AH105" s="118">
        <v>5.77</v>
      </c>
      <c r="AI105" s="118">
        <v>33</v>
      </c>
      <c r="AJ105" s="118">
        <v>0.03</v>
      </c>
      <c r="AK105" s="118">
        <v>1.3</v>
      </c>
      <c r="AL105" s="118">
        <v>19</v>
      </c>
      <c r="AM105" s="118">
        <v>0.23</v>
      </c>
      <c r="AN105" s="118">
        <v>47</v>
      </c>
      <c r="AO105" s="118">
        <v>329</v>
      </c>
      <c r="AP105" s="118">
        <v>0.47</v>
      </c>
      <c r="AQ105" s="118">
        <v>0.41</v>
      </c>
      <c r="AR105" s="118">
        <v>0.18</v>
      </c>
      <c r="AS105" s="118">
        <v>0.02</v>
      </c>
      <c r="AT105" s="118">
        <v>0.22</v>
      </c>
      <c r="AU105" s="118"/>
      <c r="AV105" s="124">
        <v>3.8700000000000005E-2</v>
      </c>
      <c r="AW105" s="124">
        <v>8.2560000000000008E-2</v>
      </c>
      <c r="AX105" s="124">
        <v>0.12922</v>
      </c>
      <c r="AY105" s="124">
        <v>8.8800000000000004E-2</v>
      </c>
      <c r="AZ105" s="124">
        <v>2.172E-2</v>
      </c>
      <c r="BA105" s="124">
        <v>1.2039999999999999E-2</v>
      </c>
      <c r="BB105" s="124">
        <v>8.3420000000000008E-2</v>
      </c>
      <c r="BC105" s="124">
        <v>8.6430000000000007E-2</v>
      </c>
      <c r="BD105" s="124">
        <v>2.2789999999999998E-2</v>
      </c>
      <c r="BE105" s="124">
        <v>0.12492</v>
      </c>
      <c r="BF105" s="124">
        <v>0.17113999999999999</v>
      </c>
      <c r="BG105" s="124">
        <v>8.9230000000000004E-2</v>
      </c>
      <c r="BH105" s="124">
        <v>0.22812000000000002</v>
      </c>
      <c r="BI105" s="124">
        <v>0.44505</v>
      </c>
      <c r="BJ105" s="124">
        <v>8.9230000000000004E-2</v>
      </c>
      <c r="BK105" s="124">
        <v>7.418000000000001E-2</v>
      </c>
      <c r="BL105" s="124">
        <v>0.11073000000000001</v>
      </c>
      <c r="BM105" s="124">
        <v>6.2140000000000001E-2</v>
      </c>
      <c r="BN105" s="118">
        <v>32.409999999999997</v>
      </c>
      <c r="BO105" s="118">
        <v>18.48</v>
      </c>
      <c r="BP105" s="118"/>
      <c r="BQ105" s="154">
        <v>44.3</v>
      </c>
      <c r="BR105" s="154" t="s">
        <v>85</v>
      </c>
      <c r="BS105" s="154" t="s">
        <v>85</v>
      </c>
      <c r="BT105" s="154">
        <v>1.73</v>
      </c>
      <c r="BU105" s="154">
        <v>88.5</v>
      </c>
      <c r="BV105" s="154" t="s">
        <v>85</v>
      </c>
      <c r="BW105" s="154">
        <v>24.83</v>
      </c>
      <c r="BX105" s="154" t="s">
        <v>85</v>
      </c>
      <c r="BY105" s="154" t="s">
        <v>85</v>
      </c>
      <c r="BZ105" s="154">
        <v>99</v>
      </c>
      <c r="CA105" s="154">
        <v>117</v>
      </c>
      <c r="CB105" s="154"/>
      <c r="CC105" s="154" t="s">
        <v>85</v>
      </c>
      <c r="CD105" s="154">
        <v>6.61</v>
      </c>
      <c r="CE105" s="154" t="s">
        <v>85</v>
      </c>
      <c r="CF105" s="154" t="s">
        <v>85</v>
      </c>
      <c r="CG105" s="205"/>
    </row>
    <row r="106" spans="1:85">
      <c r="A106" s="122">
        <v>24004</v>
      </c>
      <c r="B106" s="122" t="s">
        <v>486</v>
      </c>
      <c r="C106" s="122" t="s">
        <v>487</v>
      </c>
      <c r="D106" s="122" t="s">
        <v>440</v>
      </c>
      <c r="E106" s="122" t="s">
        <v>76</v>
      </c>
      <c r="F106" s="122" t="s">
        <v>1237</v>
      </c>
      <c r="G106" s="163" t="s">
        <v>1238</v>
      </c>
      <c r="H106" s="122">
        <v>21</v>
      </c>
      <c r="I106" s="122" t="s">
        <v>78</v>
      </c>
      <c r="J106" s="118">
        <v>147</v>
      </c>
      <c r="K106" s="118">
        <v>61.63</v>
      </c>
      <c r="L106" s="118">
        <v>6.85</v>
      </c>
      <c r="M106" s="118">
        <v>0.55000000000000004</v>
      </c>
      <c r="N106" s="118">
        <v>27.62</v>
      </c>
      <c r="O106" s="118">
        <v>2.1</v>
      </c>
      <c r="P106" s="118">
        <v>0.13</v>
      </c>
      <c r="Q106" s="118">
        <v>0.12</v>
      </c>
      <c r="R106" s="118">
        <v>0.5</v>
      </c>
      <c r="S106" s="118">
        <v>1.69</v>
      </c>
      <c r="T106" s="118">
        <v>1.24</v>
      </c>
      <c r="U106" s="118">
        <v>4</v>
      </c>
      <c r="V106" s="118">
        <v>0</v>
      </c>
      <c r="W106" s="118">
        <v>24.1</v>
      </c>
      <c r="X106" s="118">
        <v>2.2400000000000002</v>
      </c>
      <c r="Y106" s="118">
        <v>0.08</v>
      </c>
      <c r="Z106" s="118">
        <v>2.8</v>
      </c>
      <c r="AA106" s="118">
        <v>0</v>
      </c>
      <c r="AB106" s="118">
        <v>0</v>
      </c>
      <c r="AC106" s="118">
        <v>0</v>
      </c>
      <c r="AD106" s="118">
        <v>0</v>
      </c>
      <c r="AE106" s="118">
        <v>4.5599999999999996</v>
      </c>
      <c r="AF106" s="118"/>
      <c r="AG106" s="118"/>
      <c r="AH106" s="118">
        <v>1.56</v>
      </c>
      <c r="AI106" s="118">
        <v>24.5</v>
      </c>
      <c r="AJ106" s="118">
        <v>0.18</v>
      </c>
      <c r="AK106" s="118">
        <v>1.63</v>
      </c>
      <c r="AL106" s="118">
        <v>25</v>
      </c>
      <c r="AM106" s="118">
        <v>0.34</v>
      </c>
      <c r="AN106" s="118">
        <v>161.5</v>
      </c>
      <c r="AO106" s="118">
        <v>510.5</v>
      </c>
      <c r="AP106" s="118"/>
      <c r="AQ106" s="118">
        <v>1.08</v>
      </c>
      <c r="AR106" s="118">
        <v>0.03</v>
      </c>
      <c r="AS106" s="118">
        <v>0.01</v>
      </c>
      <c r="AT106" s="118">
        <v>0.06</v>
      </c>
      <c r="AU106" s="118"/>
      <c r="AV106" s="124">
        <v>8.5919999999999996E-2</v>
      </c>
      <c r="AW106" s="124">
        <v>0.14896000000000001</v>
      </c>
      <c r="AX106" s="124">
        <v>0.26075999999999999</v>
      </c>
      <c r="AY106" s="124">
        <v>0.26706000000000002</v>
      </c>
      <c r="AZ106" s="124">
        <v>5.0090000000000003E-2</v>
      </c>
      <c r="BA106" s="124">
        <v>0.12076000000000001</v>
      </c>
      <c r="BB106" s="124">
        <v>0.22559000000000001</v>
      </c>
      <c r="BC106" s="124">
        <v>0.20768</v>
      </c>
      <c r="BD106" s="124">
        <v>5.1749999999999997E-2</v>
      </c>
      <c r="BE106" s="124">
        <v>0.23089999999999999</v>
      </c>
      <c r="BF106" s="124">
        <v>0.27104</v>
      </c>
      <c r="BG106" s="124">
        <v>1.03241</v>
      </c>
      <c r="BH106" s="124">
        <v>0.71525000000000005</v>
      </c>
      <c r="BI106" s="124">
        <v>1.14686</v>
      </c>
      <c r="BJ106" s="124">
        <v>0.19805</v>
      </c>
      <c r="BK106" s="124">
        <v>0.24515999999999999</v>
      </c>
      <c r="BL106" s="124">
        <v>0.22725000000000001</v>
      </c>
      <c r="BM106" s="124">
        <v>0.21828999999999998</v>
      </c>
      <c r="BN106" s="118">
        <v>95.26</v>
      </c>
      <c r="BO106" s="118">
        <v>34.64</v>
      </c>
      <c r="BP106" s="118"/>
      <c r="BQ106" s="118">
        <v>23.2</v>
      </c>
      <c r="BR106" s="154" t="s">
        <v>85</v>
      </c>
      <c r="BS106" s="154" t="s">
        <v>85</v>
      </c>
      <c r="BT106" s="154" t="s">
        <v>85</v>
      </c>
      <c r="BU106" s="154">
        <v>26.56</v>
      </c>
      <c r="BV106" s="154" t="s">
        <v>85</v>
      </c>
      <c r="BW106" s="154">
        <v>14.24</v>
      </c>
      <c r="BX106" s="154" t="s">
        <v>85</v>
      </c>
      <c r="BY106" s="154" t="s">
        <v>85</v>
      </c>
      <c r="BZ106" s="154">
        <v>60.62</v>
      </c>
      <c r="CA106" s="154">
        <v>6.28</v>
      </c>
      <c r="CB106" s="154"/>
      <c r="CC106" s="154" t="s">
        <v>85</v>
      </c>
      <c r="CD106" s="154">
        <v>30.59</v>
      </c>
      <c r="CE106" s="154" t="s">
        <v>85</v>
      </c>
      <c r="CF106" s="154" t="s">
        <v>85</v>
      </c>
      <c r="CG106" s="154">
        <v>3</v>
      </c>
    </row>
    <row r="107" spans="1:85">
      <c r="A107" s="122">
        <v>25030</v>
      </c>
      <c r="B107" s="122" t="s">
        <v>488</v>
      </c>
      <c r="C107" s="122" t="s">
        <v>489</v>
      </c>
      <c r="D107" s="122" t="s">
        <v>490</v>
      </c>
      <c r="E107" s="122" t="s">
        <v>103</v>
      </c>
      <c r="F107" s="122">
        <v>11090</v>
      </c>
      <c r="G107" s="163" t="s">
        <v>491</v>
      </c>
      <c r="H107" s="122">
        <v>13</v>
      </c>
      <c r="I107" s="128" t="s">
        <v>295</v>
      </c>
      <c r="J107" s="118">
        <v>34</v>
      </c>
      <c r="K107" s="118">
        <v>89.3</v>
      </c>
      <c r="L107" s="118">
        <v>2.82</v>
      </c>
      <c r="M107" s="118">
        <v>0.37</v>
      </c>
      <c r="N107" s="118">
        <v>6.64</v>
      </c>
      <c r="O107" s="118">
        <v>2.6</v>
      </c>
      <c r="P107" s="118">
        <v>7.0999999999999994E-2</v>
      </c>
      <c r="Q107" s="118">
        <v>0.11700000000000001</v>
      </c>
      <c r="R107" s="118">
        <v>0.63900000000000001</v>
      </c>
      <c r="S107" s="118">
        <v>0.57299999999999995</v>
      </c>
      <c r="T107" s="118">
        <v>0.17499999999999999</v>
      </c>
      <c r="U107" s="118">
        <v>63</v>
      </c>
      <c r="V107" s="118">
        <v>0</v>
      </c>
      <c r="W107" s="118">
        <v>89.2</v>
      </c>
      <c r="X107" s="118">
        <v>0</v>
      </c>
      <c r="Y107" s="118">
        <v>0.78</v>
      </c>
      <c r="Z107" s="118">
        <v>102</v>
      </c>
      <c r="AA107" s="118">
        <v>0</v>
      </c>
      <c r="AB107" s="118">
        <v>31</v>
      </c>
      <c r="AC107" s="118">
        <v>25</v>
      </c>
      <c r="AD107" s="118">
        <v>361</v>
      </c>
      <c r="AE107" s="118"/>
      <c r="AF107" s="118">
        <v>0</v>
      </c>
      <c r="AG107" s="118">
        <v>1</v>
      </c>
      <c r="AH107" s="118"/>
      <c r="AI107" s="118">
        <v>47</v>
      </c>
      <c r="AJ107" s="118">
        <v>4.9000000000000002E-2</v>
      </c>
      <c r="AK107" s="118">
        <v>0.73</v>
      </c>
      <c r="AL107" s="118">
        <v>21</v>
      </c>
      <c r="AM107" s="118">
        <v>0.21</v>
      </c>
      <c r="AN107" s="118">
        <v>66</v>
      </c>
      <c r="AO107" s="118">
        <v>316</v>
      </c>
      <c r="AP107" s="118">
        <v>2.5</v>
      </c>
      <c r="AQ107" s="118">
        <v>0.41</v>
      </c>
      <c r="AR107" s="118">
        <v>0.114</v>
      </c>
      <c r="AS107" s="118">
        <v>3.1E-2</v>
      </c>
      <c r="AT107" s="118">
        <v>0.112</v>
      </c>
      <c r="AU107" s="118">
        <v>0</v>
      </c>
      <c r="AV107" s="118">
        <v>5.8999999999999997E-2</v>
      </c>
      <c r="AW107" s="118">
        <v>7.9000000000000001E-2</v>
      </c>
      <c r="AX107" s="118">
        <v>0.129</v>
      </c>
      <c r="AY107" s="118">
        <v>0.13500000000000001</v>
      </c>
      <c r="AZ107" s="118">
        <v>3.7999999999999999E-2</v>
      </c>
      <c r="BA107" s="118">
        <v>2.8000000000000001E-2</v>
      </c>
      <c r="BB107" s="118">
        <v>0.11700000000000001</v>
      </c>
      <c r="BC107" s="118">
        <v>8.7999999999999995E-2</v>
      </c>
      <c r="BD107" s="118">
        <v>3.3000000000000002E-2</v>
      </c>
      <c r="BE107" s="118">
        <v>0.125</v>
      </c>
      <c r="BF107" s="118">
        <v>0.104</v>
      </c>
      <c r="BG107" s="118">
        <v>0.191</v>
      </c>
      <c r="BH107" s="118">
        <v>0.32500000000000001</v>
      </c>
      <c r="BI107" s="118">
        <v>0.54200000000000004</v>
      </c>
      <c r="BJ107" s="118">
        <v>8.8999999999999996E-2</v>
      </c>
      <c r="BK107" s="118">
        <v>0.11</v>
      </c>
      <c r="BL107" s="118">
        <v>0.121</v>
      </c>
      <c r="BM107" s="118">
        <v>0.05</v>
      </c>
      <c r="BN107" s="118"/>
      <c r="BO107" s="118"/>
      <c r="BP107" s="118"/>
      <c r="BQ107" s="118">
        <v>18.7</v>
      </c>
      <c r="BR107" s="205"/>
      <c r="BS107" s="205"/>
      <c r="BT107" s="205"/>
      <c r="BU107" s="205"/>
      <c r="BV107" s="205"/>
      <c r="BW107" s="205"/>
      <c r="BX107" s="205"/>
      <c r="BY107" s="205"/>
      <c r="BZ107" s="205"/>
      <c r="CA107" s="205"/>
      <c r="CB107" s="205"/>
      <c r="CC107" s="205"/>
      <c r="CD107" s="205"/>
      <c r="CE107" s="205"/>
      <c r="CF107" s="205"/>
      <c r="CG107" s="154">
        <v>2</v>
      </c>
    </row>
    <row r="108" spans="1:85">
      <c r="A108" s="122">
        <v>25031</v>
      </c>
      <c r="B108" s="122" t="s">
        <v>496</v>
      </c>
      <c r="C108" s="122" t="s">
        <v>497</v>
      </c>
      <c r="D108" s="122" t="s">
        <v>498</v>
      </c>
      <c r="E108" s="122" t="s">
        <v>76</v>
      </c>
      <c r="F108" s="122" t="s">
        <v>1259</v>
      </c>
      <c r="G108" s="163" t="s">
        <v>1260</v>
      </c>
      <c r="H108" s="122">
        <v>13</v>
      </c>
      <c r="I108" s="128" t="s">
        <v>295</v>
      </c>
      <c r="J108" s="118">
        <v>327</v>
      </c>
      <c r="K108" s="118">
        <v>11.71</v>
      </c>
      <c r="L108" s="118">
        <v>22.12</v>
      </c>
      <c r="M108" s="118">
        <v>2.1</v>
      </c>
      <c r="N108" s="118">
        <v>48.3</v>
      </c>
      <c r="O108" s="118">
        <v>13</v>
      </c>
      <c r="P108" s="118">
        <v>0.47</v>
      </c>
      <c r="Q108" s="118">
        <v>0.13</v>
      </c>
      <c r="R108" s="118">
        <v>2.5</v>
      </c>
      <c r="S108" s="118">
        <v>1.26</v>
      </c>
      <c r="T108" s="118">
        <v>0.08</v>
      </c>
      <c r="U108" s="118">
        <v>33</v>
      </c>
      <c r="V108" s="118">
        <v>0</v>
      </c>
      <c r="W108" s="118"/>
      <c r="X108" s="118">
        <v>0</v>
      </c>
      <c r="Y108" s="118">
        <v>1.04</v>
      </c>
      <c r="Z108" s="118">
        <v>24.8</v>
      </c>
      <c r="AA108" s="118">
        <v>0</v>
      </c>
      <c r="AB108" s="118">
        <v>3.21</v>
      </c>
      <c r="AC108" s="118">
        <v>13.13</v>
      </c>
      <c r="AD108" s="118">
        <v>32</v>
      </c>
      <c r="AE108" s="118"/>
      <c r="AF108" s="118"/>
      <c r="AG108" s="118"/>
      <c r="AH108" s="118"/>
      <c r="AI108" s="118">
        <v>75</v>
      </c>
      <c r="AJ108" s="118">
        <v>1.29</v>
      </c>
      <c r="AK108" s="118">
        <v>4.8</v>
      </c>
      <c r="AL108" s="118">
        <v>101.94</v>
      </c>
      <c r="AM108" s="118">
        <v>0.41</v>
      </c>
      <c r="AN108" s="118">
        <v>298</v>
      </c>
      <c r="AO108" s="118">
        <v>709</v>
      </c>
      <c r="AP108" s="118">
        <v>1.8</v>
      </c>
      <c r="AQ108" s="118">
        <v>3.49</v>
      </c>
      <c r="AR108" s="118">
        <v>0.24</v>
      </c>
      <c r="AS108" s="118">
        <v>0.4</v>
      </c>
      <c r="AT108" s="118">
        <v>0.87</v>
      </c>
      <c r="AU108" s="118"/>
      <c r="AV108" s="124">
        <v>0.49</v>
      </c>
      <c r="AW108" s="124">
        <v>0.92</v>
      </c>
      <c r="AX108" s="124">
        <v>1.4</v>
      </c>
      <c r="AY108" s="124">
        <v>1.5</v>
      </c>
      <c r="AZ108" s="124">
        <v>0.17</v>
      </c>
      <c r="BA108" s="124">
        <v>0.15</v>
      </c>
      <c r="BB108" s="124">
        <v>0.92</v>
      </c>
      <c r="BC108" s="124">
        <v>0.74</v>
      </c>
      <c r="BD108" s="124">
        <v>0.18</v>
      </c>
      <c r="BE108" s="124">
        <v>1.2</v>
      </c>
      <c r="BF108" s="124">
        <v>0.92</v>
      </c>
      <c r="BG108" s="124">
        <v>2</v>
      </c>
      <c r="BH108" s="124">
        <v>2.5</v>
      </c>
      <c r="BI108" s="124">
        <v>3.3</v>
      </c>
      <c r="BJ108" s="124">
        <v>0.85</v>
      </c>
      <c r="BK108" s="124">
        <v>0.88</v>
      </c>
      <c r="BL108" s="124">
        <v>1.1000000000000001</v>
      </c>
      <c r="BM108" s="124">
        <v>0.53</v>
      </c>
      <c r="BN108" s="118"/>
      <c r="BO108" s="118">
        <v>377</v>
      </c>
      <c r="BP108" s="118"/>
      <c r="BQ108" s="154">
        <v>28.4</v>
      </c>
      <c r="BR108" s="205"/>
      <c r="BS108" s="205"/>
      <c r="BT108" s="205"/>
      <c r="BU108" s="205"/>
      <c r="BV108" s="205"/>
      <c r="BW108" s="205"/>
      <c r="BX108" s="205"/>
      <c r="BY108" s="205"/>
      <c r="BZ108" s="205"/>
      <c r="CA108" s="205"/>
      <c r="CB108" s="205"/>
      <c r="CC108" s="205"/>
      <c r="CD108" s="205"/>
      <c r="CE108" s="205"/>
      <c r="CF108" s="205"/>
      <c r="CG108" s="154">
        <v>2</v>
      </c>
    </row>
    <row r="109" spans="1:85">
      <c r="A109" s="122">
        <v>90815</v>
      </c>
      <c r="B109" s="122" t="s">
        <v>500</v>
      </c>
      <c r="C109" s="122" t="s">
        <v>501</v>
      </c>
      <c r="D109" s="122" t="s">
        <v>502</v>
      </c>
      <c r="E109" s="122" t="s">
        <v>76</v>
      </c>
      <c r="F109" s="122" t="s">
        <v>1261</v>
      </c>
      <c r="G109" s="163" t="s">
        <v>1262</v>
      </c>
      <c r="H109" s="122">
        <v>4</v>
      </c>
      <c r="I109" s="122" t="s">
        <v>202</v>
      </c>
      <c r="J109" s="118">
        <v>563</v>
      </c>
      <c r="K109" s="118">
        <v>5.3</v>
      </c>
      <c r="L109" s="118">
        <v>17.73</v>
      </c>
      <c r="M109" s="118">
        <v>45.75</v>
      </c>
      <c r="N109" s="118">
        <v>14.3</v>
      </c>
      <c r="O109" s="118">
        <v>11.72</v>
      </c>
      <c r="P109" s="118">
        <v>0.79</v>
      </c>
      <c r="Q109" s="118">
        <v>0.34</v>
      </c>
      <c r="R109" s="118">
        <v>4.45</v>
      </c>
      <c r="S109" s="118">
        <v>0.49</v>
      </c>
      <c r="T109" s="118">
        <v>0.78</v>
      </c>
      <c r="U109" s="118">
        <v>97</v>
      </c>
      <c r="V109" s="118">
        <v>0</v>
      </c>
      <c r="W109" s="118">
        <v>0</v>
      </c>
      <c r="X109" s="118">
        <v>69.03</v>
      </c>
      <c r="Y109" s="118">
        <v>2</v>
      </c>
      <c r="Z109" s="118">
        <v>110</v>
      </c>
      <c r="AA109" s="118">
        <v>0</v>
      </c>
      <c r="AB109" s="118">
        <v>0</v>
      </c>
      <c r="AC109" s="118">
        <v>0</v>
      </c>
      <c r="AD109" s="118">
        <v>4.6100000000000003</v>
      </c>
      <c r="AE109" s="118">
        <v>19.87</v>
      </c>
      <c r="AF109" s="118"/>
      <c r="AG109" s="118"/>
      <c r="AH109" s="118">
        <v>2.3199999999999998</v>
      </c>
      <c r="AI109" s="118">
        <v>969</v>
      </c>
      <c r="AJ109" s="118">
        <v>4.0599999999999996</v>
      </c>
      <c r="AK109" s="118">
        <v>10.5</v>
      </c>
      <c r="AL109" s="118">
        <v>348.75</v>
      </c>
      <c r="AM109" s="118">
        <v>2.5299999999999998</v>
      </c>
      <c r="AN109" s="118">
        <v>624.97</v>
      </c>
      <c r="AO109" s="118">
        <v>465</v>
      </c>
      <c r="AP109" s="118">
        <v>15.7</v>
      </c>
      <c r="AQ109" s="118">
        <v>7.7</v>
      </c>
      <c r="AR109" s="118">
        <v>6.17</v>
      </c>
      <c r="AS109" s="118">
        <v>17.21</v>
      </c>
      <c r="AT109" s="118">
        <v>20.07</v>
      </c>
      <c r="AU109" s="118">
        <v>0</v>
      </c>
      <c r="AV109" s="124">
        <v>0.49298000000000003</v>
      </c>
      <c r="AW109" s="124">
        <v>1.16093</v>
      </c>
      <c r="AX109" s="124">
        <v>1.2143900000000001</v>
      </c>
      <c r="AY109" s="124">
        <v>0.54088999999999998</v>
      </c>
      <c r="AZ109" s="124">
        <v>0.57629999999999992</v>
      </c>
      <c r="BA109" s="124">
        <v>0.25413000000000002</v>
      </c>
      <c r="BB109" s="124">
        <v>0.89915999999999996</v>
      </c>
      <c r="BC109" s="124">
        <v>0.74919000000000002</v>
      </c>
      <c r="BD109" s="124">
        <v>0.38327</v>
      </c>
      <c r="BE109" s="124">
        <v>0.73112999999999995</v>
      </c>
      <c r="BF109" s="124">
        <v>1.19495</v>
      </c>
      <c r="BG109" s="124">
        <v>2.3260200000000002</v>
      </c>
      <c r="BH109" s="124">
        <v>1.82887</v>
      </c>
      <c r="BI109" s="124">
        <v>4.2284899999999999</v>
      </c>
      <c r="BJ109" s="124">
        <v>1.2192499999999999</v>
      </c>
      <c r="BK109" s="124">
        <v>0.76376999999999995</v>
      </c>
      <c r="BL109" s="124">
        <v>1.1484300000000001</v>
      </c>
      <c r="BM109" s="124">
        <v>0.68600000000000005</v>
      </c>
      <c r="BN109" s="118">
        <v>153</v>
      </c>
      <c r="BO109" s="118">
        <v>897.67</v>
      </c>
      <c r="BP109" s="118"/>
      <c r="BQ109" s="154">
        <v>25.6</v>
      </c>
      <c r="BR109" s="154" t="s">
        <v>85</v>
      </c>
      <c r="BS109" s="154" t="s">
        <v>85</v>
      </c>
      <c r="BT109" s="154" t="s">
        <v>85</v>
      </c>
      <c r="BU109" s="154">
        <v>3735</v>
      </c>
      <c r="BV109" s="154" t="s">
        <v>85</v>
      </c>
      <c r="BW109" s="154">
        <v>15475</v>
      </c>
      <c r="BX109" s="154">
        <v>67.66</v>
      </c>
      <c r="BY109" s="154" t="s">
        <v>85</v>
      </c>
      <c r="BZ109" s="154">
        <v>19123</v>
      </c>
      <c r="CA109" s="154">
        <v>136</v>
      </c>
      <c r="CB109" s="154"/>
      <c r="CC109" s="154" t="s">
        <v>85</v>
      </c>
      <c r="CD109" s="154">
        <v>389.3</v>
      </c>
      <c r="CE109" s="154" t="s">
        <v>85</v>
      </c>
      <c r="CF109" s="154" t="s">
        <v>85</v>
      </c>
      <c r="CG109" s="205"/>
    </row>
    <row r="110" spans="1:85">
      <c r="A110" s="122">
        <v>90816</v>
      </c>
      <c r="B110" s="122" t="s">
        <v>504</v>
      </c>
      <c r="C110" s="122" t="s">
        <v>505</v>
      </c>
      <c r="D110" s="122" t="s">
        <v>506</v>
      </c>
      <c r="E110" s="122" t="s">
        <v>76</v>
      </c>
      <c r="F110" s="122" t="s">
        <v>1263</v>
      </c>
      <c r="G110" s="163" t="s">
        <v>1264</v>
      </c>
      <c r="H110" s="122">
        <v>4</v>
      </c>
      <c r="I110" s="122" t="s">
        <v>202</v>
      </c>
      <c r="J110" s="118">
        <v>500</v>
      </c>
      <c r="K110" s="118">
        <v>6.5</v>
      </c>
      <c r="L110" s="118">
        <v>17.21</v>
      </c>
      <c r="M110" s="118">
        <v>39.119999999999997</v>
      </c>
      <c r="N110" s="118">
        <v>6.15</v>
      </c>
      <c r="O110" s="118">
        <v>27.3</v>
      </c>
      <c r="P110" s="118">
        <v>1.64</v>
      </c>
      <c r="Q110" s="118">
        <v>0.16</v>
      </c>
      <c r="R110" s="118">
        <v>3.08</v>
      </c>
      <c r="S110" s="118">
        <v>0.37</v>
      </c>
      <c r="T110" s="118">
        <v>0.47</v>
      </c>
      <c r="U110" s="118">
        <v>87</v>
      </c>
      <c r="V110" s="118">
        <v>0</v>
      </c>
      <c r="W110" s="118">
        <v>0</v>
      </c>
      <c r="X110" s="118">
        <v>0.55000000000000004</v>
      </c>
      <c r="Y110" s="118">
        <v>10.35</v>
      </c>
      <c r="Z110" s="118">
        <v>19.170000000000002</v>
      </c>
      <c r="AA110" s="118">
        <v>0</v>
      </c>
      <c r="AB110" s="118">
        <v>0</v>
      </c>
      <c r="AC110" s="118">
        <v>0</v>
      </c>
      <c r="AD110" s="118">
        <v>1.05</v>
      </c>
      <c r="AE110" s="118">
        <v>5.67</v>
      </c>
      <c r="AF110" s="118"/>
      <c r="AG110" s="118"/>
      <c r="AH110" s="118">
        <v>7.22</v>
      </c>
      <c r="AI110" s="118">
        <v>255</v>
      </c>
      <c r="AJ110" s="118">
        <v>1.22</v>
      </c>
      <c r="AK110" s="118">
        <v>5.73</v>
      </c>
      <c r="AL110" s="118">
        <v>392</v>
      </c>
      <c r="AM110" s="118">
        <v>2.14</v>
      </c>
      <c r="AN110" s="118">
        <v>642</v>
      </c>
      <c r="AO110" s="118">
        <v>813</v>
      </c>
      <c r="AP110" s="118">
        <v>46.87</v>
      </c>
      <c r="AQ110" s="118">
        <v>4.34</v>
      </c>
      <c r="AR110" s="118">
        <v>3.41</v>
      </c>
      <c r="AS110" s="118">
        <v>6.94</v>
      </c>
      <c r="AT110" s="118">
        <v>26.5</v>
      </c>
      <c r="AU110" s="118">
        <v>0</v>
      </c>
      <c r="AV110" s="124">
        <v>0.44400000000000001</v>
      </c>
      <c r="AW110" s="124">
        <v>0.84299999999999997</v>
      </c>
      <c r="AX110" s="124">
        <v>1.1619999999999999</v>
      </c>
      <c r="AY110" s="124">
        <v>0.81100000000000005</v>
      </c>
      <c r="AZ110" s="124">
        <v>0.34799999999999998</v>
      </c>
      <c r="BA110" s="124">
        <v>0.32</v>
      </c>
      <c r="BB110" s="124">
        <v>0.90100000000000002</v>
      </c>
      <c r="BC110" s="124">
        <v>0.72099999999999997</v>
      </c>
      <c r="BD110" s="124">
        <v>0.28000000000000003</v>
      </c>
      <c r="BE110" s="124">
        <v>1.0089999999999999</v>
      </c>
      <c r="BF110" s="124">
        <v>0.871</v>
      </c>
      <c r="BG110" s="124">
        <v>1.8120000000000001</v>
      </c>
      <c r="BH110" s="124">
        <v>1.9259999999999999</v>
      </c>
      <c r="BI110" s="124">
        <v>3.8010000000000002</v>
      </c>
      <c r="BJ110" s="124">
        <v>1.175</v>
      </c>
      <c r="BK110" s="124">
        <v>0.75900000000000001</v>
      </c>
      <c r="BL110" s="124">
        <v>0.91300000000000003</v>
      </c>
      <c r="BM110" s="124">
        <v>0.46400000000000002</v>
      </c>
      <c r="BN110" s="118">
        <v>31.6</v>
      </c>
      <c r="BO110" s="118">
        <v>1859</v>
      </c>
      <c r="BP110" s="118"/>
      <c r="BQ110" s="118"/>
      <c r="BR110" s="154" t="s">
        <v>85</v>
      </c>
      <c r="BS110" s="154" t="s">
        <v>85</v>
      </c>
      <c r="BT110" s="154" t="s">
        <v>85</v>
      </c>
      <c r="BU110" s="154">
        <v>1503</v>
      </c>
      <c r="BV110" s="154">
        <v>25.61</v>
      </c>
      <c r="BW110" s="154">
        <v>5049</v>
      </c>
      <c r="BX110" s="154">
        <v>36.6</v>
      </c>
      <c r="BY110" s="154" t="s">
        <v>85</v>
      </c>
      <c r="BZ110" s="154">
        <v>3191</v>
      </c>
      <c r="CA110" s="154">
        <v>12956</v>
      </c>
      <c r="CB110" s="154"/>
      <c r="CC110" s="154" t="s">
        <v>85</v>
      </c>
      <c r="CD110" s="154">
        <v>4251</v>
      </c>
      <c r="CE110" s="154" t="s">
        <v>85</v>
      </c>
      <c r="CF110" s="154" t="s">
        <v>85</v>
      </c>
      <c r="CG110" s="205"/>
    </row>
    <row r="111" spans="1:85">
      <c r="A111" s="122">
        <v>25032</v>
      </c>
      <c r="B111" s="122" t="s">
        <v>508</v>
      </c>
      <c r="C111" s="122" t="s">
        <v>509</v>
      </c>
      <c r="D111" s="122"/>
      <c r="E111" s="122" t="s">
        <v>76</v>
      </c>
      <c r="F111" s="122" t="s">
        <v>1205</v>
      </c>
      <c r="G111" s="163" t="s">
        <v>1206</v>
      </c>
      <c r="H111" s="122">
        <v>13</v>
      </c>
      <c r="I111" s="128" t="s">
        <v>295</v>
      </c>
      <c r="J111" s="118">
        <v>16</v>
      </c>
      <c r="K111" s="118">
        <v>94.3</v>
      </c>
      <c r="L111" s="118">
        <v>0.9</v>
      </c>
      <c r="M111" s="118">
        <v>0.2</v>
      </c>
      <c r="N111" s="118">
        <v>1.6</v>
      </c>
      <c r="O111" s="118">
        <v>2.2000000000000002</v>
      </c>
      <c r="P111" s="118">
        <v>0.02</v>
      </c>
      <c r="Q111" s="118">
        <v>0.03</v>
      </c>
      <c r="R111" s="118">
        <v>0.22</v>
      </c>
      <c r="S111" s="118">
        <v>0.5</v>
      </c>
      <c r="T111" s="118">
        <v>7.0000000000000007E-2</v>
      </c>
      <c r="U111" s="118">
        <v>25.32</v>
      </c>
      <c r="V111" s="118">
        <v>0</v>
      </c>
      <c r="W111" s="118">
        <v>5.8</v>
      </c>
      <c r="X111" s="118">
        <v>0.14000000000000001</v>
      </c>
      <c r="Y111" s="118">
        <v>0.09</v>
      </c>
      <c r="Z111" s="118">
        <v>33.68</v>
      </c>
      <c r="AA111" s="118"/>
      <c r="AB111" s="118">
        <v>4</v>
      </c>
      <c r="AC111" s="118"/>
      <c r="AD111" s="118">
        <v>2.2999999999999998</v>
      </c>
      <c r="AE111" s="118">
        <v>99.6</v>
      </c>
      <c r="AF111" s="118"/>
      <c r="AG111" s="118"/>
      <c r="AH111" s="118">
        <v>1.96</v>
      </c>
      <c r="AI111" s="118">
        <v>40</v>
      </c>
      <c r="AJ111" s="118">
        <v>0.08</v>
      </c>
      <c r="AK111" s="118">
        <v>0.6</v>
      </c>
      <c r="AL111" s="118">
        <v>20</v>
      </c>
      <c r="AM111" s="118">
        <v>0.37</v>
      </c>
      <c r="AN111" s="118">
        <v>31</v>
      </c>
      <c r="AO111" s="118">
        <v>414</v>
      </c>
      <c r="AP111" s="118">
        <v>1.48</v>
      </c>
      <c r="AQ111" s="118">
        <v>0.2</v>
      </c>
      <c r="AR111" s="118">
        <v>7.0000000000000007E-2</v>
      </c>
      <c r="AS111" s="118">
        <v>0.01</v>
      </c>
      <c r="AT111" s="118">
        <v>0.11</v>
      </c>
      <c r="AU111" s="118"/>
      <c r="AV111" s="124">
        <v>2.1569999999999999E-2</v>
      </c>
      <c r="AW111" s="124">
        <v>3.8770000000000006E-2</v>
      </c>
      <c r="AX111" s="124">
        <v>6.5519999999999995E-2</v>
      </c>
      <c r="AY111" s="124">
        <v>3.0300000000000001E-2</v>
      </c>
      <c r="AZ111" s="124">
        <v>1.0919999999999999E-2</v>
      </c>
      <c r="BA111" s="124">
        <v>7.28E-3</v>
      </c>
      <c r="BB111" s="124">
        <v>3.7670000000000002E-2</v>
      </c>
      <c r="BC111" s="124">
        <v>3.8399999999999997E-2</v>
      </c>
      <c r="BD111" s="124">
        <v>6.6400000000000001E-3</v>
      </c>
      <c r="BE111" s="124">
        <v>5.4240000000000003E-2</v>
      </c>
      <c r="BF111" s="124">
        <v>6.7069999999999991E-2</v>
      </c>
      <c r="BG111" s="124">
        <v>4.2770000000000002E-2</v>
      </c>
      <c r="BH111" s="124">
        <v>0.10773999999999999</v>
      </c>
      <c r="BI111" s="124">
        <v>0.10773999999999999</v>
      </c>
      <c r="BJ111" s="124">
        <v>6.0880000000000004E-2</v>
      </c>
      <c r="BK111" s="124">
        <v>3.7670000000000002E-2</v>
      </c>
      <c r="BL111" s="124">
        <v>4.4950000000000004E-2</v>
      </c>
      <c r="BM111" s="124">
        <v>2.8030000000000003E-2</v>
      </c>
      <c r="BN111" s="118">
        <v>11.66</v>
      </c>
      <c r="BO111" s="118">
        <v>26.49</v>
      </c>
      <c r="BP111" s="118"/>
      <c r="BQ111" s="118"/>
      <c r="BR111" s="154" t="s">
        <v>85</v>
      </c>
      <c r="BS111" s="154" t="s">
        <v>85</v>
      </c>
      <c r="BT111" s="154" t="s">
        <v>85</v>
      </c>
      <c r="BU111" s="154">
        <v>53.81</v>
      </c>
      <c r="BV111" s="154" t="s">
        <v>85</v>
      </c>
      <c r="BW111" s="154">
        <v>6.37</v>
      </c>
      <c r="BX111" s="154" t="s">
        <v>85</v>
      </c>
      <c r="BY111" s="154" t="s">
        <v>85</v>
      </c>
      <c r="BZ111" s="154">
        <v>82.53</v>
      </c>
      <c r="CA111" s="154">
        <v>27.75</v>
      </c>
      <c r="CB111" s="154"/>
      <c r="CC111" s="154" t="s">
        <v>85</v>
      </c>
      <c r="CD111" s="154">
        <v>31.08</v>
      </c>
      <c r="CE111" s="154" t="s">
        <v>85</v>
      </c>
      <c r="CF111" s="154" t="s">
        <v>85</v>
      </c>
      <c r="CG111" s="205"/>
    </row>
    <row r="112" spans="1:85">
      <c r="A112" s="122">
        <v>43001</v>
      </c>
      <c r="B112" s="122" t="s">
        <v>510</v>
      </c>
      <c r="C112" s="122" t="s">
        <v>511</v>
      </c>
      <c r="D112" s="122" t="s">
        <v>512</v>
      </c>
      <c r="E112" s="122" t="s">
        <v>76</v>
      </c>
      <c r="F112" s="122" t="s">
        <v>1265</v>
      </c>
      <c r="G112" s="163" t="s">
        <v>1266</v>
      </c>
      <c r="H112" s="122">
        <v>8</v>
      </c>
      <c r="I112" s="122" t="s">
        <v>514</v>
      </c>
      <c r="J112" s="118">
        <v>90</v>
      </c>
      <c r="K112" s="118">
        <v>76.7</v>
      </c>
      <c r="L112" s="118">
        <v>16.600000000000001</v>
      </c>
      <c r="M112" s="118">
        <v>2.67</v>
      </c>
      <c r="N112" s="118">
        <v>0</v>
      </c>
      <c r="O112" s="118">
        <v>0</v>
      </c>
      <c r="P112" s="118">
        <v>0.05</v>
      </c>
      <c r="Q112" s="118">
        <v>7.0000000000000007E-2</v>
      </c>
      <c r="R112" s="118">
        <v>0.7</v>
      </c>
      <c r="S112" s="118">
        <v>1.18</v>
      </c>
      <c r="T112" s="118">
        <v>0.11</v>
      </c>
      <c r="U112" s="118"/>
      <c r="V112" s="118">
        <v>5</v>
      </c>
      <c r="W112" s="118"/>
      <c r="X112" s="118">
        <v>0.84</v>
      </c>
      <c r="Y112" s="118"/>
      <c r="Z112" s="118"/>
      <c r="AA112" s="118"/>
      <c r="AB112" s="118"/>
      <c r="AC112" s="118"/>
      <c r="AD112" s="118"/>
      <c r="AE112" s="118"/>
      <c r="AF112" s="118"/>
      <c r="AG112" s="118"/>
      <c r="AH112" s="118"/>
      <c r="AI112" s="118">
        <v>650</v>
      </c>
      <c r="AJ112" s="118">
        <v>0.35</v>
      </c>
      <c r="AK112" s="118">
        <v>1</v>
      </c>
      <c r="AL112" s="118">
        <v>12</v>
      </c>
      <c r="AM112" s="118">
        <v>0.04</v>
      </c>
      <c r="AN112" s="118">
        <v>175</v>
      </c>
      <c r="AO112" s="118">
        <v>288</v>
      </c>
      <c r="AP112" s="118">
        <v>51.5</v>
      </c>
      <c r="AQ112" s="118">
        <v>1.1299999999999999</v>
      </c>
      <c r="AR112" s="118">
        <v>0.21</v>
      </c>
      <c r="AS112" s="118">
        <v>0.14000000000000001</v>
      </c>
      <c r="AT112" s="118">
        <v>0.26</v>
      </c>
      <c r="AU112" s="118">
        <v>52.91</v>
      </c>
      <c r="AV112" s="124">
        <v>0.94016999999999995</v>
      </c>
      <c r="AW112" s="124">
        <v>0.80613999999999997</v>
      </c>
      <c r="AX112" s="124">
        <v>1.2358199999999999</v>
      </c>
      <c r="AY112" s="124">
        <v>1.5827100000000001</v>
      </c>
      <c r="AZ112" s="124">
        <v>1.09785</v>
      </c>
      <c r="BA112" s="124">
        <v>2.9821200000000001</v>
      </c>
      <c r="BB112" s="124">
        <v>1.0367500000000001</v>
      </c>
      <c r="BC112" s="124">
        <v>0.57159000000000004</v>
      </c>
      <c r="BD112" s="124">
        <v>0.20498</v>
      </c>
      <c r="BE112" s="124">
        <v>1.0623699999999998</v>
      </c>
      <c r="BF112" s="124">
        <v>0.4829</v>
      </c>
      <c r="BG112" s="124">
        <v>0.72533000000000003</v>
      </c>
      <c r="BH112" s="124">
        <v>0.2858</v>
      </c>
      <c r="BI112" s="124">
        <v>1.4171500000000001</v>
      </c>
      <c r="BJ112" s="124">
        <v>1.8921600000000001</v>
      </c>
      <c r="BK112" s="124">
        <v>1.2634100000000001</v>
      </c>
      <c r="BL112" s="124">
        <v>0.9125700000000001</v>
      </c>
      <c r="BM112" s="124">
        <v>0.67013999999999996</v>
      </c>
      <c r="BN112" s="118"/>
      <c r="BO112" s="118"/>
      <c r="BP112" s="118"/>
      <c r="BQ112" s="118">
        <v>82.5</v>
      </c>
      <c r="BR112" s="154" t="s">
        <v>85</v>
      </c>
      <c r="BS112" s="154" t="s">
        <v>85</v>
      </c>
      <c r="BT112" s="154"/>
      <c r="BU112" s="154" t="s">
        <v>85</v>
      </c>
      <c r="BV112" s="154" t="s">
        <v>85</v>
      </c>
      <c r="BW112" s="154" t="s">
        <v>85</v>
      </c>
      <c r="BX112" s="154">
        <v>123</v>
      </c>
      <c r="BY112" s="154" t="s">
        <v>85</v>
      </c>
      <c r="BZ112" s="154" t="s">
        <v>85</v>
      </c>
      <c r="CA112" s="154" t="s">
        <v>85</v>
      </c>
      <c r="CB112" s="154" t="s">
        <v>85</v>
      </c>
      <c r="CC112" s="154">
        <v>44.91</v>
      </c>
      <c r="CD112" s="154">
        <v>2234</v>
      </c>
      <c r="CE112" s="154">
        <v>53.52</v>
      </c>
      <c r="CF112" s="154">
        <v>46.72</v>
      </c>
      <c r="CG112" s="205"/>
    </row>
    <row r="113" spans="1:85">
      <c r="A113" s="122">
        <v>43002</v>
      </c>
      <c r="B113" s="122" t="s">
        <v>515</v>
      </c>
      <c r="C113" s="122" t="s">
        <v>516</v>
      </c>
      <c r="D113" s="122" t="s">
        <v>517</v>
      </c>
      <c r="E113" s="122" t="s">
        <v>103</v>
      </c>
      <c r="F113" s="122">
        <v>15114</v>
      </c>
      <c r="G113" s="163" t="s">
        <v>518</v>
      </c>
      <c r="H113" s="122">
        <v>8</v>
      </c>
      <c r="I113" s="122" t="s">
        <v>514</v>
      </c>
      <c r="J113" s="118">
        <v>148</v>
      </c>
      <c r="K113" s="118">
        <v>71.400000000000006</v>
      </c>
      <c r="L113" s="118">
        <v>20.8</v>
      </c>
      <c r="M113" s="118">
        <v>6.61</v>
      </c>
      <c r="N113" s="118">
        <v>0</v>
      </c>
      <c r="O113" s="118">
        <v>0</v>
      </c>
      <c r="P113" s="118">
        <v>0.35</v>
      </c>
      <c r="Q113" s="118">
        <v>0.33</v>
      </c>
      <c r="R113" s="118">
        <v>4.5</v>
      </c>
      <c r="S113" s="118">
        <v>1.94</v>
      </c>
      <c r="T113" s="118">
        <v>0.2</v>
      </c>
      <c r="U113" s="118">
        <v>13</v>
      </c>
      <c r="V113" s="118">
        <v>7.79</v>
      </c>
      <c r="W113" s="118">
        <v>0.5</v>
      </c>
      <c r="X113" s="118">
        <v>3.9</v>
      </c>
      <c r="Y113" s="118">
        <v>0.2</v>
      </c>
      <c r="Z113" s="118">
        <v>0.1</v>
      </c>
      <c r="AA113" s="118">
        <v>17</v>
      </c>
      <c r="AB113" s="118">
        <v>17</v>
      </c>
      <c r="AC113" s="118">
        <v>0</v>
      </c>
      <c r="AD113" s="118">
        <v>0</v>
      </c>
      <c r="AE113" s="118">
        <v>0</v>
      </c>
      <c r="AF113" s="118">
        <v>0</v>
      </c>
      <c r="AG113" s="118">
        <v>0</v>
      </c>
      <c r="AH113" s="118">
        <v>0</v>
      </c>
      <c r="AI113" s="118">
        <v>43</v>
      </c>
      <c r="AJ113" s="118">
        <v>0.188</v>
      </c>
      <c r="AK113" s="118">
        <v>1.5</v>
      </c>
      <c r="AL113" s="118">
        <v>22</v>
      </c>
      <c r="AM113" s="118">
        <v>0.85099999999999998</v>
      </c>
      <c r="AN113" s="118">
        <v>245</v>
      </c>
      <c r="AO113" s="118">
        <v>361</v>
      </c>
      <c r="AP113" s="118">
        <v>12.6</v>
      </c>
      <c r="AQ113" s="118">
        <v>0.66</v>
      </c>
      <c r="AR113" s="118">
        <v>1.1499999999999999</v>
      </c>
      <c r="AS113" s="118">
        <v>3.25</v>
      </c>
      <c r="AT113" s="118">
        <v>1.5</v>
      </c>
      <c r="AU113" s="118">
        <v>58</v>
      </c>
      <c r="AV113" s="118">
        <v>0.61099999999999999</v>
      </c>
      <c r="AW113" s="118">
        <v>0.95699999999999996</v>
      </c>
      <c r="AX113" s="118">
        <v>1.69</v>
      </c>
      <c r="AY113" s="118">
        <v>1.91</v>
      </c>
      <c r="AZ113" s="118">
        <v>0.61499999999999999</v>
      </c>
      <c r="BA113" s="118">
        <v>0.223</v>
      </c>
      <c r="BB113" s="118">
        <v>0.81100000000000005</v>
      </c>
      <c r="BC113" s="118">
        <v>0.91100000000000003</v>
      </c>
      <c r="BD113" s="118">
        <v>0.23300000000000001</v>
      </c>
      <c r="BE113" s="118">
        <v>1.07</v>
      </c>
      <c r="BF113" s="118">
        <v>1.26</v>
      </c>
      <c r="BG113" s="118">
        <v>1.24</v>
      </c>
      <c r="BH113" s="118">
        <v>2.13</v>
      </c>
      <c r="BI113" s="118">
        <v>3.1</v>
      </c>
      <c r="BJ113" s="118">
        <v>0.997</v>
      </c>
      <c r="BK113" s="118">
        <v>0.73399999999999999</v>
      </c>
      <c r="BL113" s="118">
        <v>0.84699999999999998</v>
      </c>
      <c r="BM113" s="118">
        <v>0.70099999999999996</v>
      </c>
      <c r="BN113" s="118"/>
      <c r="BO113" s="118"/>
      <c r="BP113" s="118"/>
      <c r="BQ113" s="118">
        <v>56.3</v>
      </c>
      <c r="BR113" s="205"/>
      <c r="BS113" s="205"/>
      <c r="BT113" s="205"/>
      <c r="BU113" s="205"/>
      <c r="BV113" s="205"/>
      <c r="BW113" s="205"/>
      <c r="BX113" s="205"/>
      <c r="BY113" s="205"/>
      <c r="BZ113" s="205"/>
      <c r="CA113" s="205"/>
      <c r="CB113" s="205"/>
      <c r="CC113" s="205"/>
      <c r="CD113" s="205"/>
      <c r="CE113" s="205"/>
      <c r="CF113" s="205"/>
      <c r="CG113" s="205"/>
    </row>
    <row r="114" spans="1:85">
      <c r="A114" s="122">
        <v>43003</v>
      </c>
      <c r="B114" s="122" t="s">
        <v>519</v>
      </c>
      <c r="C114" s="122" t="s">
        <v>520</v>
      </c>
      <c r="D114" s="122" t="s">
        <v>521</v>
      </c>
      <c r="E114" s="122" t="s">
        <v>76</v>
      </c>
      <c r="F114" s="122" t="s">
        <v>1267</v>
      </c>
      <c r="G114" s="163" t="s">
        <v>1268</v>
      </c>
      <c r="H114" s="122">
        <v>8</v>
      </c>
      <c r="I114" s="122" t="s">
        <v>514</v>
      </c>
      <c r="J114" s="118">
        <v>162</v>
      </c>
      <c r="K114" s="118">
        <v>70.84</v>
      </c>
      <c r="L114" s="118">
        <v>15.9</v>
      </c>
      <c r="M114" s="118">
        <v>10.96</v>
      </c>
      <c r="N114" s="118">
        <v>0</v>
      </c>
      <c r="O114" s="118">
        <v>0</v>
      </c>
      <c r="P114" s="118">
        <v>0.15</v>
      </c>
      <c r="Q114" s="118">
        <v>0.06</v>
      </c>
      <c r="R114" s="118">
        <v>0.6</v>
      </c>
      <c r="S114" s="118">
        <v>0.66</v>
      </c>
      <c r="T114" s="118">
        <v>0.11</v>
      </c>
      <c r="U114" s="118">
        <v>1323</v>
      </c>
      <c r="V114" s="118">
        <v>1</v>
      </c>
      <c r="W114" s="118"/>
      <c r="X114" s="118">
        <v>0.19</v>
      </c>
      <c r="Y114" s="118">
        <v>2.8</v>
      </c>
      <c r="Z114" s="118"/>
      <c r="AA114" s="118">
        <v>5.14</v>
      </c>
      <c r="AB114" s="118">
        <v>5.14</v>
      </c>
      <c r="AC114" s="118"/>
      <c r="AD114" s="118"/>
      <c r="AE114" s="118"/>
      <c r="AF114" s="118"/>
      <c r="AG114" s="118"/>
      <c r="AH114" s="118"/>
      <c r="AI114" s="118">
        <v>14.37</v>
      </c>
      <c r="AJ114" s="118">
        <v>7.0000000000000007E-2</v>
      </c>
      <c r="AK114" s="118">
        <v>0.15</v>
      </c>
      <c r="AL114" s="118">
        <v>28.93</v>
      </c>
      <c r="AM114" s="118">
        <v>0.01</v>
      </c>
      <c r="AN114" s="118">
        <v>130</v>
      </c>
      <c r="AO114" s="118">
        <v>169</v>
      </c>
      <c r="AP114" s="118">
        <v>42.33</v>
      </c>
      <c r="AQ114" s="118">
        <v>1.85</v>
      </c>
      <c r="AR114" s="118">
        <v>4.05</v>
      </c>
      <c r="AS114" s="118">
        <v>4.3499999999999996</v>
      </c>
      <c r="AT114" s="118">
        <v>1.69</v>
      </c>
      <c r="AU114" s="118">
        <v>66.89</v>
      </c>
      <c r="AV114" s="124">
        <v>0.32400000000000001</v>
      </c>
      <c r="AW114" s="124">
        <v>0.622</v>
      </c>
      <c r="AX114" s="124">
        <v>1.139</v>
      </c>
      <c r="AY114" s="124">
        <v>1.2509999999999999</v>
      </c>
      <c r="AZ114" s="124">
        <v>0.56299999999999994</v>
      </c>
      <c r="BA114" s="124">
        <v>0.14399999999999999</v>
      </c>
      <c r="BB114" s="124">
        <v>0.625</v>
      </c>
      <c r="BC114" s="124">
        <v>0.68300000000000005</v>
      </c>
      <c r="BD114" s="124">
        <v>0.23400000000000001</v>
      </c>
      <c r="BE114" s="124">
        <v>0.76200000000000001</v>
      </c>
      <c r="BF114" s="124">
        <v>1.6319999999999999</v>
      </c>
      <c r="BG114" s="124">
        <v>0.99</v>
      </c>
      <c r="BH114" s="124">
        <v>1.339</v>
      </c>
      <c r="BI114" s="124">
        <v>2.581</v>
      </c>
      <c r="BJ114" s="124">
        <v>1.137</v>
      </c>
      <c r="BK114" s="124">
        <v>0.751</v>
      </c>
      <c r="BL114" s="124">
        <v>0.629</v>
      </c>
      <c r="BM114" s="124">
        <v>0.46899999999999997</v>
      </c>
      <c r="BN114" s="118"/>
      <c r="BO114" s="118"/>
      <c r="BP114" s="118"/>
      <c r="BQ114" s="118">
        <v>56.3</v>
      </c>
      <c r="BR114" s="154" t="s">
        <v>85</v>
      </c>
      <c r="BS114" s="154" t="s">
        <v>85</v>
      </c>
      <c r="BT114" s="154">
        <v>39</v>
      </c>
      <c r="BU114" s="154">
        <v>485</v>
      </c>
      <c r="BV114" s="154">
        <v>86.44</v>
      </c>
      <c r="BW114" s="154">
        <v>327</v>
      </c>
      <c r="BX114" s="154">
        <v>16.84</v>
      </c>
      <c r="BY114" s="154" t="s">
        <v>85</v>
      </c>
      <c r="BZ114" s="154">
        <v>22.11</v>
      </c>
      <c r="CA114" s="154" t="s">
        <v>85</v>
      </c>
      <c r="CB114" s="154">
        <v>61.6</v>
      </c>
      <c r="CC114" s="154">
        <v>133</v>
      </c>
      <c r="CD114" s="154">
        <v>249</v>
      </c>
      <c r="CE114" s="154">
        <v>75.239999999999995</v>
      </c>
      <c r="CF114" s="154">
        <v>320</v>
      </c>
      <c r="CG114" s="205"/>
    </row>
    <row r="115" spans="1:85">
      <c r="A115" s="122">
        <v>42002</v>
      </c>
      <c r="B115" s="122" t="s">
        <v>523</v>
      </c>
      <c r="C115" s="122" t="s">
        <v>524</v>
      </c>
      <c r="D115" s="122" t="s">
        <v>525</v>
      </c>
      <c r="E115" s="122" t="s">
        <v>76</v>
      </c>
      <c r="F115" s="122" t="s">
        <v>1269</v>
      </c>
      <c r="G115" s="163" t="s">
        <v>1270</v>
      </c>
      <c r="H115" s="122">
        <v>8</v>
      </c>
      <c r="I115" s="122" t="s">
        <v>514</v>
      </c>
      <c r="J115" s="118">
        <v>223</v>
      </c>
      <c r="K115" s="118">
        <v>62.7</v>
      </c>
      <c r="L115" s="118">
        <v>17.96</v>
      </c>
      <c r="M115" s="118">
        <v>16.78</v>
      </c>
      <c r="N115" s="118">
        <v>0</v>
      </c>
      <c r="O115" s="118">
        <v>0</v>
      </c>
      <c r="P115" s="118">
        <v>0.12</v>
      </c>
      <c r="Q115" s="118">
        <v>0.14000000000000001</v>
      </c>
      <c r="R115" s="118">
        <v>2.2599999999999998</v>
      </c>
      <c r="S115" s="118">
        <v>2.33</v>
      </c>
      <c r="T115" s="118">
        <v>0.42</v>
      </c>
      <c r="U115" s="118">
        <v>2875</v>
      </c>
      <c r="V115" s="118">
        <v>2.2999999999999998</v>
      </c>
      <c r="W115" s="118"/>
      <c r="X115" s="118">
        <v>4.6399999999999997</v>
      </c>
      <c r="Y115" s="118">
        <v>1.35</v>
      </c>
      <c r="Z115" s="118"/>
      <c r="AA115" s="118">
        <v>7.42</v>
      </c>
      <c r="AB115" s="118"/>
      <c r="AC115" s="118"/>
      <c r="AD115" s="118"/>
      <c r="AE115" s="118"/>
      <c r="AF115" s="118"/>
      <c r="AG115" s="118"/>
      <c r="AH115" s="118"/>
      <c r="AI115" s="118">
        <v>85.96</v>
      </c>
      <c r="AJ115" s="118">
        <v>0.18</v>
      </c>
      <c r="AK115" s="118">
        <v>1.29</v>
      </c>
      <c r="AL115" s="118">
        <v>25.69</v>
      </c>
      <c r="AM115" s="118">
        <v>0.08</v>
      </c>
      <c r="AN115" s="118">
        <v>195.46</v>
      </c>
      <c r="AO115" s="118">
        <v>162</v>
      </c>
      <c r="AP115" s="118">
        <v>37.619999999999997</v>
      </c>
      <c r="AQ115" s="118">
        <v>0.54</v>
      </c>
      <c r="AR115" s="118">
        <v>11.98</v>
      </c>
      <c r="AS115" s="118">
        <v>9.84</v>
      </c>
      <c r="AT115" s="118">
        <v>2.48</v>
      </c>
      <c r="AU115" s="118">
        <v>123.32</v>
      </c>
      <c r="AV115" s="124">
        <v>0.69499999999999995</v>
      </c>
      <c r="AW115" s="124">
        <v>0.73</v>
      </c>
      <c r="AX115" s="124">
        <v>1.3540000000000001</v>
      </c>
      <c r="AY115" s="124">
        <v>1.621</v>
      </c>
      <c r="AZ115" s="124">
        <v>0.55200000000000005</v>
      </c>
      <c r="BA115" s="124" t="s">
        <v>1098</v>
      </c>
      <c r="BB115" s="124">
        <v>0.73</v>
      </c>
      <c r="BC115" s="124">
        <v>0.90900000000000003</v>
      </c>
      <c r="BD115" s="124" t="s">
        <v>1098</v>
      </c>
      <c r="BE115" s="124">
        <v>0.90900000000000003</v>
      </c>
      <c r="BF115" s="124">
        <v>1.087</v>
      </c>
      <c r="BG115" s="124">
        <v>0.998</v>
      </c>
      <c r="BH115" s="124">
        <v>1.746</v>
      </c>
      <c r="BI115" s="124">
        <v>2.4049999999999998</v>
      </c>
      <c r="BJ115" s="124">
        <v>0.67700000000000005</v>
      </c>
      <c r="BK115" s="124">
        <v>0.55200000000000005</v>
      </c>
      <c r="BL115" s="124">
        <v>0.499</v>
      </c>
      <c r="BM115" s="124">
        <v>0.69499999999999995</v>
      </c>
      <c r="BN115" s="118"/>
      <c r="BO115" s="118"/>
      <c r="BP115" s="118"/>
      <c r="BQ115" s="118"/>
      <c r="BR115" s="154" t="s">
        <v>85</v>
      </c>
      <c r="BS115" s="154">
        <v>17.71</v>
      </c>
      <c r="BT115" s="154">
        <v>1650</v>
      </c>
      <c r="BU115" s="154">
        <v>6091</v>
      </c>
      <c r="BV115" s="154">
        <v>2225</v>
      </c>
      <c r="BW115" s="154">
        <v>3695</v>
      </c>
      <c r="BX115" s="154">
        <v>101</v>
      </c>
      <c r="BY115" s="154" t="s">
        <v>85</v>
      </c>
      <c r="BZ115" s="154">
        <v>136</v>
      </c>
      <c r="CA115" s="154" t="s">
        <v>85</v>
      </c>
      <c r="CB115" s="154" t="s">
        <v>85</v>
      </c>
      <c r="CC115" s="154">
        <v>146</v>
      </c>
      <c r="CD115" s="154">
        <v>1468</v>
      </c>
      <c r="CE115" s="154">
        <v>925</v>
      </c>
      <c r="CF115" s="154">
        <v>232</v>
      </c>
      <c r="CG115" s="205"/>
    </row>
    <row r="116" spans="1:85">
      <c r="A116" s="122">
        <v>42003</v>
      </c>
      <c r="B116" s="122" t="s">
        <v>527</v>
      </c>
      <c r="C116" s="122" t="s">
        <v>528</v>
      </c>
      <c r="D116" s="122" t="s">
        <v>529</v>
      </c>
      <c r="E116" s="122" t="s">
        <v>82</v>
      </c>
      <c r="F116" s="122" t="s">
        <v>530</v>
      </c>
      <c r="G116" s="163" t="s">
        <v>531</v>
      </c>
      <c r="H116" s="122">
        <v>8</v>
      </c>
      <c r="I116" s="122" t="s">
        <v>514</v>
      </c>
      <c r="J116" s="118">
        <v>107.79</v>
      </c>
      <c r="K116" s="118">
        <v>75.569999999999993</v>
      </c>
      <c r="L116" s="118">
        <v>20.41</v>
      </c>
      <c r="M116" s="118">
        <v>2.63</v>
      </c>
      <c r="N116" s="118"/>
      <c r="O116" s="118"/>
      <c r="P116" s="118"/>
      <c r="Q116" s="118">
        <v>0.31</v>
      </c>
      <c r="R116" s="118">
        <v>2.2999999999999998</v>
      </c>
      <c r="S116" s="118">
        <v>1.52</v>
      </c>
      <c r="T116" s="118">
        <v>0.11</v>
      </c>
      <c r="U116" s="118">
        <v>12.94</v>
      </c>
      <c r="V116" s="118">
        <v>3</v>
      </c>
      <c r="W116" s="118">
        <v>1.8</v>
      </c>
      <c r="X116" s="118">
        <v>3.81</v>
      </c>
      <c r="Y116" s="118">
        <v>1.8</v>
      </c>
      <c r="Z116" s="118"/>
      <c r="AA116" s="118">
        <v>866</v>
      </c>
      <c r="AB116" s="125">
        <f>AA116+1/12*(AD116)+1/24*(AC116)+1/24*(AG116)</f>
        <v>866</v>
      </c>
      <c r="AC116" s="118"/>
      <c r="AD116" s="118"/>
      <c r="AE116" s="118"/>
      <c r="AF116" s="118"/>
      <c r="AG116" s="118"/>
      <c r="AH116" s="118"/>
      <c r="AI116" s="118">
        <v>52.99</v>
      </c>
      <c r="AJ116" s="118">
        <v>2.72</v>
      </c>
      <c r="AK116" s="118">
        <v>1.54</v>
      </c>
      <c r="AL116" s="118">
        <v>42.5</v>
      </c>
      <c r="AM116" s="118">
        <v>0.13</v>
      </c>
      <c r="AN116" s="118">
        <v>361</v>
      </c>
      <c r="AO116" s="118">
        <v>450</v>
      </c>
      <c r="AP116" s="118">
        <v>67.319999999999993</v>
      </c>
      <c r="AQ116" s="118">
        <v>2.23</v>
      </c>
      <c r="AR116" s="118">
        <v>0.98099999999999998</v>
      </c>
      <c r="AS116" s="118">
        <v>0.73299999999999998</v>
      </c>
      <c r="AT116" s="118">
        <v>0.6</v>
      </c>
      <c r="AU116" s="118">
        <v>58.64</v>
      </c>
      <c r="AV116" s="118">
        <v>3.67</v>
      </c>
      <c r="AW116" s="118">
        <v>3.43</v>
      </c>
      <c r="AX116" s="118">
        <v>3.41</v>
      </c>
      <c r="AY116" s="118">
        <v>5.94</v>
      </c>
      <c r="AZ116" s="118">
        <v>4.62</v>
      </c>
      <c r="BA116" s="118">
        <v>10.94</v>
      </c>
      <c r="BB116" s="118">
        <v>4.07</v>
      </c>
      <c r="BC116" s="118">
        <v>3.46</v>
      </c>
      <c r="BD116" s="118">
        <v>1.22</v>
      </c>
      <c r="BE116" s="118">
        <v>4.5599999999999996</v>
      </c>
      <c r="BF116" s="118">
        <v>2.06</v>
      </c>
      <c r="BG116" s="118">
        <v>4.0599999999999996</v>
      </c>
      <c r="BH116" s="118">
        <v>1.1200000000000001</v>
      </c>
      <c r="BI116" s="118">
        <v>7.74</v>
      </c>
      <c r="BJ116" s="118">
        <v>6.53</v>
      </c>
      <c r="BK116" s="118">
        <v>5.97</v>
      </c>
      <c r="BL116" s="118">
        <v>3.52</v>
      </c>
      <c r="BM116" s="118">
        <v>3.78</v>
      </c>
      <c r="BN116" s="118"/>
      <c r="BO116" s="118"/>
      <c r="BP116" s="118"/>
      <c r="BQ116" s="118">
        <v>73</v>
      </c>
      <c r="BR116" s="154" t="s">
        <v>85</v>
      </c>
      <c r="BS116" s="154">
        <v>8.8699999999999992</v>
      </c>
      <c r="BT116" s="154"/>
      <c r="BU116" s="154">
        <v>640</v>
      </c>
      <c r="BV116" s="154">
        <v>204</v>
      </c>
      <c r="BW116" s="154">
        <v>493</v>
      </c>
      <c r="BX116" s="154">
        <v>35.619999999999997</v>
      </c>
      <c r="BY116" s="154" t="s">
        <v>85</v>
      </c>
      <c r="BZ116" s="154">
        <v>190</v>
      </c>
      <c r="CA116" s="154" t="s">
        <v>85</v>
      </c>
      <c r="CB116" s="154" t="s">
        <v>85</v>
      </c>
      <c r="CC116" s="154">
        <v>137</v>
      </c>
      <c r="CD116" s="154">
        <v>217</v>
      </c>
      <c r="CE116" s="154">
        <v>17.91</v>
      </c>
      <c r="CF116" s="154">
        <v>119</v>
      </c>
      <c r="CG116" s="154">
        <v>80</v>
      </c>
    </row>
    <row r="117" spans="1:85">
      <c r="A117" s="122">
        <v>42004</v>
      </c>
      <c r="B117" s="122" t="s">
        <v>532</v>
      </c>
      <c r="C117" s="122" t="s">
        <v>533</v>
      </c>
      <c r="D117" s="122" t="s">
        <v>534</v>
      </c>
      <c r="E117" s="122" t="s">
        <v>103</v>
      </c>
      <c r="F117" s="122">
        <v>15028</v>
      </c>
      <c r="G117" s="163" t="s">
        <v>535</v>
      </c>
      <c r="H117" s="122">
        <v>8</v>
      </c>
      <c r="I117" s="122" t="s">
        <v>514</v>
      </c>
      <c r="J117" s="118">
        <v>70</v>
      </c>
      <c r="K117" s="118">
        <v>84.6</v>
      </c>
      <c r="L117" s="118">
        <v>12.4</v>
      </c>
      <c r="M117" s="118">
        <v>1.93</v>
      </c>
      <c r="N117" s="118">
        <v>0</v>
      </c>
      <c r="O117" s="118">
        <v>0</v>
      </c>
      <c r="P117" s="118">
        <v>2.1999999999999999E-2</v>
      </c>
      <c r="Q117" s="118">
        <v>0.02</v>
      </c>
      <c r="R117" s="118">
        <v>1.04</v>
      </c>
      <c r="S117" s="118">
        <v>0.185</v>
      </c>
      <c r="T117" s="118">
        <v>9.8000000000000004E-2</v>
      </c>
      <c r="U117" s="118">
        <v>5</v>
      </c>
      <c r="V117" s="118">
        <v>1.1299999999999999</v>
      </c>
      <c r="W117" s="118">
        <v>0</v>
      </c>
      <c r="X117" s="118">
        <v>2.8</v>
      </c>
      <c r="Y117" s="118">
        <v>0.63</v>
      </c>
      <c r="Z117" s="118">
        <v>0.1</v>
      </c>
      <c r="AA117" s="118">
        <v>10</v>
      </c>
      <c r="AB117" s="118">
        <v>10</v>
      </c>
      <c r="AC117" s="118">
        <v>0</v>
      </c>
      <c r="AD117" s="118">
        <v>0</v>
      </c>
      <c r="AE117" s="118">
        <v>0</v>
      </c>
      <c r="AF117" s="118">
        <v>0</v>
      </c>
      <c r="AG117" s="118">
        <v>0</v>
      </c>
      <c r="AH117" s="118">
        <v>0</v>
      </c>
      <c r="AI117" s="118">
        <v>21</v>
      </c>
      <c r="AJ117" s="118">
        <v>1.9E-2</v>
      </c>
      <c r="AK117" s="118">
        <v>0.18</v>
      </c>
      <c r="AL117" s="118">
        <v>18</v>
      </c>
      <c r="AM117" s="118">
        <v>1.4E-2</v>
      </c>
      <c r="AN117" s="118">
        <v>252</v>
      </c>
      <c r="AO117" s="118">
        <v>160</v>
      </c>
      <c r="AP117" s="118">
        <v>26.6</v>
      </c>
      <c r="AQ117" s="118">
        <v>0.32</v>
      </c>
      <c r="AR117" s="118">
        <v>0.441</v>
      </c>
      <c r="AS117" s="118">
        <v>0.53500000000000003</v>
      </c>
      <c r="AT117" s="118">
        <v>0.374</v>
      </c>
      <c r="AU117" s="118">
        <v>45</v>
      </c>
      <c r="AV117" s="118">
        <v>0.30399999999999999</v>
      </c>
      <c r="AW117" s="118">
        <v>0.61399999999999999</v>
      </c>
      <c r="AX117" s="118">
        <v>1.0900000000000001</v>
      </c>
      <c r="AY117" s="118">
        <v>1.27</v>
      </c>
      <c r="AZ117" s="118">
        <v>0.45500000000000002</v>
      </c>
      <c r="BA117" s="118">
        <v>0.14899999999999999</v>
      </c>
      <c r="BB117" s="118">
        <v>0.50800000000000001</v>
      </c>
      <c r="BC117" s="118">
        <v>0.58499999999999996</v>
      </c>
      <c r="BD117" s="118">
        <v>0.161</v>
      </c>
      <c r="BE117" s="118">
        <v>0.65100000000000002</v>
      </c>
      <c r="BF117" s="118">
        <v>0.77100000000000002</v>
      </c>
      <c r="BG117" s="118">
        <v>0.89500000000000002</v>
      </c>
      <c r="BH117" s="118">
        <v>1.38</v>
      </c>
      <c r="BI117" s="118">
        <v>2.13</v>
      </c>
      <c r="BJ117" s="118">
        <v>0.64</v>
      </c>
      <c r="BK117" s="118">
        <v>0.48699999999999999</v>
      </c>
      <c r="BL117" s="118">
        <v>0.57899999999999996</v>
      </c>
      <c r="BM117" s="118">
        <v>0.47899999999999998</v>
      </c>
      <c r="BN117" s="118"/>
      <c r="BO117" s="118"/>
      <c r="BP117" s="118"/>
      <c r="BQ117" s="118"/>
      <c r="BR117" s="205"/>
      <c r="BS117" s="205"/>
      <c r="BT117" s="205"/>
      <c r="BU117" s="205"/>
      <c r="BV117" s="205"/>
      <c r="BW117" s="205"/>
      <c r="BX117" s="205"/>
      <c r="BY117" s="205"/>
      <c r="BZ117" s="205"/>
      <c r="CA117" s="205"/>
      <c r="CB117" s="205"/>
      <c r="CC117" s="205"/>
      <c r="CD117" s="205"/>
      <c r="CE117" s="205"/>
      <c r="CF117" s="205"/>
      <c r="CG117" s="205"/>
    </row>
    <row r="118" spans="1:85">
      <c r="A118" s="122">
        <v>42005</v>
      </c>
      <c r="B118" s="122" t="s">
        <v>536</v>
      </c>
      <c r="C118" s="122" t="s">
        <v>537</v>
      </c>
      <c r="D118" s="122" t="s">
        <v>538</v>
      </c>
      <c r="E118" s="122" t="s">
        <v>76</v>
      </c>
      <c r="F118" s="122" t="s">
        <v>1271</v>
      </c>
      <c r="G118" s="163" t="s">
        <v>1272</v>
      </c>
      <c r="H118" s="122">
        <v>8</v>
      </c>
      <c r="I118" s="122" t="s">
        <v>514</v>
      </c>
      <c r="J118" s="118">
        <v>103</v>
      </c>
      <c r="K118" s="118">
        <v>77.569999999999993</v>
      </c>
      <c r="L118" s="118">
        <v>15.56</v>
      </c>
      <c r="M118" s="118">
        <v>4.58</v>
      </c>
      <c r="N118" s="118">
        <v>0</v>
      </c>
      <c r="O118" s="118">
        <v>0</v>
      </c>
      <c r="P118" s="118">
        <v>0.03</v>
      </c>
      <c r="Q118" s="118">
        <v>0.06</v>
      </c>
      <c r="R118" s="118">
        <v>1.7</v>
      </c>
      <c r="S118" s="118"/>
      <c r="T118" s="118">
        <v>0.25</v>
      </c>
      <c r="U118" s="118"/>
      <c r="V118" s="118">
        <v>4.83</v>
      </c>
      <c r="W118" s="118"/>
      <c r="X118" s="118"/>
      <c r="Y118" s="118"/>
      <c r="Z118" s="118"/>
      <c r="AA118" s="118">
        <v>10</v>
      </c>
      <c r="AB118" s="118">
        <v>15.33</v>
      </c>
      <c r="AC118" s="118"/>
      <c r="AD118" s="118">
        <v>64</v>
      </c>
      <c r="AE118" s="118"/>
      <c r="AF118" s="118"/>
      <c r="AG118" s="118"/>
      <c r="AH118" s="118"/>
      <c r="AI118" s="118">
        <v>26.77</v>
      </c>
      <c r="AJ118" s="118">
        <v>0.06</v>
      </c>
      <c r="AK118" s="118">
        <v>0.76</v>
      </c>
      <c r="AL118" s="118">
        <v>24.75</v>
      </c>
      <c r="AM118" s="118">
        <v>0.02</v>
      </c>
      <c r="AN118" s="118">
        <v>180</v>
      </c>
      <c r="AO118" s="118">
        <v>344.47</v>
      </c>
      <c r="AP118" s="118">
        <v>71.03</v>
      </c>
      <c r="AQ118" s="118">
        <v>0.53</v>
      </c>
      <c r="AR118" s="118">
        <v>4.66</v>
      </c>
      <c r="AS118" s="118">
        <v>4.0999999999999996</v>
      </c>
      <c r="AT118" s="118">
        <v>1.1000000000000001</v>
      </c>
      <c r="AU118" s="118">
        <v>142.9</v>
      </c>
      <c r="AV118" s="124">
        <v>0.31</v>
      </c>
      <c r="AW118" s="124">
        <v>0.72299999999999998</v>
      </c>
      <c r="AX118" s="124">
        <v>1.2310000000000001</v>
      </c>
      <c r="AY118" s="124">
        <v>1.3779999999999999</v>
      </c>
      <c r="AZ118" s="124">
        <v>0.33</v>
      </c>
      <c r="BA118" s="124" t="s">
        <v>1098</v>
      </c>
      <c r="BB118" s="124">
        <v>0.63400000000000001</v>
      </c>
      <c r="BC118" s="124">
        <v>0.68600000000000005</v>
      </c>
      <c r="BD118" s="124" t="s">
        <v>1098</v>
      </c>
      <c r="BE118" s="124">
        <v>0.76300000000000001</v>
      </c>
      <c r="BF118" s="124">
        <v>0.97899999999999998</v>
      </c>
      <c r="BG118" s="124">
        <v>0.93200000000000005</v>
      </c>
      <c r="BH118" s="124">
        <v>1.5660000000000001</v>
      </c>
      <c r="BI118" s="124" t="s">
        <v>1098</v>
      </c>
      <c r="BJ118" s="124">
        <v>1.0429999999999999</v>
      </c>
      <c r="BK118" s="124">
        <v>0.65300000000000002</v>
      </c>
      <c r="BL118" s="124">
        <v>0.54400000000000004</v>
      </c>
      <c r="BM118" s="124">
        <v>0.373</v>
      </c>
      <c r="BN118" s="118"/>
      <c r="BO118" s="118"/>
      <c r="BP118" s="118"/>
      <c r="BQ118" s="118">
        <v>56.3</v>
      </c>
      <c r="BR118" s="154" t="s">
        <v>85</v>
      </c>
      <c r="BS118" s="154">
        <v>28.88</v>
      </c>
      <c r="BT118" s="154"/>
      <c r="BU118" s="154">
        <v>1554</v>
      </c>
      <c r="BV118" s="154">
        <v>538</v>
      </c>
      <c r="BW118" s="154">
        <v>1428</v>
      </c>
      <c r="BX118" s="154">
        <v>88.89</v>
      </c>
      <c r="BY118" s="154" t="s">
        <v>85</v>
      </c>
      <c r="BZ118" s="154">
        <v>458</v>
      </c>
      <c r="CA118" s="154" t="s">
        <v>85</v>
      </c>
      <c r="CB118" s="154" t="s">
        <v>85</v>
      </c>
      <c r="CC118" s="154">
        <v>80.31</v>
      </c>
      <c r="CD118" s="154">
        <v>395</v>
      </c>
      <c r="CE118" s="154">
        <v>78.77</v>
      </c>
      <c r="CF118" s="154">
        <v>140</v>
      </c>
      <c r="CG118" s="205"/>
    </row>
    <row r="119" spans="1:85">
      <c r="A119" s="122">
        <v>42006</v>
      </c>
      <c r="B119" s="122" t="s">
        <v>540</v>
      </c>
      <c r="C119" s="122" t="s">
        <v>541</v>
      </c>
      <c r="D119" s="122" t="s">
        <v>542</v>
      </c>
      <c r="E119" s="122" t="s">
        <v>76</v>
      </c>
      <c r="F119" s="122" t="s">
        <v>543</v>
      </c>
      <c r="G119" s="163" t="s">
        <v>544</v>
      </c>
      <c r="H119" s="122">
        <v>8</v>
      </c>
      <c r="I119" s="122" t="s">
        <v>514</v>
      </c>
      <c r="J119" s="118">
        <v>130</v>
      </c>
      <c r="K119" s="118">
        <v>73.03</v>
      </c>
      <c r="L119" s="118">
        <v>17.52</v>
      </c>
      <c r="M119" s="118">
        <v>6.61</v>
      </c>
      <c r="N119" s="118">
        <v>0</v>
      </c>
      <c r="O119" s="118">
        <v>0</v>
      </c>
      <c r="P119" s="118">
        <v>0.03</v>
      </c>
      <c r="Q119" s="118">
        <v>0.18</v>
      </c>
      <c r="R119" s="118">
        <v>2.6</v>
      </c>
      <c r="S119" s="118"/>
      <c r="T119" s="118">
        <v>0.12</v>
      </c>
      <c r="U119" s="118">
        <v>5</v>
      </c>
      <c r="V119" s="118">
        <v>2.38</v>
      </c>
      <c r="W119" s="118">
        <v>0.5</v>
      </c>
      <c r="X119" s="118"/>
      <c r="Y119" s="118"/>
      <c r="Z119" s="118"/>
      <c r="AA119" s="118">
        <v>209</v>
      </c>
      <c r="AB119" s="118">
        <v>215.17</v>
      </c>
      <c r="AC119" s="118"/>
      <c r="AD119" s="118">
        <v>74</v>
      </c>
      <c r="AE119" s="118"/>
      <c r="AF119" s="118"/>
      <c r="AG119" s="118"/>
      <c r="AH119" s="118"/>
      <c r="AI119" s="118">
        <v>410</v>
      </c>
      <c r="AJ119" s="118">
        <v>0.04</v>
      </c>
      <c r="AK119" s="118">
        <v>1.21</v>
      </c>
      <c r="AL119" s="118">
        <v>53.06</v>
      </c>
      <c r="AM119" s="118"/>
      <c r="AN119" s="118">
        <v>390.28</v>
      </c>
      <c r="AO119" s="118">
        <v>213.84</v>
      </c>
      <c r="AP119" s="118"/>
      <c r="AQ119" s="118">
        <v>1.1299999999999999</v>
      </c>
      <c r="AR119" s="118"/>
      <c r="AS119" s="118"/>
      <c r="AT119" s="118"/>
      <c r="AU119" s="118"/>
      <c r="AV119" s="124"/>
      <c r="AW119" s="124"/>
      <c r="AX119" s="124"/>
      <c r="AY119" s="124"/>
      <c r="AZ119" s="124"/>
      <c r="BA119" s="124"/>
      <c r="BB119" s="124"/>
      <c r="BC119" s="124"/>
      <c r="BD119" s="124"/>
      <c r="BE119" s="124"/>
      <c r="BF119" s="124"/>
      <c r="BG119" s="124"/>
      <c r="BH119" s="124"/>
      <c r="BI119" s="124"/>
      <c r="BJ119" s="124"/>
      <c r="BK119" s="124"/>
      <c r="BL119" s="124"/>
      <c r="BM119" s="124"/>
      <c r="BN119" s="118"/>
      <c r="BO119" s="118"/>
      <c r="BP119" s="118"/>
      <c r="BQ119" s="118"/>
      <c r="BR119" s="205"/>
      <c r="BS119" s="205"/>
      <c r="BT119" s="205"/>
      <c r="BU119" s="205"/>
      <c r="BV119" s="205"/>
      <c r="BW119" s="205"/>
      <c r="BX119" s="205"/>
      <c r="BY119" s="205"/>
      <c r="BZ119" s="205"/>
      <c r="CA119" s="205"/>
      <c r="CB119" s="205"/>
      <c r="CC119" s="205"/>
      <c r="CD119" s="205"/>
      <c r="CE119" s="205"/>
      <c r="CF119" s="205"/>
      <c r="CG119" s="205"/>
    </row>
    <row r="120" spans="1:85">
      <c r="A120" s="122">
        <v>42007</v>
      </c>
      <c r="B120" s="122" t="s">
        <v>545</v>
      </c>
      <c r="C120" s="122" t="s">
        <v>546</v>
      </c>
      <c r="D120" s="122" t="s">
        <v>547</v>
      </c>
      <c r="E120" s="122" t="s">
        <v>76</v>
      </c>
      <c r="F120" s="122">
        <v>90070</v>
      </c>
      <c r="G120" s="163" t="s">
        <v>548</v>
      </c>
      <c r="H120" s="122">
        <v>8</v>
      </c>
      <c r="I120" s="122" t="s">
        <v>514</v>
      </c>
      <c r="J120" s="118">
        <v>101</v>
      </c>
      <c r="K120" s="118">
        <v>78.39</v>
      </c>
      <c r="L120" s="118">
        <v>17.739999999999998</v>
      </c>
      <c r="M120" s="118">
        <v>3.3</v>
      </c>
      <c r="N120" s="118">
        <v>0</v>
      </c>
      <c r="O120" s="118">
        <v>0</v>
      </c>
      <c r="P120" s="118">
        <v>0.04</v>
      </c>
      <c r="Q120" s="118">
        <v>0.05</v>
      </c>
      <c r="R120" s="118">
        <v>2</v>
      </c>
      <c r="S120" s="118"/>
      <c r="T120" s="118">
        <v>0.24</v>
      </c>
      <c r="U120" s="118"/>
      <c r="V120" s="118">
        <v>1.2</v>
      </c>
      <c r="W120" s="118"/>
      <c r="X120" s="118"/>
      <c r="Y120" s="118"/>
      <c r="Z120" s="118"/>
      <c r="AA120" s="118"/>
      <c r="AB120" s="118"/>
      <c r="AC120" s="118"/>
      <c r="AD120" s="118"/>
      <c r="AE120" s="118"/>
      <c r="AF120" s="118"/>
      <c r="AG120" s="118"/>
      <c r="AH120" s="118"/>
      <c r="AI120" s="118">
        <v>103.82</v>
      </c>
      <c r="AJ120" s="118">
        <v>0.2</v>
      </c>
      <c r="AK120" s="118">
        <v>1.04</v>
      </c>
      <c r="AL120" s="118">
        <v>42.65</v>
      </c>
      <c r="AM120" s="118"/>
      <c r="AN120" s="118">
        <v>130.29</v>
      </c>
      <c r="AO120" s="118">
        <v>362.43</v>
      </c>
      <c r="AP120" s="118"/>
      <c r="AQ120" s="118">
        <v>0.31</v>
      </c>
      <c r="AR120" s="118">
        <v>1.01</v>
      </c>
      <c r="AS120" s="118">
        <v>0.85</v>
      </c>
      <c r="AT120" s="118">
        <v>0.48</v>
      </c>
      <c r="AU120" s="118">
        <v>38.94</v>
      </c>
      <c r="AV120" s="124"/>
      <c r="AW120" s="124"/>
      <c r="AX120" s="124"/>
      <c r="AY120" s="124"/>
      <c r="AZ120" s="124"/>
      <c r="BA120" s="124"/>
      <c r="BB120" s="124"/>
      <c r="BC120" s="124"/>
      <c r="BD120" s="124"/>
      <c r="BE120" s="124"/>
      <c r="BF120" s="124"/>
      <c r="BG120" s="124"/>
      <c r="BH120" s="124"/>
      <c r="BI120" s="124"/>
      <c r="BJ120" s="124"/>
      <c r="BK120" s="124"/>
      <c r="BL120" s="124"/>
      <c r="BM120" s="124"/>
      <c r="BN120" s="118"/>
      <c r="BO120" s="118"/>
      <c r="BP120" s="118"/>
      <c r="BQ120" s="118"/>
      <c r="BR120" s="205"/>
      <c r="BS120" s="205"/>
      <c r="BT120" s="205"/>
      <c r="BU120" s="205"/>
      <c r="BV120" s="205"/>
      <c r="BW120" s="205"/>
      <c r="BX120" s="205"/>
      <c r="BY120" s="205"/>
      <c r="BZ120" s="205"/>
      <c r="CA120" s="205"/>
      <c r="CB120" s="205"/>
      <c r="CC120" s="205"/>
      <c r="CD120" s="205"/>
      <c r="CE120" s="205"/>
      <c r="CF120" s="205"/>
      <c r="CG120" s="205"/>
    </row>
    <row r="121" spans="1:85">
      <c r="A121" s="122">
        <v>42008</v>
      </c>
      <c r="B121" s="122" t="s">
        <v>549</v>
      </c>
      <c r="C121" s="122" t="s">
        <v>550</v>
      </c>
      <c r="D121" s="122" t="s">
        <v>551</v>
      </c>
      <c r="E121" s="122" t="s">
        <v>76</v>
      </c>
      <c r="F121" s="122" t="s">
        <v>1273</v>
      </c>
      <c r="G121" s="163" t="s">
        <v>1274</v>
      </c>
      <c r="H121" s="122">
        <v>8</v>
      </c>
      <c r="I121" s="122" t="s">
        <v>514</v>
      </c>
      <c r="J121" s="118">
        <v>123</v>
      </c>
      <c r="K121" s="118">
        <v>75.89</v>
      </c>
      <c r="L121" s="118">
        <v>17.2</v>
      </c>
      <c r="M121" s="118">
        <v>6.2</v>
      </c>
      <c r="N121" s="118">
        <v>0</v>
      </c>
      <c r="O121" s="118">
        <v>0</v>
      </c>
      <c r="P121" s="118">
        <v>0.02</v>
      </c>
      <c r="Q121" s="118">
        <v>0.02</v>
      </c>
      <c r="R121" s="118">
        <v>1.87</v>
      </c>
      <c r="S121" s="118"/>
      <c r="T121" s="118">
        <v>136</v>
      </c>
      <c r="U121" s="118">
        <v>8</v>
      </c>
      <c r="V121" s="118"/>
      <c r="W121" s="118">
        <v>0</v>
      </c>
      <c r="X121" s="118">
        <v>0.68</v>
      </c>
      <c r="Y121" s="118">
        <v>0.49</v>
      </c>
      <c r="Z121" s="118"/>
      <c r="AA121" s="118">
        <v>6.74</v>
      </c>
      <c r="AB121" s="118">
        <v>7</v>
      </c>
      <c r="AC121" s="118"/>
      <c r="AD121" s="118"/>
      <c r="AE121" s="118"/>
      <c r="AF121" s="118"/>
      <c r="AG121" s="118"/>
      <c r="AH121" s="118"/>
      <c r="AI121" s="118">
        <v>22</v>
      </c>
      <c r="AJ121" s="118">
        <v>0.02</v>
      </c>
      <c r="AK121" s="118">
        <v>2.1</v>
      </c>
      <c r="AL121" s="118">
        <v>28</v>
      </c>
      <c r="AM121" s="118"/>
      <c r="AN121" s="118">
        <v>187</v>
      </c>
      <c r="AO121" s="118">
        <v>225</v>
      </c>
      <c r="AP121" s="118"/>
      <c r="AQ121" s="118">
        <v>0.23</v>
      </c>
      <c r="AR121" s="118">
        <v>1.83</v>
      </c>
      <c r="AS121" s="118">
        <v>1.96</v>
      </c>
      <c r="AT121" s="118">
        <v>0.89</v>
      </c>
      <c r="AU121" s="118">
        <v>68.540000000000006</v>
      </c>
      <c r="AV121" s="124">
        <v>0.97911999999999999</v>
      </c>
      <c r="AW121" s="124">
        <v>1.0312300000000001</v>
      </c>
      <c r="AX121" s="124">
        <v>1.5717999999999999</v>
      </c>
      <c r="AY121" s="124">
        <v>1.3264800000000001</v>
      </c>
      <c r="AZ121" s="124">
        <v>0.92049999999999998</v>
      </c>
      <c r="BA121" s="124">
        <v>0.30610999999999999</v>
      </c>
      <c r="BB121" s="124">
        <v>1.1549700000000001</v>
      </c>
      <c r="BC121" s="124">
        <v>1.0182</v>
      </c>
      <c r="BD121" s="124">
        <v>0.25401000000000001</v>
      </c>
      <c r="BE121" s="124">
        <v>1.0355699999999999</v>
      </c>
      <c r="BF121" s="124">
        <v>0.71860000000000002</v>
      </c>
      <c r="BG121" s="124">
        <v>0.86188999999999993</v>
      </c>
      <c r="BH121" s="124">
        <v>2.04725</v>
      </c>
      <c r="BI121" s="124">
        <v>2.9851300000000003</v>
      </c>
      <c r="BJ121" s="124">
        <v>2.13192</v>
      </c>
      <c r="BK121" s="124">
        <v>1.67601</v>
      </c>
      <c r="BL121" s="124">
        <v>0.98563000000000001</v>
      </c>
      <c r="BM121" s="124">
        <v>0.73814000000000002</v>
      </c>
      <c r="BN121" s="118"/>
      <c r="BO121" s="118"/>
      <c r="BP121" s="118"/>
      <c r="BQ121" s="118">
        <v>73</v>
      </c>
      <c r="BR121" s="154" t="s">
        <v>85</v>
      </c>
      <c r="BS121" s="154">
        <v>11.09</v>
      </c>
      <c r="BT121" s="154"/>
      <c r="BU121" s="154">
        <v>1318</v>
      </c>
      <c r="BV121" s="154">
        <v>615</v>
      </c>
      <c r="BW121" s="154">
        <v>1283</v>
      </c>
      <c r="BX121" s="154">
        <v>65.760000000000005</v>
      </c>
      <c r="BY121" s="154" t="s">
        <v>85</v>
      </c>
      <c r="BZ121" s="154">
        <v>194</v>
      </c>
      <c r="CA121" s="154" t="s">
        <v>85</v>
      </c>
      <c r="CB121" s="154" t="s">
        <v>85</v>
      </c>
      <c r="CC121" s="154">
        <v>86.03</v>
      </c>
      <c r="CD121" s="154">
        <v>220</v>
      </c>
      <c r="CE121" s="154">
        <v>171</v>
      </c>
      <c r="CF121" s="154">
        <v>125</v>
      </c>
      <c r="CG121" s="205"/>
    </row>
    <row r="122" spans="1:85">
      <c r="A122" s="122">
        <v>41001</v>
      </c>
      <c r="B122" s="122" t="s">
        <v>553</v>
      </c>
      <c r="C122" s="122" t="s">
        <v>554</v>
      </c>
      <c r="D122" s="122" t="s">
        <v>555</v>
      </c>
      <c r="E122" s="122" t="s">
        <v>82</v>
      </c>
      <c r="F122" s="122" t="s">
        <v>556</v>
      </c>
      <c r="G122" s="163" t="s">
        <v>557</v>
      </c>
      <c r="H122" s="122">
        <v>8</v>
      </c>
      <c r="I122" s="122" t="s">
        <v>514</v>
      </c>
      <c r="J122" s="118">
        <v>125.72</v>
      </c>
      <c r="K122" s="118">
        <v>74.209999999999994</v>
      </c>
      <c r="L122" s="118">
        <v>20.74</v>
      </c>
      <c r="M122" s="118">
        <v>4.6900000000000004</v>
      </c>
      <c r="N122" s="118"/>
      <c r="O122" s="118"/>
      <c r="P122" s="118">
        <v>7.0000000000000007E-2</v>
      </c>
      <c r="Q122" s="118">
        <v>7.0000000000000007E-2</v>
      </c>
      <c r="R122" s="118">
        <v>1.83</v>
      </c>
      <c r="S122" s="118">
        <v>1.72</v>
      </c>
      <c r="T122" s="118">
        <v>0.14000000000000001</v>
      </c>
      <c r="U122" s="118">
        <v>7.72</v>
      </c>
      <c r="V122" s="118"/>
      <c r="W122" s="118"/>
      <c r="X122" s="118">
        <v>0.48</v>
      </c>
      <c r="Y122" s="118">
        <v>1.2</v>
      </c>
      <c r="Z122" s="118"/>
      <c r="AA122" s="118">
        <v>8.94</v>
      </c>
      <c r="AB122" s="125">
        <f>AA122+1/12*(AD122)+1/24*(AC122)+1/24*(AG122)</f>
        <v>8.94</v>
      </c>
      <c r="AC122" s="118"/>
      <c r="AD122" s="118"/>
      <c r="AE122" s="118"/>
      <c r="AF122" s="118"/>
      <c r="AG122" s="118"/>
      <c r="AH122" s="118"/>
      <c r="AI122" s="118">
        <v>29.18</v>
      </c>
      <c r="AJ122" s="118">
        <v>0.16</v>
      </c>
      <c r="AK122" s="118">
        <v>1.67</v>
      </c>
      <c r="AL122" s="118">
        <v>37.14</v>
      </c>
      <c r="AM122" s="118">
        <v>0.04</v>
      </c>
      <c r="AN122" s="118">
        <v>169</v>
      </c>
      <c r="AO122" s="118">
        <v>157</v>
      </c>
      <c r="AP122" s="118">
        <v>30.02</v>
      </c>
      <c r="AQ122" s="118">
        <v>0.93</v>
      </c>
      <c r="AR122" s="118">
        <v>2.9289999999999998</v>
      </c>
      <c r="AS122" s="118">
        <v>0.93200000000000005</v>
      </c>
      <c r="AT122" s="118">
        <v>0.374</v>
      </c>
      <c r="AU122" s="118">
        <v>68.88</v>
      </c>
      <c r="AV122" s="118">
        <v>4.9400000000000004</v>
      </c>
      <c r="AW122" s="118">
        <v>4.8899999999999997</v>
      </c>
      <c r="AX122" s="118">
        <v>8.27</v>
      </c>
      <c r="AY122" s="118">
        <v>5.84</v>
      </c>
      <c r="AZ122" s="118">
        <v>3.12</v>
      </c>
      <c r="BA122" s="118">
        <v>2.0099999999999998</v>
      </c>
      <c r="BB122" s="118">
        <v>4.7300000000000004</v>
      </c>
      <c r="BC122" s="118">
        <v>4.6399999999999997</v>
      </c>
      <c r="BD122" s="118">
        <v>1.22</v>
      </c>
      <c r="BE122" s="118">
        <v>5.54</v>
      </c>
      <c r="BF122" s="118">
        <v>5.67</v>
      </c>
      <c r="BG122" s="118">
        <v>5.74</v>
      </c>
      <c r="BH122" s="118">
        <v>11.43</v>
      </c>
      <c r="BI122" s="118">
        <v>14.7</v>
      </c>
      <c r="BJ122" s="118">
        <v>5.36</v>
      </c>
      <c r="BK122" s="118">
        <v>3.58</v>
      </c>
      <c r="BL122" s="118">
        <v>4.07</v>
      </c>
      <c r="BM122" s="118">
        <v>4.26</v>
      </c>
      <c r="BN122" s="118"/>
      <c r="BO122" s="118"/>
      <c r="BP122" s="118"/>
      <c r="BQ122" s="118"/>
      <c r="BR122" s="154" t="s">
        <v>85</v>
      </c>
      <c r="BS122" s="154" t="s">
        <v>85</v>
      </c>
      <c r="BT122" s="154">
        <v>293</v>
      </c>
      <c r="BU122" s="154">
        <v>1751</v>
      </c>
      <c r="BV122" s="154">
        <v>336</v>
      </c>
      <c r="BW122" s="154">
        <v>527</v>
      </c>
      <c r="BX122" s="154">
        <v>26.86</v>
      </c>
      <c r="BY122" s="154">
        <v>8.1300000000000008</v>
      </c>
      <c r="BZ122" s="154">
        <v>56.87</v>
      </c>
      <c r="CA122" s="154" t="s">
        <v>85</v>
      </c>
      <c r="CB122" s="154">
        <v>52.58</v>
      </c>
      <c r="CC122" s="154">
        <v>45.16</v>
      </c>
      <c r="CD122" s="154">
        <v>721</v>
      </c>
      <c r="CE122" s="154">
        <v>57.92</v>
      </c>
      <c r="CF122" s="154">
        <v>161</v>
      </c>
      <c r="CG122" s="205"/>
    </row>
    <row r="123" spans="1:85">
      <c r="A123" s="122">
        <v>41002</v>
      </c>
      <c r="B123" s="122" t="s">
        <v>558</v>
      </c>
      <c r="C123" s="122" t="s">
        <v>559</v>
      </c>
      <c r="D123" s="122" t="s">
        <v>560</v>
      </c>
      <c r="E123" s="122" t="s">
        <v>76</v>
      </c>
      <c r="F123" s="122" t="s">
        <v>1275</v>
      </c>
      <c r="G123" s="163" t="s">
        <v>1276</v>
      </c>
      <c r="H123" s="122">
        <v>8</v>
      </c>
      <c r="I123" s="122" t="s">
        <v>514</v>
      </c>
      <c r="J123" s="118">
        <v>86</v>
      </c>
      <c r="K123" s="118">
        <v>78.53</v>
      </c>
      <c r="L123" s="118">
        <v>18.809999999999999</v>
      </c>
      <c r="M123" s="118">
        <v>1.25</v>
      </c>
      <c r="N123" s="118">
        <v>0</v>
      </c>
      <c r="O123" s="118">
        <v>0</v>
      </c>
      <c r="P123" s="118"/>
      <c r="Q123" s="118"/>
      <c r="R123" s="118"/>
      <c r="S123" s="118"/>
      <c r="T123" s="118"/>
      <c r="U123" s="118"/>
      <c r="V123" s="118"/>
      <c r="W123" s="118"/>
      <c r="X123" s="118"/>
      <c r="Y123" s="118"/>
      <c r="Z123" s="118"/>
      <c r="AA123" s="118">
        <v>1</v>
      </c>
      <c r="AB123" s="118">
        <v>1.56</v>
      </c>
      <c r="AC123" s="118"/>
      <c r="AD123" s="118">
        <v>6.73</v>
      </c>
      <c r="AE123" s="118"/>
      <c r="AF123" s="118"/>
      <c r="AG123" s="118"/>
      <c r="AH123" s="118"/>
      <c r="AI123" s="118">
        <v>15.52</v>
      </c>
      <c r="AJ123" s="118">
        <v>0.56999999999999995</v>
      </c>
      <c r="AK123" s="118">
        <v>0.55000000000000004</v>
      </c>
      <c r="AL123" s="118">
        <v>18.899999999999999</v>
      </c>
      <c r="AM123" s="118">
        <v>0.02</v>
      </c>
      <c r="AN123" s="118">
        <v>140.84</v>
      </c>
      <c r="AO123" s="118">
        <v>375.3</v>
      </c>
      <c r="AP123" s="118">
        <v>19.920000000000002</v>
      </c>
      <c r="AQ123" s="118">
        <v>1.06</v>
      </c>
      <c r="AR123" s="118"/>
      <c r="AS123" s="118"/>
      <c r="AT123" s="118"/>
      <c r="AU123" s="118"/>
      <c r="AV123" s="124"/>
      <c r="AW123" s="124"/>
      <c r="AX123" s="124"/>
      <c r="AY123" s="124"/>
      <c r="AZ123" s="124"/>
      <c r="BA123" s="124"/>
      <c r="BB123" s="124"/>
      <c r="BC123" s="124"/>
      <c r="BD123" s="124"/>
      <c r="BE123" s="124"/>
      <c r="BF123" s="124"/>
      <c r="BG123" s="124"/>
      <c r="BH123" s="124"/>
      <c r="BI123" s="124"/>
      <c r="BJ123" s="124"/>
      <c r="BK123" s="124"/>
      <c r="BL123" s="124"/>
      <c r="BM123" s="124"/>
      <c r="BN123" s="118"/>
      <c r="BO123" s="118"/>
      <c r="BP123" s="118"/>
      <c r="BQ123" s="118"/>
      <c r="BR123" s="154" t="s">
        <v>85</v>
      </c>
      <c r="BS123" s="154" t="s">
        <v>85</v>
      </c>
      <c r="BT123" s="154"/>
      <c r="BU123" s="154">
        <v>133</v>
      </c>
      <c r="BV123" s="154">
        <v>22.05</v>
      </c>
      <c r="BW123" s="154">
        <v>130</v>
      </c>
      <c r="BX123" s="154" t="s">
        <v>85</v>
      </c>
      <c r="BY123" s="154" t="s">
        <v>85</v>
      </c>
      <c r="BZ123" s="154">
        <v>41.37</v>
      </c>
      <c r="CA123" s="154" t="s">
        <v>85</v>
      </c>
      <c r="CB123" s="154" t="s">
        <v>85</v>
      </c>
      <c r="CC123" s="154">
        <v>39.35</v>
      </c>
      <c r="CD123" s="154">
        <v>53.52</v>
      </c>
      <c r="CE123" s="154">
        <v>58.02</v>
      </c>
      <c r="CF123" s="154">
        <v>12.73</v>
      </c>
      <c r="CG123" s="205">
        <v>5</v>
      </c>
    </row>
    <row r="124" spans="1:85">
      <c r="A124" s="122">
        <v>41003</v>
      </c>
      <c r="B124" s="122" t="s">
        <v>563</v>
      </c>
      <c r="C124" s="122" t="s">
        <v>564</v>
      </c>
      <c r="D124" s="122" t="s">
        <v>565</v>
      </c>
      <c r="E124" s="122" t="s">
        <v>76</v>
      </c>
      <c r="F124" s="122" t="s">
        <v>1277</v>
      </c>
      <c r="G124" s="163" t="s">
        <v>1278</v>
      </c>
      <c r="H124" s="122">
        <v>8</v>
      </c>
      <c r="I124" s="122" t="s">
        <v>514</v>
      </c>
      <c r="J124" s="118">
        <v>110</v>
      </c>
      <c r="K124" s="118">
        <v>76.209999999999994</v>
      </c>
      <c r="L124" s="118">
        <v>20.8</v>
      </c>
      <c r="M124" s="118">
        <v>3.03</v>
      </c>
      <c r="N124" s="118">
        <v>0</v>
      </c>
      <c r="O124" s="118">
        <v>0</v>
      </c>
      <c r="P124" s="118">
        <v>0.97</v>
      </c>
      <c r="Q124" s="118">
        <v>0.09</v>
      </c>
      <c r="R124" s="118">
        <v>3.1</v>
      </c>
      <c r="S124" s="118">
        <v>0.78</v>
      </c>
      <c r="T124" s="118">
        <v>0.11</v>
      </c>
      <c r="U124" s="118">
        <v>24</v>
      </c>
      <c r="V124" s="118"/>
      <c r="W124" s="118"/>
      <c r="X124" s="118">
        <v>0.83</v>
      </c>
      <c r="Y124" s="118">
        <v>0.71</v>
      </c>
      <c r="Z124" s="118"/>
      <c r="AA124" s="118">
        <v>2.0299999999999998</v>
      </c>
      <c r="AB124" s="118">
        <v>2.0299999999999998</v>
      </c>
      <c r="AC124" s="118"/>
      <c r="AD124" s="118"/>
      <c r="AE124" s="118"/>
      <c r="AF124" s="118"/>
      <c r="AG124" s="118"/>
      <c r="AH124" s="118"/>
      <c r="AI124" s="118">
        <v>19.3</v>
      </c>
      <c r="AJ124" s="118">
        <v>0.11</v>
      </c>
      <c r="AK124" s="118">
        <v>0.49</v>
      </c>
      <c r="AL124" s="118">
        <v>35.880000000000003</v>
      </c>
      <c r="AM124" s="118">
        <v>0.1</v>
      </c>
      <c r="AN124" s="118">
        <v>350</v>
      </c>
      <c r="AO124" s="118">
        <v>340.51</v>
      </c>
      <c r="AP124" s="118">
        <v>20.85</v>
      </c>
      <c r="AQ124" s="118">
        <v>1.4</v>
      </c>
      <c r="AR124" s="118">
        <v>1.08</v>
      </c>
      <c r="AS124" s="118">
        <v>1.1599999999999999</v>
      </c>
      <c r="AT124" s="118">
        <v>0.44</v>
      </c>
      <c r="AU124" s="118">
        <v>50</v>
      </c>
      <c r="AV124" s="124">
        <v>0.48299999999999998</v>
      </c>
      <c r="AW124" s="124">
        <v>0.76200000000000001</v>
      </c>
      <c r="AX124" s="124">
        <v>1.4930000000000001</v>
      </c>
      <c r="AY124" s="124">
        <v>1.5980000000000001</v>
      </c>
      <c r="AZ124" s="124">
        <v>0.67600000000000005</v>
      </c>
      <c r="BA124" s="124">
        <v>0.14499999999999999</v>
      </c>
      <c r="BB124" s="124">
        <v>0.82</v>
      </c>
      <c r="BC124" s="124">
        <v>0.89700000000000002</v>
      </c>
      <c r="BD124" s="124">
        <v>0.29599999999999999</v>
      </c>
      <c r="BE124" s="124">
        <v>0.94199999999999995</v>
      </c>
      <c r="BF124" s="124">
        <v>2.2200000000000002</v>
      </c>
      <c r="BG124" s="124">
        <v>1.2749999999999999</v>
      </c>
      <c r="BH124" s="124">
        <v>1.9019999999999999</v>
      </c>
      <c r="BI124" s="124">
        <v>3.4910000000000001</v>
      </c>
      <c r="BJ124" s="124">
        <v>1.415</v>
      </c>
      <c r="BK124" s="124">
        <v>0.89400000000000002</v>
      </c>
      <c r="BL124" s="124">
        <v>0.81</v>
      </c>
      <c r="BM124" s="124">
        <v>0.60899999999999999</v>
      </c>
      <c r="BN124" s="118"/>
      <c r="BO124" s="118"/>
      <c r="BP124" s="118"/>
      <c r="BQ124" s="118">
        <v>53.2</v>
      </c>
      <c r="BR124" s="154" t="s">
        <v>85</v>
      </c>
      <c r="BS124" s="154" t="s">
        <v>85</v>
      </c>
      <c r="BT124" s="154"/>
      <c r="BU124" s="154">
        <v>270</v>
      </c>
      <c r="BV124" s="154">
        <v>113</v>
      </c>
      <c r="BW124" s="154">
        <v>134</v>
      </c>
      <c r="BX124" s="154">
        <v>7.52</v>
      </c>
      <c r="BY124" s="154" t="s">
        <v>85</v>
      </c>
      <c r="BZ124" s="154">
        <v>49.44</v>
      </c>
      <c r="CA124" s="154" t="s">
        <v>85</v>
      </c>
      <c r="CB124" s="154" t="s">
        <v>85</v>
      </c>
      <c r="CC124" s="154">
        <v>35.03</v>
      </c>
      <c r="CD124" s="154">
        <v>76.209999999999994</v>
      </c>
      <c r="CE124" s="154">
        <v>14.76</v>
      </c>
      <c r="CF124" s="154">
        <v>59.16</v>
      </c>
      <c r="CG124" s="205"/>
    </row>
    <row r="125" spans="1:85">
      <c r="A125" s="122">
        <v>41004</v>
      </c>
      <c r="B125" s="122" t="s">
        <v>567</v>
      </c>
      <c r="C125" s="122" t="s">
        <v>568</v>
      </c>
      <c r="D125" s="122" t="s">
        <v>569</v>
      </c>
      <c r="E125" s="122" t="s">
        <v>76</v>
      </c>
      <c r="F125" s="122">
        <v>90016</v>
      </c>
      <c r="G125" s="163" t="s">
        <v>570</v>
      </c>
      <c r="H125" s="122">
        <v>8</v>
      </c>
      <c r="I125" s="122" t="s">
        <v>514</v>
      </c>
      <c r="J125" s="118">
        <v>95</v>
      </c>
      <c r="K125" s="118">
        <v>73.680000000000007</v>
      </c>
      <c r="L125" s="118">
        <v>17.27</v>
      </c>
      <c r="M125" s="118">
        <v>2.83</v>
      </c>
      <c r="N125" s="118">
        <v>0</v>
      </c>
      <c r="O125" s="118">
        <v>0</v>
      </c>
      <c r="P125" s="118">
        <v>0.03</v>
      </c>
      <c r="Q125" s="118">
        <v>0.06</v>
      </c>
      <c r="R125" s="118">
        <v>1.74</v>
      </c>
      <c r="S125" s="118"/>
      <c r="T125" s="118">
        <v>0.28999999999999998</v>
      </c>
      <c r="U125" s="118"/>
      <c r="V125" s="118"/>
      <c r="W125" s="118"/>
      <c r="X125" s="118"/>
      <c r="Y125" s="118"/>
      <c r="Z125" s="118"/>
      <c r="AA125" s="118"/>
      <c r="AB125" s="118"/>
      <c r="AC125" s="118"/>
      <c r="AD125" s="118"/>
      <c r="AE125" s="118"/>
      <c r="AF125" s="118"/>
      <c r="AG125" s="118"/>
      <c r="AH125" s="118"/>
      <c r="AI125" s="118">
        <v>266.67</v>
      </c>
      <c r="AJ125" s="118">
        <v>0.09</v>
      </c>
      <c r="AK125" s="118">
        <v>1.21</v>
      </c>
      <c r="AL125" s="118">
        <v>18.41</v>
      </c>
      <c r="AM125" s="118"/>
      <c r="AN125" s="118">
        <v>266</v>
      </c>
      <c r="AO125" s="118">
        <v>352.89</v>
      </c>
      <c r="AP125" s="118"/>
      <c r="AQ125" s="118">
        <v>1.25</v>
      </c>
      <c r="AR125" s="118">
        <v>1.1499999999999999</v>
      </c>
      <c r="AS125" s="118">
        <v>1.1599999999999999</v>
      </c>
      <c r="AT125" s="118">
        <v>0.99</v>
      </c>
      <c r="AU125" s="118">
        <v>46.75</v>
      </c>
      <c r="AV125" s="124"/>
      <c r="AW125" s="124"/>
      <c r="AX125" s="124"/>
      <c r="AY125" s="124"/>
      <c r="AZ125" s="124"/>
      <c r="BA125" s="124"/>
      <c r="BB125" s="124"/>
      <c r="BC125" s="124"/>
      <c r="BD125" s="124"/>
      <c r="BE125" s="124"/>
      <c r="BF125" s="124"/>
      <c r="BG125" s="124"/>
      <c r="BH125" s="124"/>
      <c r="BI125" s="124"/>
      <c r="BJ125" s="124"/>
      <c r="BK125" s="124"/>
      <c r="BL125" s="124"/>
      <c r="BM125" s="124"/>
      <c r="BN125" s="118"/>
      <c r="BO125" s="118"/>
      <c r="BP125" s="118"/>
      <c r="BQ125" s="118">
        <v>56.3</v>
      </c>
      <c r="BR125" s="154" t="s">
        <v>85</v>
      </c>
      <c r="BS125" s="154" t="s">
        <v>85</v>
      </c>
      <c r="BT125" s="154">
        <v>39</v>
      </c>
      <c r="BU125" s="154">
        <v>485</v>
      </c>
      <c r="BV125" s="154">
        <v>86.44</v>
      </c>
      <c r="BW125" s="154">
        <v>327</v>
      </c>
      <c r="BX125" s="154">
        <v>16.84</v>
      </c>
      <c r="BY125" s="154" t="s">
        <v>85</v>
      </c>
      <c r="BZ125" s="154">
        <v>22.11</v>
      </c>
      <c r="CA125" s="154" t="s">
        <v>85</v>
      </c>
      <c r="CB125" s="154">
        <v>61.6</v>
      </c>
      <c r="CC125" s="154">
        <v>133</v>
      </c>
      <c r="CD125" s="154">
        <v>249</v>
      </c>
      <c r="CE125" s="154">
        <v>75.239999999999995</v>
      </c>
      <c r="CF125" s="154">
        <v>320</v>
      </c>
      <c r="CG125" s="205"/>
    </row>
    <row r="126" spans="1:85">
      <c r="A126" s="122">
        <v>41005</v>
      </c>
      <c r="B126" s="122" t="s">
        <v>571</v>
      </c>
      <c r="C126" s="122" t="s">
        <v>572</v>
      </c>
      <c r="D126" s="122" t="s">
        <v>573</v>
      </c>
      <c r="E126" s="122" t="s">
        <v>76</v>
      </c>
      <c r="F126" s="122">
        <v>90008</v>
      </c>
      <c r="G126" s="163" t="s">
        <v>574</v>
      </c>
      <c r="H126" s="122">
        <v>8</v>
      </c>
      <c r="I126" s="122" t="s">
        <v>514</v>
      </c>
      <c r="J126" s="118">
        <v>139</v>
      </c>
      <c r="K126" s="118">
        <v>71.59</v>
      </c>
      <c r="L126" s="118">
        <v>17.600000000000001</v>
      </c>
      <c r="M126" s="118">
        <v>7.65</v>
      </c>
      <c r="N126" s="118">
        <v>0</v>
      </c>
      <c r="O126" s="118">
        <v>0</v>
      </c>
      <c r="P126" s="118">
        <v>0.01</v>
      </c>
      <c r="Q126" s="118">
        <v>0.03</v>
      </c>
      <c r="R126" s="118">
        <v>0.3</v>
      </c>
      <c r="S126" s="118"/>
      <c r="T126" s="118">
        <v>0.26</v>
      </c>
      <c r="U126" s="118"/>
      <c r="V126" s="118">
        <v>4.01</v>
      </c>
      <c r="W126" s="118"/>
      <c r="X126" s="118"/>
      <c r="Y126" s="118"/>
      <c r="Z126" s="118"/>
      <c r="AA126" s="118">
        <v>57</v>
      </c>
      <c r="AB126" s="118">
        <v>59.07</v>
      </c>
      <c r="AC126" s="118"/>
      <c r="AD126" s="118">
        <v>24.85</v>
      </c>
      <c r="AE126" s="118"/>
      <c r="AF126" s="118"/>
      <c r="AG126" s="118"/>
      <c r="AH126" s="118"/>
      <c r="AI126" s="118">
        <v>967.33</v>
      </c>
      <c r="AJ126" s="118">
        <v>7.0000000000000007E-2</v>
      </c>
      <c r="AK126" s="118">
        <v>2.6</v>
      </c>
      <c r="AL126" s="118"/>
      <c r="AM126" s="118"/>
      <c r="AN126" s="118">
        <v>620</v>
      </c>
      <c r="AO126" s="118">
        <v>203</v>
      </c>
      <c r="AP126" s="118"/>
      <c r="AQ126" s="118"/>
      <c r="AR126" s="118"/>
      <c r="AS126" s="118"/>
      <c r="AT126" s="118"/>
      <c r="AU126" s="118"/>
      <c r="AV126" s="124"/>
      <c r="AW126" s="124"/>
      <c r="AX126" s="124"/>
      <c r="AY126" s="124"/>
      <c r="AZ126" s="124"/>
      <c r="BA126" s="124"/>
      <c r="BB126" s="124"/>
      <c r="BC126" s="124"/>
      <c r="BD126" s="124"/>
      <c r="BE126" s="124"/>
      <c r="BF126" s="124"/>
      <c r="BG126" s="124"/>
      <c r="BH126" s="124"/>
      <c r="BI126" s="124"/>
      <c r="BJ126" s="124"/>
      <c r="BK126" s="124"/>
      <c r="BL126" s="124"/>
      <c r="BM126" s="124"/>
      <c r="BN126" s="118"/>
      <c r="BO126" s="118"/>
      <c r="BP126" s="118"/>
      <c r="BQ126" s="118"/>
      <c r="BR126" s="205"/>
      <c r="BS126" s="205"/>
      <c r="BT126" s="205"/>
      <c r="BU126" s="205"/>
      <c r="BV126" s="205"/>
      <c r="BW126" s="205"/>
      <c r="BX126" s="205"/>
      <c r="BY126" s="205"/>
      <c r="BZ126" s="205"/>
      <c r="CA126" s="205"/>
      <c r="CB126" s="205"/>
      <c r="CC126" s="205"/>
      <c r="CD126" s="205"/>
      <c r="CE126" s="205"/>
      <c r="CF126" s="205"/>
      <c r="CG126" s="205"/>
    </row>
    <row r="127" spans="1:85">
      <c r="A127" s="122">
        <v>41006</v>
      </c>
      <c r="B127" s="122" t="s">
        <v>575</v>
      </c>
      <c r="C127" s="122" t="s">
        <v>576</v>
      </c>
      <c r="D127" s="127" t="s">
        <v>1279</v>
      </c>
      <c r="E127" s="122" t="s">
        <v>103</v>
      </c>
      <c r="F127" s="122" t="s">
        <v>1280</v>
      </c>
      <c r="G127" s="163" t="s">
        <v>1281</v>
      </c>
      <c r="H127" s="122">
        <v>8</v>
      </c>
      <c r="I127" s="122" t="s">
        <v>514</v>
      </c>
      <c r="J127" s="118">
        <v>184</v>
      </c>
      <c r="K127" s="118">
        <v>68.3</v>
      </c>
      <c r="L127" s="118">
        <v>18.399999999999999</v>
      </c>
      <c r="M127" s="118">
        <v>11.7</v>
      </c>
      <c r="N127" s="118">
        <v>0</v>
      </c>
      <c r="O127" s="118">
        <v>0</v>
      </c>
      <c r="P127" s="118">
        <v>0.15</v>
      </c>
      <c r="Q127" s="118">
        <v>0.04</v>
      </c>
      <c r="R127" s="118">
        <v>3.5</v>
      </c>
      <c r="S127" s="118">
        <v>0.24</v>
      </c>
      <c r="T127" s="118">
        <v>6.7000000000000004E-2</v>
      </c>
      <c r="U127" s="118">
        <v>15</v>
      </c>
      <c r="V127" s="118">
        <v>3</v>
      </c>
      <c r="W127" s="118">
        <v>1.8</v>
      </c>
      <c r="X127" s="118">
        <v>23.3</v>
      </c>
      <c r="Y127" s="118">
        <v>4</v>
      </c>
      <c r="Z127" s="118">
        <v>0</v>
      </c>
      <c r="AA127" s="118">
        <v>1040</v>
      </c>
      <c r="AB127" s="118">
        <v>1040</v>
      </c>
      <c r="AC127" s="118">
        <v>0</v>
      </c>
      <c r="AD127" s="118">
        <v>0</v>
      </c>
      <c r="AE127" s="118">
        <v>0</v>
      </c>
      <c r="AF127" s="118">
        <v>0</v>
      </c>
      <c r="AG127" s="118">
        <v>0</v>
      </c>
      <c r="AH127" s="118">
        <v>0</v>
      </c>
      <c r="AI127" s="118">
        <v>20</v>
      </c>
      <c r="AJ127" s="118">
        <v>2.3E-2</v>
      </c>
      <c r="AK127" s="118">
        <v>0.5</v>
      </c>
      <c r="AL127" s="118">
        <v>20</v>
      </c>
      <c r="AM127" s="118">
        <v>3.5000000000000003E-2</v>
      </c>
      <c r="AN127" s="118">
        <v>216</v>
      </c>
      <c r="AO127" s="118">
        <v>272</v>
      </c>
      <c r="AP127" s="118">
        <v>6.5</v>
      </c>
      <c r="AQ127" s="118">
        <v>1.62</v>
      </c>
      <c r="AR127" s="118">
        <v>2.36</v>
      </c>
      <c r="AS127" s="118">
        <v>7.19</v>
      </c>
      <c r="AT127" s="118">
        <v>0.94699999999999995</v>
      </c>
      <c r="AU127" s="118">
        <v>126</v>
      </c>
      <c r="AV127" s="118">
        <v>0.54300000000000004</v>
      </c>
      <c r="AW127" s="118">
        <v>0.85</v>
      </c>
      <c r="AX127" s="118">
        <v>1.5</v>
      </c>
      <c r="AY127" s="118">
        <v>1.69</v>
      </c>
      <c r="AZ127" s="118">
        <v>0.54600000000000004</v>
      </c>
      <c r="BA127" s="118">
        <v>0.19800000000000001</v>
      </c>
      <c r="BB127" s="118">
        <v>0.72</v>
      </c>
      <c r="BC127" s="118">
        <v>0.80900000000000005</v>
      </c>
      <c r="BD127" s="118">
        <v>0.20699999999999999</v>
      </c>
      <c r="BE127" s="118">
        <v>0.95</v>
      </c>
      <c r="BF127" s="118">
        <v>1.1200000000000001</v>
      </c>
      <c r="BG127" s="118">
        <v>1.1000000000000001</v>
      </c>
      <c r="BH127" s="118">
        <v>1.89</v>
      </c>
      <c r="BI127" s="118">
        <v>2.75</v>
      </c>
      <c r="BJ127" s="118">
        <v>0.88500000000000001</v>
      </c>
      <c r="BK127" s="118">
        <v>0.65200000000000002</v>
      </c>
      <c r="BL127" s="118">
        <v>0.753</v>
      </c>
      <c r="BM127" s="118">
        <v>0.623</v>
      </c>
      <c r="BN127" s="118"/>
      <c r="BO127" s="118"/>
      <c r="BP127" s="118"/>
      <c r="BQ127" s="118">
        <v>73</v>
      </c>
      <c r="BR127" s="154" t="s">
        <v>85</v>
      </c>
      <c r="BS127" s="154">
        <v>8.8699999999999992</v>
      </c>
      <c r="BT127" s="154"/>
      <c r="BU127" s="154">
        <v>640</v>
      </c>
      <c r="BV127" s="154">
        <v>204</v>
      </c>
      <c r="BW127" s="154">
        <v>493</v>
      </c>
      <c r="BX127" s="154">
        <v>35.619999999999997</v>
      </c>
      <c r="BY127" s="154" t="s">
        <v>85</v>
      </c>
      <c r="BZ127" s="154">
        <v>190</v>
      </c>
      <c r="CA127" s="154" t="s">
        <v>85</v>
      </c>
      <c r="CB127" s="154" t="s">
        <v>85</v>
      </c>
      <c r="CC127" s="154">
        <v>137</v>
      </c>
      <c r="CD127" s="154">
        <v>217</v>
      </c>
      <c r="CE127" s="154">
        <v>17.91</v>
      </c>
      <c r="CF127" s="154">
        <v>119</v>
      </c>
      <c r="CG127" s="154">
        <v>80</v>
      </c>
    </row>
    <row r="128" spans="1:85">
      <c r="A128" s="122">
        <v>43004</v>
      </c>
      <c r="B128" s="122" t="s">
        <v>578</v>
      </c>
      <c r="C128" s="122" t="s">
        <v>579</v>
      </c>
      <c r="D128" s="122"/>
      <c r="E128" s="122" t="s">
        <v>103</v>
      </c>
      <c r="F128" s="122" t="s">
        <v>1282</v>
      </c>
      <c r="G128" s="163" t="s">
        <v>1283</v>
      </c>
      <c r="H128" s="122">
        <v>8</v>
      </c>
      <c r="I128" s="122" t="s">
        <v>514</v>
      </c>
      <c r="J128" s="118">
        <v>107</v>
      </c>
      <c r="K128" s="118">
        <v>76.3</v>
      </c>
      <c r="L128" s="118">
        <v>18.600000000000001</v>
      </c>
      <c r="M128" s="118">
        <v>3.6</v>
      </c>
      <c r="N128" s="118">
        <v>0</v>
      </c>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v>3.9</v>
      </c>
      <c r="AL128" s="118"/>
      <c r="AM128" s="118"/>
      <c r="AN128" s="118">
        <v>242</v>
      </c>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54" t="s">
        <v>85</v>
      </c>
      <c r="BS128" s="154" t="s">
        <v>85</v>
      </c>
      <c r="BT128" s="154"/>
      <c r="BU128" s="154">
        <v>100</v>
      </c>
      <c r="BV128" s="154">
        <v>8.5500000000000007</v>
      </c>
      <c r="BW128" s="154">
        <v>90.15</v>
      </c>
      <c r="BX128" s="154" t="s">
        <v>85</v>
      </c>
      <c r="BY128" s="154" t="s">
        <v>85</v>
      </c>
      <c r="BZ128" s="154">
        <v>21.44</v>
      </c>
      <c r="CA128" s="154" t="s">
        <v>85</v>
      </c>
      <c r="CB128" s="154">
        <v>27.42</v>
      </c>
      <c r="CC128" s="154">
        <v>64.36</v>
      </c>
      <c r="CD128" s="154">
        <v>86.38</v>
      </c>
      <c r="CE128" s="154">
        <v>15.87</v>
      </c>
      <c r="CF128" s="154">
        <v>93.05</v>
      </c>
      <c r="CG128" s="205"/>
    </row>
    <row r="129" spans="1:89">
      <c r="A129" s="122">
        <v>41007</v>
      </c>
      <c r="B129" s="122" t="s">
        <v>580</v>
      </c>
      <c r="C129" s="122" t="s">
        <v>581</v>
      </c>
      <c r="D129" s="122"/>
      <c r="E129" s="122" t="s">
        <v>76</v>
      </c>
      <c r="F129" s="122" t="s">
        <v>1284</v>
      </c>
      <c r="G129" s="163" t="s">
        <v>1285</v>
      </c>
      <c r="H129" s="122">
        <v>8</v>
      </c>
      <c r="I129" s="122" t="s">
        <v>514</v>
      </c>
      <c r="J129" s="118">
        <v>318</v>
      </c>
      <c r="K129" s="118">
        <v>20.100000000000001</v>
      </c>
      <c r="L129" s="118">
        <v>60.2</v>
      </c>
      <c r="M129" s="118">
        <v>8.58</v>
      </c>
      <c r="N129" s="118">
        <v>0</v>
      </c>
      <c r="O129" s="118">
        <v>0</v>
      </c>
      <c r="P129" s="118">
        <v>0.13</v>
      </c>
      <c r="Q129" s="118">
        <v>0.5</v>
      </c>
      <c r="R129" s="118">
        <v>1.96</v>
      </c>
      <c r="S129" s="118"/>
      <c r="T129" s="118">
        <v>0.38</v>
      </c>
      <c r="U129" s="118">
        <v>14</v>
      </c>
      <c r="V129" s="118"/>
      <c r="W129" s="118"/>
      <c r="X129" s="118">
        <v>1.03</v>
      </c>
      <c r="Y129" s="118"/>
      <c r="Z129" s="118">
        <v>0.4</v>
      </c>
      <c r="AA129" s="118"/>
      <c r="AB129" s="118"/>
      <c r="AC129" s="118"/>
      <c r="AD129" s="118"/>
      <c r="AE129" s="118"/>
      <c r="AF129" s="118"/>
      <c r="AG129" s="118"/>
      <c r="AH129" s="118"/>
      <c r="AI129" s="118">
        <v>939</v>
      </c>
      <c r="AJ129" s="118">
        <v>0.42</v>
      </c>
      <c r="AK129" s="118">
        <v>2.96</v>
      </c>
      <c r="AL129" s="118">
        <v>181.16</v>
      </c>
      <c r="AM129" s="118">
        <v>0.05</v>
      </c>
      <c r="AN129" s="118">
        <v>612.23</v>
      </c>
      <c r="AO129" s="118">
        <v>706.37</v>
      </c>
      <c r="AP129" s="118">
        <v>148</v>
      </c>
      <c r="AQ129" s="118">
        <v>0.56999999999999995</v>
      </c>
      <c r="AR129" s="118"/>
      <c r="AS129" s="118"/>
      <c r="AT129" s="118"/>
      <c r="AU129" s="118"/>
      <c r="AV129" s="124"/>
      <c r="AW129" s="124"/>
      <c r="AX129" s="124"/>
      <c r="AY129" s="124"/>
      <c r="AZ129" s="124"/>
      <c r="BA129" s="124"/>
      <c r="BB129" s="124"/>
      <c r="BC129" s="124"/>
      <c r="BD129" s="124"/>
      <c r="BE129" s="124"/>
      <c r="BF129" s="124"/>
      <c r="BG129" s="124"/>
      <c r="BH129" s="124"/>
      <c r="BI129" s="124"/>
      <c r="BJ129" s="124"/>
      <c r="BK129" s="124"/>
      <c r="BL129" s="124"/>
      <c r="BM129" s="124"/>
      <c r="BN129" s="118"/>
      <c r="BO129" s="118"/>
      <c r="BP129" s="118"/>
      <c r="BQ129" s="118"/>
      <c r="BR129" s="205"/>
      <c r="BS129" s="205"/>
      <c r="BT129" s="205"/>
      <c r="BU129" s="205"/>
      <c r="BV129" s="205"/>
      <c r="BW129" s="205"/>
      <c r="BX129" s="205"/>
      <c r="BY129" s="205"/>
      <c r="BZ129" s="205"/>
      <c r="CA129" s="205"/>
      <c r="CB129" s="205"/>
      <c r="CC129" s="205"/>
      <c r="CD129" s="205"/>
      <c r="CE129" s="205"/>
      <c r="CF129" s="205"/>
      <c r="CG129" s="205"/>
      <c r="CH129" s="205"/>
      <c r="CI129" s="205"/>
      <c r="CJ129" s="205"/>
      <c r="CK129" s="205"/>
    </row>
    <row r="130" spans="1:89">
      <c r="A130" s="122">
        <v>44001</v>
      </c>
      <c r="B130" s="122" t="s">
        <v>584</v>
      </c>
      <c r="C130" s="122" t="s">
        <v>585</v>
      </c>
      <c r="D130" s="127" t="s">
        <v>1286</v>
      </c>
      <c r="E130" s="122" t="s">
        <v>1287</v>
      </c>
      <c r="F130" s="122" t="s">
        <v>1288</v>
      </c>
      <c r="G130" s="163" t="s">
        <v>1289</v>
      </c>
      <c r="H130" s="122">
        <v>8</v>
      </c>
      <c r="I130" s="122" t="s">
        <v>514</v>
      </c>
      <c r="J130" s="118">
        <v>102</v>
      </c>
      <c r="K130" s="118">
        <v>74.75</v>
      </c>
      <c r="L130" s="118">
        <v>20.95</v>
      </c>
      <c r="M130" s="118">
        <v>2.04</v>
      </c>
      <c r="N130" s="118">
        <v>0</v>
      </c>
      <c r="O130" s="118">
        <v>0</v>
      </c>
      <c r="P130" s="118"/>
      <c r="Q130" s="118"/>
      <c r="R130" s="118"/>
      <c r="S130" s="118">
        <v>1.6</v>
      </c>
      <c r="T130" s="118"/>
      <c r="U130" s="118"/>
      <c r="V130" s="118"/>
      <c r="W130" s="118"/>
      <c r="X130" s="118"/>
      <c r="Y130" s="118"/>
      <c r="Z130" s="118"/>
      <c r="AA130" s="118">
        <v>1.57</v>
      </c>
      <c r="AB130" s="118">
        <v>2.48</v>
      </c>
      <c r="AC130" s="118"/>
      <c r="AD130" s="118">
        <v>10.96</v>
      </c>
      <c r="AE130" s="118"/>
      <c r="AF130" s="118"/>
      <c r="AG130" s="118"/>
      <c r="AH130" s="118"/>
      <c r="AI130" s="118">
        <v>18.25</v>
      </c>
      <c r="AJ130" s="118">
        <v>0.68</v>
      </c>
      <c r="AK130" s="118">
        <v>0.65</v>
      </c>
      <c r="AL130" s="118">
        <v>22.23</v>
      </c>
      <c r="AM130" s="118">
        <v>0.03</v>
      </c>
      <c r="AN130" s="118">
        <v>165.64</v>
      </c>
      <c r="AO130" s="118">
        <v>441.37</v>
      </c>
      <c r="AP130" s="118">
        <v>28.59</v>
      </c>
      <c r="AQ130" s="118">
        <v>1.25</v>
      </c>
      <c r="AR130" s="118">
        <v>0.82</v>
      </c>
      <c r="AS130" s="118">
        <v>0.76</v>
      </c>
      <c r="AT130" s="118">
        <v>0.18</v>
      </c>
      <c r="AU130" s="118">
        <v>148.63999999999999</v>
      </c>
      <c r="AV130" s="124"/>
      <c r="AW130" s="124"/>
      <c r="AX130" s="124"/>
      <c r="AY130" s="124"/>
      <c r="AZ130" s="124"/>
      <c r="BA130" s="124"/>
      <c r="BB130" s="124"/>
      <c r="BC130" s="124"/>
      <c r="BD130" s="124"/>
      <c r="BE130" s="124"/>
      <c r="BF130" s="124"/>
      <c r="BG130" s="124"/>
      <c r="BH130" s="124"/>
      <c r="BI130" s="124"/>
      <c r="BJ130" s="124"/>
      <c r="BK130" s="124"/>
      <c r="BL130" s="124"/>
      <c r="BM130" s="124"/>
      <c r="BN130" s="118"/>
      <c r="BO130" s="118"/>
      <c r="BP130" s="118"/>
      <c r="BQ130" s="205"/>
      <c r="BR130" s="154" t="s">
        <v>85</v>
      </c>
      <c r="BS130" s="154" t="s">
        <v>85</v>
      </c>
      <c r="BT130" s="154"/>
      <c r="BU130" s="154">
        <v>53.55</v>
      </c>
      <c r="BV130" s="154">
        <v>14.59</v>
      </c>
      <c r="BW130" s="154">
        <v>39.93</v>
      </c>
      <c r="BX130" s="154">
        <v>2.25</v>
      </c>
      <c r="BY130" s="154" t="s">
        <v>85</v>
      </c>
      <c r="BZ130" s="154">
        <v>17.75</v>
      </c>
      <c r="CA130" s="154" t="s">
        <v>85</v>
      </c>
      <c r="CB130" s="154" t="s">
        <v>85</v>
      </c>
      <c r="CC130" s="154">
        <v>17.87</v>
      </c>
      <c r="CD130" s="154">
        <v>28.81</v>
      </c>
      <c r="CE130" s="154">
        <v>27.14</v>
      </c>
      <c r="CF130" s="154">
        <v>27.94</v>
      </c>
      <c r="CG130" s="205">
        <v>5</v>
      </c>
      <c r="CH130" s="205"/>
      <c r="CI130" s="205"/>
      <c r="CJ130" s="205"/>
      <c r="CK130" s="205"/>
    </row>
    <row r="131" spans="1:89">
      <c r="A131" s="122">
        <v>45001</v>
      </c>
      <c r="B131" s="122" t="s">
        <v>593</v>
      </c>
      <c r="C131" s="122" t="s">
        <v>594</v>
      </c>
      <c r="D131" s="122"/>
      <c r="E131" s="122" t="s">
        <v>76</v>
      </c>
      <c r="F131" s="122" t="s">
        <v>1290</v>
      </c>
      <c r="G131" s="163" t="s">
        <v>1291</v>
      </c>
      <c r="H131" s="122">
        <v>8</v>
      </c>
      <c r="I131" s="122" t="s">
        <v>514</v>
      </c>
      <c r="J131" s="118">
        <v>146.24</v>
      </c>
      <c r="K131" s="118">
        <v>69.34</v>
      </c>
      <c r="L131" s="118">
        <v>24.68</v>
      </c>
      <c r="M131" s="118">
        <v>5.28</v>
      </c>
      <c r="N131" s="118">
        <v>0</v>
      </c>
      <c r="O131" s="118"/>
      <c r="P131" s="118">
        <v>0</v>
      </c>
      <c r="Q131" s="118">
        <v>0.19</v>
      </c>
      <c r="R131" s="118">
        <v>1.0900000000000001</v>
      </c>
      <c r="S131" s="118"/>
      <c r="T131" s="118">
        <v>148</v>
      </c>
      <c r="U131" s="118">
        <v>2059</v>
      </c>
      <c r="V131" s="118"/>
      <c r="W131" s="118"/>
      <c r="X131" s="118">
        <v>2.8</v>
      </c>
      <c r="Y131" s="118">
        <v>0.28000000000000003</v>
      </c>
      <c r="Z131" s="118"/>
      <c r="AA131" s="118">
        <v>2.5499999999999998</v>
      </c>
      <c r="AB131" s="118"/>
      <c r="AC131" s="118"/>
      <c r="AD131" s="118"/>
      <c r="AE131" s="118"/>
      <c r="AF131" s="118"/>
      <c r="AG131" s="118"/>
      <c r="AH131" s="118"/>
      <c r="AI131" s="118">
        <v>61.69</v>
      </c>
      <c r="AJ131" s="118">
        <v>0.08</v>
      </c>
      <c r="AK131" s="118">
        <v>6.65</v>
      </c>
      <c r="AL131" s="118">
        <v>59.93</v>
      </c>
      <c r="AM131" s="118">
        <v>0.5</v>
      </c>
      <c r="AN131" s="118">
        <v>445</v>
      </c>
      <c r="AO131" s="118">
        <v>252</v>
      </c>
      <c r="AP131" s="118">
        <v>43.57</v>
      </c>
      <c r="AQ131" s="118">
        <v>3.11</v>
      </c>
      <c r="AR131" s="118">
        <v>1.82</v>
      </c>
      <c r="AS131" s="118">
        <v>1.1299999999999999</v>
      </c>
      <c r="AT131" s="118">
        <v>1.44</v>
      </c>
      <c r="AU131" s="118">
        <v>269</v>
      </c>
      <c r="AV131" s="124">
        <v>1.12294</v>
      </c>
      <c r="AW131" s="124">
        <v>1.28583</v>
      </c>
      <c r="AX131" s="124">
        <v>1.98427</v>
      </c>
      <c r="AY131" s="124">
        <v>1.8164500000000001</v>
      </c>
      <c r="AZ131" s="124">
        <v>0.69103999999999999</v>
      </c>
      <c r="BA131" s="124">
        <v>0.40227999999999997</v>
      </c>
      <c r="BB131" s="124">
        <v>1.55484</v>
      </c>
      <c r="BC131" s="124">
        <v>1.28583</v>
      </c>
      <c r="BD131" s="124">
        <v>0.26161000000000001</v>
      </c>
      <c r="BE131" s="124">
        <v>1.27102</v>
      </c>
      <c r="BF131" s="124">
        <v>0.83417999999999992</v>
      </c>
      <c r="BG131" s="124">
        <v>1.6115999999999999</v>
      </c>
      <c r="BH131" s="124">
        <v>2.2977099999999999</v>
      </c>
      <c r="BI131" s="124">
        <v>3.0208300000000001</v>
      </c>
      <c r="BJ131" s="124">
        <v>1.3030999999999999</v>
      </c>
      <c r="BK131" s="124">
        <v>1.32778</v>
      </c>
      <c r="BL131" s="124">
        <v>1.1649</v>
      </c>
      <c r="BM131" s="124">
        <v>1.3746800000000001</v>
      </c>
      <c r="BN131" s="118"/>
      <c r="BO131" s="118"/>
      <c r="BP131" s="118"/>
      <c r="BQ131" s="118"/>
      <c r="BR131" s="154" t="s">
        <v>85</v>
      </c>
      <c r="BS131" s="154" t="s">
        <v>85</v>
      </c>
      <c r="BT131" s="154"/>
      <c r="BU131" s="154">
        <v>1206</v>
      </c>
      <c r="BV131" s="154">
        <v>197</v>
      </c>
      <c r="BW131" s="154">
        <v>905</v>
      </c>
      <c r="BX131" s="154">
        <v>23.32</v>
      </c>
      <c r="BY131" s="154" t="s">
        <v>85</v>
      </c>
      <c r="BZ131" s="154">
        <v>290</v>
      </c>
      <c r="CA131" s="154" t="s">
        <v>85</v>
      </c>
      <c r="CB131" s="154" t="s">
        <v>85</v>
      </c>
      <c r="CC131" s="154">
        <v>223</v>
      </c>
      <c r="CD131" s="154">
        <v>526</v>
      </c>
      <c r="CE131" s="154">
        <v>156</v>
      </c>
      <c r="CF131" s="154">
        <v>577</v>
      </c>
      <c r="CG131" s="205"/>
      <c r="CH131" s="205"/>
      <c r="CI131" s="205"/>
      <c r="CJ131" s="205"/>
      <c r="CK131" s="205"/>
    </row>
    <row r="132" spans="1:89">
      <c r="A132" s="122">
        <v>44002</v>
      </c>
      <c r="B132" s="122" t="s">
        <v>598</v>
      </c>
      <c r="C132" s="122" t="s">
        <v>599</v>
      </c>
      <c r="D132" s="122" t="s">
        <v>600</v>
      </c>
      <c r="E132" s="122" t="s">
        <v>1292</v>
      </c>
      <c r="F132" s="122" t="s">
        <v>1293</v>
      </c>
      <c r="G132" s="163" t="s">
        <v>1294</v>
      </c>
      <c r="H132" s="122">
        <v>8</v>
      </c>
      <c r="I132" s="122" t="s">
        <v>514</v>
      </c>
      <c r="J132" s="118">
        <v>60.93</v>
      </c>
      <c r="K132" s="118">
        <v>80.58</v>
      </c>
      <c r="L132" s="118">
        <v>13.23</v>
      </c>
      <c r="M132" s="118">
        <v>0.89</v>
      </c>
      <c r="N132" s="118">
        <v>0</v>
      </c>
      <c r="O132" s="118">
        <v>0</v>
      </c>
      <c r="P132" s="118">
        <v>0.01</v>
      </c>
      <c r="Q132" s="118">
        <v>0.11</v>
      </c>
      <c r="R132" s="118">
        <v>1.54</v>
      </c>
      <c r="S132" s="118">
        <v>0.79</v>
      </c>
      <c r="T132" s="118">
        <v>202</v>
      </c>
      <c r="U132" s="118">
        <v>1783</v>
      </c>
      <c r="V132" s="118">
        <v>13.5</v>
      </c>
      <c r="W132" s="118">
        <v>0</v>
      </c>
      <c r="X132" s="118">
        <v>1.2</v>
      </c>
      <c r="Y132" s="118">
        <v>4.8499999999999996</v>
      </c>
      <c r="Z132" s="118"/>
      <c r="AA132" s="118">
        <v>12.55</v>
      </c>
      <c r="AB132" s="118"/>
      <c r="AC132" s="118"/>
      <c r="AD132" s="118"/>
      <c r="AE132" s="118"/>
      <c r="AF132" s="118"/>
      <c r="AG132" s="118"/>
      <c r="AH132" s="118"/>
      <c r="AI132" s="118">
        <v>199</v>
      </c>
      <c r="AJ132" s="118">
        <v>0.52</v>
      </c>
      <c r="AK132" s="118">
        <v>1.1000000000000001</v>
      </c>
      <c r="AL132" s="118">
        <v>66.77</v>
      </c>
      <c r="AM132" s="118">
        <v>0.33</v>
      </c>
      <c r="AN132" s="118">
        <v>208</v>
      </c>
      <c r="AO132" s="118">
        <v>286</v>
      </c>
      <c r="AP132" s="118">
        <v>34.799999999999997</v>
      </c>
      <c r="AQ132" s="118">
        <v>2.4900000000000002</v>
      </c>
      <c r="AR132" s="118">
        <v>0.21</v>
      </c>
      <c r="AS132" s="118">
        <v>0.14000000000000001</v>
      </c>
      <c r="AT132" s="118">
        <v>0.26</v>
      </c>
      <c r="AU132" s="118">
        <v>52.91</v>
      </c>
      <c r="AV132" s="124">
        <v>0.51068000000000002</v>
      </c>
      <c r="AW132" s="124">
        <v>0.49348000000000003</v>
      </c>
      <c r="AX132" s="124">
        <v>0.68664000000000003</v>
      </c>
      <c r="AY132" s="124">
        <v>0.90228999999999993</v>
      </c>
      <c r="AZ132" s="124">
        <v>0.65752999999999995</v>
      </c>
      <c r="BA132" s="124">
        <v>1.75562</v>
      </c>
      <c r="BB132" s="124">
        <v>0.52125999999999995</v>
      </c>
      <c r="BC132" s="124">
        <v>0.45379000000000003</v>
      </c>
      <c r="BD132" s="124">
        <v>0.12304000000000001</v>
      </c>
      <c r="BE132" s="124">
        <v>0.52390999999999999</v>
      </c>
      <c r="BF132" s="124">
        <v>0.38632</v>
      </c>
      <c r="BG132" s="124">
        <v>0.69722000000000006</v>
      </c>
      <c r="BH132" s="124">
        <v>0.26856999999999998</v>
      </c>
      <c r="BI132" s="124">
        <v>1.21055</v>
      </c>
      <c r="BJ132" s="124">
        <v>1.1139700000000001</v>
      </c>
      <c r="BK132" s="124">
        <v>1.02268</v>
      </c>
      <c r="BL132" s="124">
        <v>0.50273999999999996</v>
      </c>
      <c r="BM132" s="124">
        <v>0.68398999999999999</v>
      </c>
      <c r="BN132" s="118"/>
      <c r="BO132" s="118"/>
      <c r="BP132" s="118"/>
      <c r="BQ132" s="154">
        <v>80.900000000000006</v>
      </c>
      <c r="BR132" s="205" t="s">
        <v>85</v>
      </c>
      <c r="BS132" s="205" t="s">
        <v>85</v>
      </c>
      <c r="BT132" s="205"/>
      <c r="BU132" s="205">
        <v>131</v>
      </c>
      <c r="BV132" s="205">
        <v>29.24</v>
      </c>
      <c r="BW132" s="205">
        <v>111</v>
      </c>
      <c r="BX132" s="205" t="s">
        <v>85</v>
      </c>
      <c r="BY132" s="205" t="s">
        <v>85</v>
      </c>
      <c r="BZ132" s="205">
        <v>16.260000000000002</v>
      </c>
      <c r="CA132" s="205" t="s">
        <v>85</v>
      </c>
      <c r="CB132" s="205" t="s">
        <v>85</v>
      </c>
      <c r="CC132" s="205">
        <v>49.09</v>
      </c>
      <c r="CD132" s="205">
        <v>71.8</v>
      </c>
      <c r="CE132" s="205">
        <v>82.64</v>
      </c>
      <c r="CF132" s="205">
        <v>108</v>
      </c>
      <c r="CG132" s="205">
        <v>103</v>
      </c>
      <c r="CH132" s="205"/>
      <c r="CI132" s="205"/>
      <c r="CJ132" s="205"/>
      <c r="CK132" s="205"/>
    </row>
    <row r="133" spans="1:89">
      <c r="A133" s="122">
        <v>51001</v>
      </c>
      <c r="B133" s="122" t="s">
        <v>602</v>
      </c>
      <c r="C133" s="122" t="s">
        <v>603</v>
      </c>
      <c r="D133" s="122" t="s">
        <v>604</v>
      </c>
      <c r="E133" s="122" t="s">
        <v>1295</v>
      </c>
      <c r="F133" s="122" t="s">
        <v>1296</v>
      </c>
      <c r="G133" s="163" t="s">
        <v>1297</v>
      </c>
      <c r="H133" s="122">
        <v>8</v>
      </c>
      <c r="I133" s="122" t="s">
        <v>606</v>
      </c>
      <c r="J133" s="118">
        <v>181.43</v>
      </c>
      <c r="K133" s="118">
        <v>67.930000000000007</v>
      </c>
      <c r="L133" s="118">
        <v>19.010000000000002</v>
      </c>
      <c r="M133" s="118">
        <v>11.71</v>
      </c>
      <c r="N133" s="118">
        <v>0</v>
      </c>
      <c r="O133" s="118"/>
      <c r="P133" s="118">
        <v>0.12</v>
      </c>
      <c r="Q133" s="118">
        <v>0.08</v>
      </c>
      <c r="R133" s="118">
        <v>3.72</v>
      </c>
      <c r="S133" s="118">
        <v>0.82</v>
      </c>
      <c r="T133" s="118">
        <v>0.45</v>
      </c>
      <c r="U133" s="118">
        <v>10.17</v>
      </c>
      <c r="V133" s="118"/>
      <c r="W133" s="118"/>
      <c r="X133" s="118">
        <v>0.9</v>
      </c>
      <c r="Y133" s="118">
        <v>0.55000000000000004</v>
      </c>
      <c r="Z133" s="118"/>
      <c r="AA133" s="118">
        <v>20.12</v>
      </c>
      <c r="AB133" s="118"/>
      <c r="AC133" s="118"/>
      <c r="AD133" s="118"/>
      <c r="AE133" s="118"/>
      <c r="AF133" s="118"/>
      <c r="AG133" s="118"/>
      <c r="AH133" s="118"/>
      <c r="AI133" s="118">
        <v>22.66</v>
      </c>
      <c r="AJ133" s="118">
        <v>0.23</v>
      </c>
      <c r="AK133" s="118">
        <v>1.08</v>
      </c>
      <c r="AL133" s="118">
        <v>24</v>
      </c>
      <c r="AM133" s="118">
        <v>0.03</v>
      </c>
      <c r="AN133" s="118">
        <v>234.75</v>
      </c>
      <c r="AO133" s="118">
        <v>325.25</v>
      </c>
      <c r="AP133" s="118">
        <v>20.22</v>
      </c>
      <c r="AQ133" s="118">
        <v>1.82</v>
      </c>
      <c r="AR133" s="118">
        <v>0.56000000000000005</v>
      </c>
      <c r="AS133" s="118">
        <v>0.68</v>
      </c>
      <c r="AT133" s="118">
        <v>0.37</v>
      </c>
      <c r="AU133" s="118">
        <v>75.3</v>
      </c>
      <c r="AV133" s="124">
        <v>0.89573000000000003</v>
      </c>
      <c r="AW133" s="124">
        <v>0.59921000000000002</v>
      </c>
      <c r="AX133" s="124">
        <v>1.47451</v>
      </c>
      <c r="AY133" s="124">
        <v>1.68929</v>
      </c>
      <c r="AZ133" s="124">
        <v>1.1808399999999999</v>
      </c>
      <c r="BA133" s="124">
        <v>1.73824</v>
      </c>
      <c r="BB133" s="124">
        <v>1.3737699999999999</v>
      </c>
      <c r="BC133" s="124">
        <v>1.0074000000000001</v>
      </c>
      <c r="BD133" s="124">
        <v>0.25898000000000004</v>
      </c>
      <c r="BE133" s="124">
        <v>0.98838999999999999</v>
      </c>
      <c r="BF133" s="124">
        <v>0.49562</v>
      </c>
      <c r="BG133" s="124">
        <v>2.9699200000000001</v>
      </c>
      <c r="BH133" s="124">
        <v>0.83157999999999999</v>
      </c>
      <c r="BI133" s="124">
        <v>0.21431</v>
      </c>
      <c r="BJ133" s="124">
        <v>0.86578999999999995</v>
      </c>
      <c r="BK133" s="124">
        <v>0.9418200000000001</v>
      </c>
      <c r="BL133" s="124">
        <v>0.90666000000000002</v>
      </c>
      <c r="BM133" s="124">
        <v>0.75602000000000003</v>
      </c>
      <c r="BN133" s="118"/>
      <c r="BO133" s="118"/>
      <c r="BP133" s="118"/>
      <c r="BQ133" s="118">
        <v>77.5</v>
      </c>
      <c r="BR133" s="205" t="s">
        <v>85</v>
      </c>
      <c r="BS133" s="205" t="s">
        <v>85</v>
      </c>
      <c r="BT133" s="205">
        <v>22.52</v>
      </c>
      <c r="BU133" s="205">
        <v>827</v>
      </c>
      <c r="BV133" s="205">
        <v>205</v>
      </c>
      <c r="BW133" s="205">
        <v>1342</v>
      </c>
      <c r="BX133" s="205">
        <v>13.35</v>
      </c>
      <c r="BY133" s="205" t="s">
        <v>85</v>
      </c>
      <c r="BZ133" s="205">
        <v>627</v>
      </c>
      <c r="CA133" s="205">
        <v>25.97</v>
      </c>
      <c r="CB133" s="205"/>
      <c r="CC133" s="205" t="s">
        <v>85</v>
      </c>
      <c r="CD133" s="205">
        <v>272</v>
      </c>
      <c r="CE133" s="205" t="s">
        <v>85</v>
      </c>
      <c r="CF133" s="205" t="s">
        <v>85</v>
      </c>
      <c r="CG133" s="205">
        <v>6</v>
      </c>
      <c r="CH133" s="205"/>
      <c r="CI133" s="205"/>
      <c r="CJ133" s="205"/>
      <c r="CK133" s="205"/>
    </row>
    <row r="134" spans="1:89">
      <c r="A134" s="122">
        <v>52001</v>
      </c>
      <c r="B134" s="122" t="s">
        <v>607</v>
      </c>
      <c r="C134" s="122" t="s">
        <v>608</v>
      </c>
      <c r="D134" s="122" t="s">
        <v>609</v>
      </c>
      <c r="E134" s="122" t="s">
        <v>1201</v>
      </c>
      <c r="F134" s="122" t="s">
        <v>1298</v>
      </c>
      <c r="G134" s="163" t="s">
        <v>1299</v>
      </c>
      <c r="H134" s="122">
        <v>7</v>
      </c>
      <c r="I134" s="122" t="s">
        <v>606</v>
      </c>
      <c r="J134" s="118">
        <v>119</v>
      </c>
      <c r="K134" s="118">
        <v>73.599999999999994</v>
      </c>
      <c r="L134" s="118">
        <v>21.5</v>
      </c>
      <c r="M134" s="118">
        <v>3.5</v>
      </c>
      <c r="N134" s="118">
        <v>0</v>
      </c>
      <c r="O134" s="118">
        <v>0</v>
      </c>
      <c r="P134" s="118">
        <v>0.06</v>
      </c>
      <c r="Q134" s="118">
        <v>0.14000000000000001</v>
      </c>
      <c r="R134" s="118">
        <v>5.33</v>
      </c>
      <c r="S134" s="118">
        <v>1.01</v>
      </c>
      <c r="T134" s="118">
        <v>0.31</v>
      </c>
      <c r="U134" s="118">
        <v>2</v>
      </c>
      <c r="V134" s="118"/>
      <c r="W134" s="118">
        <v>0</v>
      </c>
      <c r="X134" s="118">
        <v>0.35</v>
      </c>
      <c r="Y134" s="118">
        <v>0.06</v>
      </c>
      <c r="Z134" s="118"/>
      <c r="AA134" s="118">
        <v>6</v>
      </c>
      <c r="AB134" s="118">
        <v>6</v>
      </c>
      <c r="AC134" s="118"/>
      <c r="AD134" s="118">
        <v>0</v>
      </c>
      <c r="AE134" s="118"/>
      <c r="AF134" s="118"/>
      <c r="AG134" s="118"/>
      <c r="AH134" s="118"/>
      <c r="AI134" s="118">
        <v>15</v>
      </c>
      <c r="AJ134" s="118">
        <v>0.25</v>
      </c>
      <c r="AK134" s="118">
        <v>2.8</v>
      </c>
      <c r="AL134" s="118">
        <v>29</v>
      </c>
      <c r="AM134" s="118">
        <v>0.02</v>
      </c>
      <c r="AN134" s="118">
        <v>191</v>
      </c>
      <c r="AO134" s="118">
        <v>377</v>
      </c>
      <c r="AP134" s="118">
        <v>21.76</v>
      </c>
      <c r="AQ134" s="118">
        <v>3.39</v>
      </c>
      <c r="AR134" s="118">
        <v>0.08</v>
      </c>
      <c r="AS134" s="118">
        <v>0.05</v>
      </c>
      <c r="AT134" s="118">
        <v>0.01</v>
      </c>
      <c r="AU134" s="118">
        <v>85.16</v>
      </c>
      <c r="AV134" s="124">
        <v>1.0286999999999999</v>
      </c>
      <c r="AW134" s="124">
        <v>0.71087</v>
      </c>
      <c r="AX134" s="124">
        <v>1.4034500000000001</v>
      </c>
      <c r="AY134" s="124">
        <v>1.6501199999999998</v>
      </c>
      <c r="AZ134" s="124">
        <v>1.09918</v>
      </c>
      <c r="BA134" s="124">
        <v>1.9272799999999999</v>
      </c>
      <c r="BB134" s="124">
        <v>1.4983199999999999</v>
      </c>
      <c r="BC134" s="124">
        <v>0.99548999999999999</v>
      </c>
      <c r="BD134" s="124">
        <v>0.29816999999999999</v>
      </c>
      <c r="BE134" s="124">
        <v>0.92637000000000003</v>
      </c>
      <c r="BF134" s="124">
        <v>0.50961000000000001</v>
      </c>
      <c r="BG134" s="124">
        <v>2.9146399999999999</v>
      </c>
      <c r="BH134" s="124">
        <v>1.1737200000000001</v>
      </c>
      <c r="BI134" s="124">
        <v>0.29613999999999996</v>
      </c>
      <c r="BJ134" s="124">
        <v>0.88097000000000003</v>
      </c>
      <c r="BK134" s="124">
        <v>0.90874999999999995</v>
      </c>
      <c r="BL134" s="124">
        <v>0.88163999999999998</v>
      </c>
      <c r="BM134" s="124">
        <v>0.83489000000000002</v>
      </c>
      <c r="BN134" s="118"/>
      <c r="BO134" s="118"/>
      <c r="BP134" s="118"/>
      <c r="BQ134" s="118">
        <v>105.6</v>
      </c>
      <c r="BR134" s="205" t="s">
        <v>85</v>
      </c>
      <c r="BS134" s="205">
        <v>16.34</v>
      </c>
      <c r="BT134" s="205">
        <v>202</v>
      </c>
      <c r="BU134" s="205">
        <v>1383</v>
      </c>
      <c r="BV134" s="205">
        <v>113</v>
      </c>
      <c r="BW134" s="205">
        <v>2193</v>
      </c>
      <c r="BX134" s="205">
        <v>39.47</v>
      </c>
      <c r="BY134" s="205" t="s">
        <v>85</v>
      </c>
      <c r="BZ134" s="205">
        <v>184</v>
      </c>
      <c r="CA134" s="205">
        <v>16.12</v>
      </c>
      <c r="CB134" s="205"/>
      <c r="CC134" s="205">
        <v>59.35</v>
      </c>
      <c r="CD134" s="205">
        <v>1252</v>
      </c>
      <c r="CE134" s="205" t="s">
        <v>85</v>
      </c>
      <c r="CF134" s="205" t="s">
        <v>85</v>
      </c>
      <c r="CG134" s="205"/>
      <c r="CH134" s="205"/>
      <c r="CI134" s="205"/>
      <c r="CJ134" s="205"/>
      <c r="CK134" s="205"/>
    </row>
    <row r="135" spans="1:89">
      <c r="A135" s="122">
        <v>53001</v>
      </c>
      <c r="B135" s="122" t="s">
        <v>611</v>
      </c>
      <c r="C135" s="122" t="s">
        <v>612</v>
      </c>
      <c r="D135" s="122" t="s">
        <v>613</v>
      </c>
      <c r="E135" s="122" t="s">
        <v>1300</v>
      </c>
      <c r="F135" s="122" t="s">
        <v>1301</v>
      </c>
      <c r="G135" s="163" t="s">
        <v>1302</v>
      </c>
      <c r="H135" s="122">
        <v>7</v>
      </c>
      <c r="I135" s="122" t="s">
        <v>606</v>
      </c>
      <c r="J135" s="118">
        <v>106</v>
      </c>
      <c r="K135" s="118">
        <v>75.3</v>
      </c>
      <c r="L135" s="118">
        <v>19.7</v>
      </c>
      <c r="M135" s="118">
        <v>2.2999999999999998</v>
      </c>
      <c r="N135" s="118">
        <v>0</v>
      </c>
      <c r="O135" s="118">
        <v>0</v>
      </c>
      <c r="P135" s="118">
        <v>0.03</v>
      </c>
      <c r="Q135" s="118">
        <v>0.06</v>
      </c>
      <c r="R135" s="118">
        <v>6.2</v>
      </c>
      <c r="S135" s="118">
        <v>1.1399999999999999</v>
      </c>
      <c r="T135" s="118">
        <v>0.32</v>
      </c>
      <c r="U135" s="118">
        <v>7</v>
      </c>
      <c r="V135" s="118">
        <v>3.3</v>
      </c>
      <c r="W135" s="118">
        <v>0</v>
      </c>
      <c r="X135" s="118">
        <v>0.32</v>
      </c>
      <c r="Y135" s="118">
        <v>0.28999999999999998</v>
      </c>
      <c r="Z135" s="118"/>
      <c r="AA135" s="118">
        <v>18</v>
      </c>
      <c r="AB135" s="118">
        <v>18</v>
      </c>
      <c r="AC135" s="118"/>
      <c r="AD135" s="118">
        <v>0</v>
      </c>
      <c r="AE135" s="118"/>
      <c r="AF135" s="118"/>
      <c r="AG135" s="118"/>
      <c r="AH135" s="118"/>
      <c r="AI135" s="118">
        <v>5</v>
      </c>
      <c r="AJ135" s="118">
        <v>0.14000000000000001</v>
      </c>
      <c r="AK135" s="118">
        <v>1.9</v>
      </c>
      <c r="AL135" s="118">
        <v>18</v>
      </c>
      <c r="AM135" s="118">
        <v>0.01</v>
      </c>
      <c r="AN135" s="118">
        <v>151</v>
      </c>
      <c r="AO135" s="118">
        <v>375</v>
      </c>
      <c r="AP135" s="118">
        <v>11.54</v>
      </c>
      <c r="AQ135" s="118">
        <v>3.33</v>
      </c>
      <c r="AR135" s="118">
        <v>0.87</v>
      </c>
      <c r="AS135" s="118">
        <v>0.82</v>
      </c>
      <c r="AT135" s="118">
        <v>0.25</v>
      </c>
      <c r="AU135" s="118">
        <v>103.05</v>
      </c>
      <c r="AV135" s="124">
        <v>0.72599999999999998</v>
      </c>
      <c r="AW135" s="124">
        <v>0.95599999999999996</v>
      </c>
      <c r="AX135" s="124">
        <v>1.625</v>
      </c>
      <c r="AY135" s="124">
        <v>1.7210000000000001</v>
      </c>
      <c r="AZ135" s="124">
        <v>0.53500000000000003</v>
      </c>
      <c r="BA135" s="124">
        <v>0.14299999999999999</v>
      </c>
      <c r="BB135" s="124">
        <v>0.83199999999999996</v>
      </c>
      <c r="BC135" s="124">
        <v>0.89900000000000002</v>
      </c>
      <c r="BD135" s="124">
        <v>0.22</v>
      </c>
      <c r="BE135" s="124">
        <v>1.0509999999999999</v>
      </c>
      <c r="BF135" s="124">
        <v>1.2430000000000001</v>
      </c>
      <c r="BG135" s="124">
        <v>1.2430000000000001</v>
      </c>
      <c r="BH135" s="124">
        <v>1.8160000000000001</v>
      </c>
      <c r="BI135" s="124">
        <v>2.9630000000000001</v>
      </c>
      <c r="BJ135" s="124">
        <v>1.0509999999999999</v>
      </c>
      <c r="BK135" s="124">
        <v>0.83199999999999996</v>
      </c>
      <c r="BL135" s="124">
        <v>0.83199999999999996</v>
      </c>
      <c r="BM135" s="124">
        <v>0.69799999999999995</v>
      </c>
      <c r="BN135" s="118"/>
      <c r="BO135" s="118"/>
      <c r="BP135" s="118"/>
      <c r="BQ135" s="118">
        <v>60.7</v>
      </c>
      <c r="BR135" s="205" t="s">
        <v>85</v>
      </c>
      <c r="BS135" s="205">
        <v>14.18</v>
      </c>
      <c r="BT135" s="205">
        <v>168</v>
      </c>
      <c r="BU135" s="205">
        <v>1625</v>
      </c>
      <c r="BV135" s="205">
        <v>209</v>
      </c>
      <c r="BW135" s="205">
        <v>2440</v>
      </c>
      <c r="BX135" s="205">
        <v>30.87</v>
      </c>
      <c r="BY135" s="205" t="s">
        <v>85</v>
      </c>
      <c r="BZ135" s="205">
        <v>249</v>
      </c>
      <c r="CA135" s="205">
        <v>66.06</v>
      </c>
      <c r="CB135" s="205"/>
      <c r="CC135" s="205">
        <v>122</v>
      </c>
      <c r="CD135" s="205">
        <v>1188</v>
      </c>
      <c r="CE135" s="205" t="s">
        <v>85</v>
      </c>
      <c r="CF135" s="205" t="s">
        <v>85</v>
      </c>
      <c r="CG135" s="205">
        <v>11</v>
      </c>
      <c r="CH135" s="205"/>
      <c r="CI135" s="205"/>
      <c r="CJ135" s="205"/>
      <c r="CK135" s="205"/>
    </row>
    <row r="136" spans="1:89">
      <c r="A136" s="122">
        <v>53002</v>
      </c>
      <c r="B136" s="122" t="s">
        <v>615</v>
      </c>
      <c r="C136" s="122" t="s">
        <v>612</v>
      </c>
      <c r="D136" s="122" t="s">
        <v>613</v>
      </c>
      <c r="E136" s="122" t="s">
        <v>1300</v>
      </c>
      <c r="F136" s="122" t="s">
        <v>1303</v>
      </c>
      <c r="G136" s="163" t="s">
        <v>1304</v>
      </c>
      <c r="H136" s="122">
        <v>7</v>
      </c>
      <c r="I136" s="122" t="s">
        <v>606</v>
      </c>
      <c r="J136" s="118">
        <v>207</v>
      </c>
      <c r="K136" s="118">
        <v>65.400000000000006</v>
      </c>
      <c r="L136" s="118">
        <v>19.7</v>
      </c>
      <c r="M136" s="118">
        <v>14.2</v>
      </c>
      <c r="N136" s="118">
        <v>0</v>
      </c>
      <c r="O136" s="118">
        <v>0</v>
      </c>
      <c r="P136" s="118">
        <v>0.05</v>
      </c>
      <c r="Q136" s="118">
        <v>0.2</v>
      </c>
      <c r="R136" s="118">
        <v>5.6</v>
      </c>
      <c r="S136" s="118">
        <v>1.1399999999999999</v>
      </c>
      <c r="T136" s="118">
        <v>0.32</v>
      </c>
      <c r="U136" s="118">
        <v>9.0399999999999991</v>
      </c>
      <c r="V136" s="118">
        <v>2.1</v>
      </c>
      <c r="W136" s="118">
        <v>0</v>
      </c>
      <c r="X136" s="118">
        <v>0.6</v>
      </c>
      <c r="Y136" s="118">
        <v>0.35</v>
      </c>
      <c r="Z136" s="118"/>
      <c r="AA136" s="118">
        <v>15</v>
      </c>
      <c r="AB136" s="118">
        <v>15</v>
      </c>
      <c r="AC136" s="118"/>
      <c r="AD136" s="118"/>
      <c r="AE136" s="118"/>
      <c r="AF136" s="118"/>
      <c r="AG136" s="118"/>
      <c r="AH136" s="118"/>
      <c r="AI136" s="118">
        <v>5</v>
      </c>
      <c r="AJ136" s="118">
        <v>7.0000000000000007E-2</v>
      </c>
      <c r="AK136" s="118">
        <v>2.2000000000000002</v>
      </c>
      <c r="AL136" s="118">
        <v>22</v>
      </c>
      <c r="AM136" s="118"/>
      <c r="AN136" s="118">
        <v>170</v>
      </c>
      <c r="AO136" s="118">
        <v>309</v>
      </c>
      <c r="AP136" s="118"/>
      <c r="AQ136" s="118">
        <v>4.5999999999999996</v>
      </c>
      <c r="AR136" s="118">
        <v>7.05</v>
      </c>
      <c r="AS136" s="118">
        <v>6.23</v>
      </c>
      <c r="AT136" s="118">
        <v>1.01</v>
      </c>
      <c r="AU136" s="118">
        <v>66.36</v>
      </c>
      <c r="AV136" s="124">
        <v>0.66</v>
      </c>
      <c r="AW136" s="124">
        <v>0.95</v>
      </c>
      <c r="AX136" s="124">
        <v>1.5</v>
      </c>
      <c r="AY136" s="124">
        <v>1.6</v>
      </c>
      <c r="AZ136" s="124">
        <v>0.47</v>
      </c>
      <c r="BA136" s="124">
        <v>0.14000000000000001</v>
      </c>
      <c r="BB136" s="124">
        <v>0.76</v>
      </c>
      <c r="BC136" s="124">
        <v>0.82</v>
      </c>
      <c r="BD136" s="124">
        <v>0.22</v>
      </c>
      <c r="BE136" s="124">
        <v>1</v>
      </c>
      <c r="BF136" s="124">
        <v>1.1000000000000001</v>
      </c>
      <c r="BG136" s="124">
        <v>1.2</v>
      </c>
      <c r="BH136" s="124">
        <v>1.7</v>
      </c>
      <c r="BI136" s="124">
        <v>2.8</v>
      </c>
      <c r="BJ136" s="124">
        <v>1.1000000000000001</v>
      </c>
      <c r="BK136" s="124">
        <v>0.88</v>
      </c>
      <c r="BL136" s="124">
        <v>0.79</v>
      </c>
      <c r="BM136" s="124">
        <v>0.63</v>
      </c>
      <c r="BN136" s="118"/>
      <c r="BO136" s="118"/>
      <c r="BP136" s="118"/>
      <c r="BQ136" s="118">
        <v>60.7</v>
      </c>
      <c r="BR136" s="205" t="s">
        <v>85</v>
      </c>
      <c r="BS136" s="205">
        <v>14.18</v>
      </c>
      <c r="BT136" s="205">
        <v>168</v>
      </c>
      <c r="BU136" s="205">
        <v>1625</v>
      </c>
      <c r="BV136" s="205">
        <v>209</v>
      </c>
      <c r="BW136" s="205">
        <v>2440</v>
      </c>
      <c r="BX136" s="205">
        <v>30.87</v>
      </c>
      <c r="BY136" s="205" t="s">
        <v>85</v>
      </c>
      <c r="BZ136" s="205">
        <v>249</v>
      </c>
      <c r="CA136" s="205">
        <v>66.06</v>
      </c>
      <c r="CB136" s="205"/>
      <c r="CC136" s="205">
        <v>122</v>
      </c>
      <c r="CD136" s="205">
        <v>1188</v>
      </c>
      <c r="CE136" s="205" t="s">
        <v>85</v>
      </c>
      <c r="CF136" s="205" t="s">
        <v>85</v>
      </c>
      <c r="CG136" s="205">
        <v>9</v>
      </c>
      <c r="CH136" s="205"/>
      <c r="CI136" s="205"/>
      <c r="CJ136" s="205"/>
      <c r="CK136" s="205"/>
    </row>
    <row r="137" spans="1:89">
      <c r="A137" s="122">
        <v>51002</v>
      </c>
      <c r="B137" s="122" t="s">
        <v>617</v>
      </c>
      <c r="C137" s="122" t="s">
        <v>618</v>
      </c>
      <c r="D137" s="122" t="s">
        <v>619</v>
      </c>
      <c r="E137" s="122" t="s">
        <v>1108</v>
      </c>
      <c r="F137" s="122" t="s">
        <v>1305</v>
      </c>
      <c r="G137" s="163" t="s">
        <v>1306</v>
      </c>
      <c r="H137" s="122">
        <v>7</v>
      </c>
      <c r="I137" s="122" t="s">
        <v>606</v>
      </c>
      <c r="J137" s="118">
        <v>130</v>
      </c>
      <c r="K137" s="118">
        <v>72.3</v>
      </c>
      <c r="L137" s="118">
        <v>21.6</v>
      </c>
      <c r="M137" s="118">
        <v>4.8</v>
      </c>
      <c r="N137" s="118">
        <v>0</v>
      </c>
      <c r="O137" s="118">
        <v>0</v>
      </c>
      <c r="P137" s="118">
        <v>0.36</v>
      </c>
      <c r="Q137" s="118">
        <v>0.45</v>
      </c>
      <c r="R137" s="118">
        <v>4.3499999999999996</v>
      </c>
      <c r="S137" s="118">
        <v>0.74</v>
      </c>
      <c r="T137" s="118">
        <v>0.34</v>
      </c>
      <c r="U137" s="118">
        <v>25</v>
      </c>
      <c r="V137" s="118">
        <v>1.1399999999999999</v>
      </c>
      <c r="W137" s="118">
        <v>0</v>
      </c>
      <c r="X137" s="118">
        <v>0.92</v>
      </c>
      <c r="Y137" s="118">
        <v>0.02</v>
      </c>
      <c r="Z137" s="118"/>
      <c r="AA137" s="118">
        <v>24</v>
      </c>
      <c r="AB137" s="118">
        <v>24</v>
      </c>
      <c r="AC137" s="118">
        <v>0</v>
      </c>
      <c r="AD137" s="118">
        <v>0</v>
      </c>
      <c r="AE137" s="118"/>
      <c r="AF137" s="118"/>
      <c r="AG137" s="118"/>
      <c r="AH137" s="118"/>
      <c r="AI137" s="118">
        <v>4</v>
      </c>
      <c r="AJ137" s="118">
        <v>0.25</v>
      </c>
      <c r="AK137" s="118">
        <v>2.4</v>
      </c>
      <c r="AL137" s="118">
        <v>19</v>
      </c>
      <c r="AM137" s="118">
        <v>0.06</v>
      </c>
      <c r="AN137" s="118">
        <v>235</v>
      </c>
      <c r="AO137" s="118">
        <v>271</v>
      </c>
      <c r="AP137" s="118">
        <v>23.55</v>
      </c>
      <c r="AQ137" s="118">
        <v>1.9</v>
      </c>
      <c r="AR137" s="118">
        <v>0.35</v>
      </c>
      <c r="AS137" s="118">
        <v>2.2200000000000002</v>
      </c>
      <c r="AT137" s="118">
        <v>0.3</v>
      </c>
      <c r="AU137" s="118">
        <v>81.760000000000005</v>
      </c>
      <c r="AV137" s="124">
        <v>1.0126200000000001</v>
      </c>
      <c r="AW137" s="124">
        <v>0.6216799999999999</v>
      </c>
      <c r="AX137" s="124">
        <v>1.39402</v>
      </c>
      <c r="AY137" s="124">
        <v>1.5942499999999999</v>
      </c>
      <c r="AZ137" s="124">
        <v>1.2281099999999998</v>
      </c>
      <c r="BA137" s="124">
        <v>1.77542</v>
      </c>
      <c r="BB137" s="124">
        <v>1.42072</v>
      </c>
      <c r="BC137" s="124">
        <v>0.97065999999999997</v>
      </c>
      <c r="BD137" s="124">
        <v>0.29368</v>
      </c>
      <c r="BE137" s="124">
        <v>1.01834</v>
      </c>
      <c r="BF137" s="124">
        <v>0.50536000000000003</v>
      </c>
      <c r="BG137" s="124">
        <v>2.85859</v>
      </c>
      <c r="BH137" s="124">
        <v>0.91536000000000006</v>
      </c>
      <c r="BI137" s="124">
        <v>0.21740000000000001</v>
      </c>
      <c r="BJ137" s="124">
        <v>0.85242999999999991</v>
      </c>
      <c r="BK137" s="124">
        <v>1.04122</v>
      </c>
      <c r="BL137" s="124">
        <v>0.8448</v>
      </c>
      <c r="BM137" s="124">
        <v>0.87530999999999992</v>
      </c>
      <c r="BN137" s="118"/>
      <c r="BO137" s="118"/>
      <c r="BP137" s="118"/>
      <c r="BQ137" s="118"/>
      <c r="BR137" s="205" t="s">
        <v>85</v>
      </c>
      <c r="BS137" s="205" t="s">
        <v>85</v>
      </c>
      <c r="BT137" s="205" t="s">
        <v>85</v>
      </c>
      <c r="BU137" s="205">
        <v>287</v>
      </c>
      <c r="BV137" s="205">
        <v>1467</v>
      </c>
      <c r="BW137" s="205">
        <v>748</v>
      </c>
      <c r="BX137" s="205" t="s">
        <v>85</v>
      </c>
      <c r="BY137" s="205" t="s">
        <v>85</v>
      </c>
      <c r="BZ137" s="205">
        <v>217</v>
      </c>
      <c r="CA137" s="205">
        <v>86.54</v>
      </c>
      <c r="CB137" s="205"/>
      <c r="CC137" s="205" t="s">
        <v>85</v>
      </c>
      <c r="CD137" s="205">
        <v>58</v>
      </c>
      <c r="CE137" s="205" t="s">
        <v>85</v>
      </c>
      <c r="CF137" s="205" t="s">
        <v>85</v>
      </c>
      <c r="CG137" s="205" t="s">
        <v>1165</v>
      </c>
      <c r="CH137" s="205"/>
      <c r="CI137" s="205"/>
      <c r="CJ137" s="205"/>
      <c r="CK137" s="205"/>
    </row>
    <row r="138" spans="1:89">
      <c r="A138" s="122">
        <v>54001</v>
      </c>
      <c r="B138" s="122" t="s">
        <v>621</v>
      </c>
      <c r="C138" s="122" t="s">
        <v>622</v>
      </c>
      <c r="D138" s="122" t="s">
        <v>623</v>
      </c>
      <c r="E138" s="122" t="s">
        <v>1108</v>
      </c>
      <c r="F138" s="122" t="s">
        <v>1307</v>
      </c>
      <c r="G138" s="163" t="s">
        <v>1308</v>
      </c>
      <c r="H138" s="122">
        <v>7</v>
      </c>
      <c r="I138" s="122" t="s">
        <v>606</v>
      </c>
      <c r="J138" s="118">
        <v>137</v>
      </c>
      <c r="K138" s="118">
        <v>70.400000000000006</v>
      </c>
      <c r="L138" s="118">
        <v>23.3</v>
      </c>
      <c r="M138" s="118">
        <v>4.9000000000000004</v>
      </c>
      <c r="N138" s="118">
        <v>0</v>
      </c>
      <c r="O138" s="118">
        <v>0</v>
      </c>
      <c r="P138" s="118">
        <v>0.26</v>
      </c>
      <c r="Q138" s="118">
        <v>0.26</v>
      </c>
      <c r="R138" s="118">
        <v>7.97</v>
      </c>
      <c r="S138" s="118">
        <v>0.79</v>
      </c>
      <c r="T138" s="118">
        <v>0.57999999999999996</v>
      </c>
      <c r="U138" s="118">
        <v>4</v>
      </c>
      <c r="V138" s="118"/>
      <c r="W138" s="118">
        <v>5.6</v>
      </c>
      <c r="X138" s="118">
        <v>1.21</v>
      </c>
      <c r="Y138" s="118"/>
      <c r="Z138" s="118"/>
      <c r="AA138" s="118">
        <v>18.43</v>
      </c>
      <c r="AB138" s="118">
        <v>18.43</v>
      </c>
      <c r="AC138" s="118"/>
      <c r="AD138" s="118"/>
      <c r="AE138" s="118"/>
      <c r="AF138" s="118"/>
      <c r="AG138" s="118"/>
      <c r="AH138" s="118"/>
      <c r="AI138" s="118">
        <v>12</v>
      </c>
      <c r="AJ138" s="118">
        <v>0.47</v>
      </c>
      <c r="AK138" s="118">
        <v>2.52</v>
      </c>
      <c r="AL138" s="118">
        <v>30.49</v>
      </c>
      <c r="AM138" s="118">
        <v>0.04</v>
      </c>
      <c r="AN138" s="118">
        <v>290</v>
      </c>
      <c r="AO138" s="118">
        <v>283.14999999999998</v>
      </c>
      <c r="AP138" s="118">
        <v>19.32</v>
      </c>
      <c r="AQ138" s="118">
        <v>2.94</v>
      </c>
      <c r="AR138" s="118">
        <v>1.83</v>
      </c>
      <c r="AS138" s="118">
        <v>2.59</v>
      </c>
      <c r="AT138" s="118">
        <v>1.28</v>
      </c>
      <c r="AU138" s="118">
        <v>107</v>
      </c>
      <c r="AV138" s="124">
        <v>0.87547000000000008</v>
      </c>
      <c r="AW138" s="124">
        <v>0.44312000000000001</v>
      </c>
      <c r="AX138" s="124">
        <v>1.2952699999999999</v>
      </c>
      <c r="AY138" s="124">
        <v>1.49261</v>
      </c>
      <c r="AZ138" s="124">
        <v>1.13201</v>
      </c>
      <c r="BA138" s="124">
        <v>1.6056300000000001</v>
      </c>
      <c r="BB138" s="124">
        <v>1.18225</v>
      </c>
      <c r="BC138" s="124">
        <v>0.94723000000000002</v>
      </c>
      <c r="BD138" s="124">
        <v>0.29063</v>
      </c>
      <c r="BE138" s="124">
        <v>0.80909000000000009</v>
      </c>
      <c r="BF138" s="124">
        <v>0.54178999999999999</v>
      </c>
      <c r="BG138" s="124">
        <v>2.5797699999999999</v>
      </c>
      <c r="BH138" s="124">
        <v>0.85574000000000006</v>
      </c>
      <c r="BI138" s="124">
        <v>0.20810000000000001</v>
      </c>
      <c r="BJ138" s="124">
        <v>0.74272000000000005</v>
      </c>
      <c r="BK138" s="124">
        <v>0.95620000000000005</v>
      </c>
      <c r="BL138" s="124">
        <v>0.75169000000000008</v>
      </c>
      <c r="BM138" s="124">
        <v>0.64942999999999995</v>
      </c>
      <c r="BN138" s="118"/>
      <c r="BO138" s="118"/>
      <c r="BP138" s="118"/>
      <c r="BQ138" s="118"/>
      <c r="BR138" s="205" t="s">
        <v>85</v>
      </c>
      <c r="BS138" s="205" t="s">
        <v>85</v>
      </c>
      <c r="BT138" s="205">
        <v>10.72</v>
      </c>
      <c r="BU138" s="205">
        <v>939</v>
      </c>
      <c r="BV138" s="205">
        <v>283</v>
      </c>
      <c r="BW138" s="205">
        <v>2305</v>
      </c>
      <c r="BX138" s="205" t="s">
        <v>85</v>
      </c>
      <c r="BY138" s="205" t="s">
        <v>85</v>
      </c>
      <c r="BZ138" s="205">
        <v>958</v>
      </c>
      <c r="CA138" s="205" t="s">
        <v>85</v>
      </c>
      <c r="CB138" s="205"/>
      <c r="CC138" s="205">
        <v>200</v>
      </c>
      <c r="CD138" s="205">
        <v>879</v>
      </c>
      <c r="CE138" s="205">
        <v>94.93</v>
      </c>
      <c r="CF138" s="205">
        <v>29.29</v>
      </c>
      <c r="CG138" s="205"/>
      <c r="CH138" s="205"/>
      <c r="CI138" s="205"/>
      <c r="CJ138" s="205"/>
      <c r="CK138" s="205"/>
    </row>
    <row r="139" spans="1:89">
      <c r="A139" s="122">
        <v>55001</v>
      </c>
      <c r="B139" s="122" t="s">
        <v>625</v>
      </c>
      <c r="C139" s="122" t="s">
        <v>626</v>
      </c>
      <c r="D139" s="122" t="s">
        <v>604</v>
      </c>
      <c r="E139" s="122" t="s">
        <v>1129</v>
      </c>
      <c r="F139" s="122" t="s">
        <v>1309</v>
      </c>
      <c r="G139" s="163" t="s">
        <v>1310</v>
      </c>
      <c r="H139" s="122">
        <v>7</v>
      </c>
      <c r="I139" s="122" t="s">
        <v>628</v>
      </c>
      <c r="J139" s="118">
        <v>114</v>
      </c>
      <c r="K139" s="118">
        <v>76.459999999999994</v>
      </c>
      <c r="L139" s="118">
        <v>16.920000000000002</v>
      </c>
      <c r="M139" s="118">
        <v>4.83</v>
      </c>
      <c r="N139" s="118">
        <v>0.73</v>
      </c>
      <c r="O139" s="118">
        <v>0</v>
      </c>
      <c r="P139" s="118">
        <v>0.31</v>
      </c>
      <c r="Q139" s="118">
        <v>1.78</v>
      </c>
      <c r="R139" s="118">
        <v>9.73</v>
      </c>
      <c r="S139" s="118">
        <v>6.39</v>
      </c>
      <c r="T139" s="118">
        <v>0.85</v>
      </c>
      <c r="U139" s="118">
        <v>588</v>
      </c>
      <c r="V139" s="118">
        <v>35</v>
      </c>
      <c r="W139" s="118">
        <v>17.899999999999999</v>
      </c>
      <c r="X139" s="118">
        <v>2.6</v>
      </c>
      <c r="Y139" s="118">
        <v>0.7</v>
      </c>
      <c r="Z139" s="118"/>
      <c r="AA139" s="118">
        <v>3290</v>
      </c>
      <c r="AB139" s="118">
        <v>3295.58</v>
      </c>
      <c r="AC139" s="118">
        <v>11</v>
      </c>
      <c r="AD139" s="118">
        <v>56</v>
      </c>
      <c r="AE139" s="118"/>
      <c r="AF139" s="118"/>
      <c r="AG139" s="118"/>
      <c r="AH139" s="118"/>
      <c r="AI139" s="118">
        <v>18.350000000000001</v>
      </c>
      <c r="AJ139" s="118">
        <v>0.28999999999999998</v>
      </c>
      <c r="AK139" s="118">
        <v>8.99</v>
      </c>
      <c r="AL139" s="118">
        <v>19</v>
      </c>
      <c r="AM139" s="118">
        <v>0.21</v>
      </c>
      <c r="AN139" s="118">
        <v>297</v>
      </c>
      <c r="AO139" s="118">
        <v>230</v>
      </c>
      <c r="AP139" s="118">
        <v>46.35</v>
      </c>
      <c r="AQ139" s="118">
        <v>2.5</v>
      </c>
      <c r="AR139" s="118">
        <v>1.33</v>
      </c>
      <c r="AS139" s="118">
        <v>0.68</v>
      </c>
      <c r="AT139" s="118">
        <v>1.01</v>
      </c>
      <c r="AU139" s="118">
        <v>268</v>
      </c>
      <c r="AV139" s="124">
        <v>1.0396700000000001</v>
      </c>
      <c r="AW139" s="124">
        <v>0.69023999999999996</v>
      </c>
      <c r="AX139" s="124">
        <v>1.76874</v>
      </c>
      <c r="AY139" s="124">
        <v>2.1419000000000001</v>
      </c>
      <c r="AZ139" s="124">
        <v>1.3200799999999999</v>
      </c>
      <c r="BA139" s="124">
        <v>2.01248</v>
      </c>
      <c r="BB139" s="124">
        <v>1.4214599999999999</v>
      </c>
      <c r="BC139" s="124">
        <v>1.3589100000000001</v>
      </c>
      <c r="BD139" s="124">
        <v>0.32786000000000004</v>
      </c>
      <c r="BE139" s="124">
        <v>1.2553699999999999</v>
      </c>
      <c r="BF139" s="124">
        <v>0.54571999999999998</v>
      </c>
      <c r="BG139" s="124">
        <v>2.7480199999999999</v>
      </c>
      <c r="BH139" s="124">
        <v>1.00301</v>
      </c>
      <c r="BI139" s="124">
        <v>0.31061</v>
      </c>
      <c r="BJ139" s="124">
        <v>0.97280999999999995</v>
      </c>
      <c r="BK139" s="124">
        <v>1.10223</v>
      </c>
      <c r="BL139" s="124">
        <v>0.95771000000000006</v>
      </c>
      <c r="BM139" s="124">
        <v>0.82181999999999999</v>
      </c>
      <c r="BN139" s="118"/>
      <c r="BO139" s="118"/>
      <c r="BP139" s="118"/>
      <c r="BQ139" s="118">
        <v>199.5</v>
      </c>
      <c r="BR139" s="154" t="s">
        <v>85</v>
      </c>
      <c r="BS139" s="154" t="s">
        <v>85</v>
      </c>
      <c r="BT139" s="154" t="s">
        <v>85</v>
      </c>
      <c r="BU139" s="154">
        <v>677</v>
      </c>
      <c r="BV139" s="154" t="s">
        <v>85</v>
      </c>
      <c r="BW139" s="154">
        <v>681</v>
      </c>
      <c r="BX139" s="154" t="s">
        <v>85</v>
      </c>
      <c r="BY139" s="154" t="s">
        <v>85</v>
      </c>
      <c r="BZ139" s="154">
        <v>680</v>
      </c>
      <c r="CA139" s="154">
        <v>140</v>
      </c>
      <c r="CB139" s="154"/>
      <c r="CC139" s="154" t="s">
        <v>85</v>
      </c>
      <c r="CD139" s="154">
        <v>651</v>
      </c>
      <c r="CE139" s="154" t="s">
        <v>85</v>
      </c>
      <c r="CF139" s="154">
        <v>194</v>
      </c>
      <c r="CG139" s="206" t="s">
        <v>1165</v>
      </c>
      <c r="CH139" s="206"/>
      <c r="CI139" s="206"/>
      <c r="CJ139" s="206"/>
      <c r="CK139" s="205"/>
    </row>
    <row r="140" spans="1:89">
      <c r="A140" s="122">
        <v>55002</v>
      </c>
      <c r="B140" s="122" t="s">
        <v>629</v>
      </c>
      <c r="C140" s="122" t="s">
        <v>630</v>
      </c>
      <c r="D140" s="127"/>
      <c r="E140" s="122" t="s">
        <v>82</v>
      </c>
      <c r="F140" s="122" t="s">
        <v>631</v>
      </c>
      <c r="G140" s="163" t="s">
        <v>632</v>
      </c>
      <c r="H140" s="122">
        <v>6</v>
      </c>
      <c r="I140" s="122" t="s">
        <v>628</v>
      </c>
      <c r="J140" s="118">
        <v>125.48</v>
      </c>
      <c r="K140" s="118">
        <v>78.12</v>
      </c>
      <c r="L140" s="118">
        <v>12.92</v>
      </c>
      <c r="M140" s="118">
        <v>8.26</v>
      </c>
      <c r="N140" s="118"/>
      <c r="O140" s="118"/>
      <c r="P140" s="118">
        <v>0.01</v>
      </c>
      <c r="Q140" s="118">
        <v>0.11</v>
      </c>
      <c r="R140" s="118">
        <v>0.64</v>
      </c>
      <c r="S140" s="118">
        <v>0.53</v>
      </c>
      <c r="T140" s="118">
        <v>0.21</v>
      </c>
      <c r="U140" s="118">
        <v>1.87</v>
      </c>
      <c r="V140" s="118"/>
      <c r="W140" s="118"/>
      <c r="X140" s="120"/>
      <c r="Y140" s="118">
        <v>0.19</v>
      </c>
      <c r="Z140" s="118"/>
      <c r="AA140" s="118">
        <v>2.62</v>
      </c>
      <c r="AB140" s="125">
        <f t="shared" ref="AB140" si="0">AA140+1/12*(AD140)+1/24*(AC140)+1/24*(AG140)</f>
        <v>2.62</v>
      </c>
      <c r="AC140" s="118"/>
      <c r="AD140" s="118"/>
      <c r="AE140" s="118"/>
      <c r="AF140" s="118"/>
      <c r="AG140" s="118"/>
      <c r="AH140" s="118"/>
      <c r="AI140" s="118">
        <v>27.52</v>
      </c>
      <c r="AJ140" s="118">
        <v>0.06</v>
      </c>
      <c r="AK140" s="118">
        <v>2.21</v>
      </c>
      <c r="AL140" s="118">
        <v>7.14</v>
      </c>
      <c r="AM140" s="118">
        <v>0.05</v>
      </c>
      <c r="AN140" s="118">
        <v>55.9</v>
      </c>
      <c r="AO140" s="118">
        <v>130</v>
      </c>
      <c r="AP140" s="118">
        <v>26.09</v>
      </c>
      <c r="AQ140" s="118">
        <v>1.1200000000000001</v>
      </c>
      <c r="AR140" s="118">
        <v>4.4450000000000003</v>
      </c>
      <c r="AS140" s="118">
        <v>2.504</v>
      </c>
      <c r="AT140" s="118">
        <v>0.61899999999999999</v>
      </c>
      <c r="AU140" s="118">
        <v>176</v>
      </c>
      <c r="AV140" s="118">
        <v>4.55</v>
      </c>
      <c r="AW140" s="118">
        <v>3.9</v>
      </c>
      <c r="AX140" s="118">
        <v>7.01</v>
      </c>
      <c r="AY140" s="118">
        <v>7.5</v>
      </c>
      <c r="AZ140" s="118">
        <v>5.75</v>
      </c>
      <c r="BA140" s="118">
        <v>8.2799999999999994</v>
      </c>
      <c r="BB140" s="118">
        <v>7.42</v>
      </c>
      <c r="BC140" s="118">
        <v>4.4400000000000004</v>
      </c>
      <c r="BD140" s="118">
        <v>1.47</v>
      </c>
      <c r="BE140" s="118">
        <v>4.1399999999999997</v>
      </c>
      <c r="BF140" s="118">
        <v>2.31</v>
      </c>
      <c r="BG140" s="118">
        <v>12.78</v>
      </c>
      <c r="BH140" s="118">
        <v>9.2899999999999991</v>
      </c>
      <c r="BI140" s="118">
        <v>1.44</v>
      </c>
      <c r="BJ140" s="118">
        <v>5.3</v>
      </c>
      <c r="BK140" s="118">
        <v>3.5</v>
      </c>
      <c r="BL140" s="118">
        <v>4.6100000000000003</v>
      </c>
      <c r="BM140" s="118">
        <v>3.13</v>
      </c>
      <c r="BN140" s="118"/>
      <c r="BO140" s="118"/>
      <c r="BP140" s="118"/>
      <c r="BQ140" s="118"/>
      <c r="BR140" s="154" t="s">
        <v>85</v>
      </c>
      <c r="BS140" s="154">
        <v>28.28</v>
      </c>
      <c r="BT140" s="154">
        <v>294</v>
      </c>
      <c r="BU140" s="154">
        <v>1961</v>
      </c>
      <c r="BV140" s="154">
        <v>113</v>
      </c>
      <c r="BW140" s="154">
        <v>2339</v>
      </c>
      <c r="BX140" s="154">
        <v>51.1</v>
      </c>
      <c r="BY140" s="154" t="s">
        <v>85</v>
      </c>
      <c r="BZ140" s="154">
        <v>340</v>
      </c>
      <c r="CA140" s="154">
        <v>33.46</v>
      </c>
      <c r="CB140" s="154"/>
      <c r="CC140" s="154">
        <v>245</v>
      </c>
      <c r="CD140" s="154">
        <v>2103</v>
      </c>
      <c r="CE140" s="154" t="s">
        <v>85</v>
      </c>
      <c r="CF140" s="210" t="s">
        <v>85</v>
      </c>
      <c r="CG140" s="154"/>
      <c r="CH140" s="154"/>
      <c r="CI140" s="154"/>
      <c r="CJ140" s="205"/>
      <c r="CK140" s="207"/>
    </row>
    <row r="141" spans="1:89">
      <c r="A141" s="122">
        <v>55003</v>
      </c>
      <c r="B141" s="122" t="s">
        <v>635</v>
      </c>
      <c r="C141" s="122" t="s">
        <v>636</v>
      </c>
      <c r="D141" s="127" t="s">
        <v>604</v>
      </c>
      <c r="E141" s="122" t="s">
        <v>1311</v>
      </c>
      <c r="F141" s="121" t="s">
        <v>1312</v>
      </c>
      <c r="G141" s="163" t="s">
        <v>638</v>
      </c>
      <c r="H141" s="122">
        <v>6</v>
      </c>
      <c r="I141" s="122" t="s">
        <v>606</v>
      </c>
      <c r="J141" s="118">
        <v>349</v>
      </c>
      <c r="K141" s="118">
        <v>54.2</v>
      </c>
      <c r="L141" s="118">
        <v>13.3</v>
      </c>
      <c r="M141" s="118">
        <v>32.4</v>
      </c>
      <c r="N141" s="118">
        <v>0</v>
      </c>
      <c r="O141" s="118">
        <v>0</v>
      </c>
      <c r="P141" s="118">
        <v>3.3000000000000002E-2</v>
      </c>
      <c r="Q141" s="118">
        <v>6.9000000000000006E-2</v>
      </c>
      <c r="R141" s="118">
        <v>3.99</v>
      </c>
      <c r="S141" s="118">
        <v>0.69199999999999995</v>
      </c>
      <c r="T141" s="118">
        <v>0.09</v>
      </c>
      <c r="U141" s="118">
        <v>3</v>
      </c>
      <c r="V141" s="118">
        <v>0.23</v>
      </c>
      <c r="W141" s="118">
        <v>0</v>
      </c>
      <c r="X141" s="118">
        <v>0.6</v>
      </c>
      <c r="Y141" s="118">
        <v>0</v>
      </c>
      <c r="Z141" s="118">
        <v>2.9</v>
      </c>
      <c r="AA141" s="118">
        <v>76</v>
      </c>
      <c r="AB141" s="118">
        <v>76</v>
      </c>
      <c r="AC141" s="118">
        <v>0</v>
      </c>
      <c r="AD141" s="118">
        <v>6</v>
      </c>
      <c r="AE141" s="118">
        <v>0</v>
      </c>
      <c r="AF141" s="118">
        <v>0</v>
      </c>
      <c r="AG141" s="118">
        <v>0</v>
      </c>
      <c r="AH141" s="118">
        <v>0</v>
      </c>
      <c r="AI141" s="118">
        <v>11</v>
      </c>
      <c r="AJ141" s="118">
        <v>4.1000000000000002E-2</v>
      </c>
      <c r="AK141" s="118">
        <v>1.08</v>
      </c>
      <c r="AL141" s="118">
        <v>13</v>
      </c>
      <c r="AM141" s="118">
        <v>1.9E-2</v>
      </c>
      <c r="AN141" s="118">
        <v>100</v>
      </c>
      <c r="AO141" s="118">
        <v>103</v>
      </c>
      <c r="AP141" s="118">
        <v>12.3</v>
      </c>
      <c r="AQ141" s="118">
        <v>0.93</v>
      </c>
      <c r="AR141" s="118">
        <v>9.08</v>
      </c>
      <c r="AS141" s="118">
        <v>13.5</v>
      </c>
      <c r="AT141" s="118">
        <v>6.81</v>
      </c>
      <c r="AU141" s="118">
        <v>109</v>
      </c>
      <c r="AV141" s="118">
        <v>0.25600000000000001</v>
      </c>
      <c r="AW141" s="118">
        <v>0.42899999999999999</v>
      </c>
      <c r="AX141" s="118">
        <v>0.78300000000000003</v>
      </c>
      <c r="AY141" s="118">
        <v>0.79600000000000004</v>
      </c>
      <c r="AZ141" s="118">
        <v>0.26700000000000002</v>
      </c>
      <c r="BA141" s="118">
        <v>0.222</v>
      </c>
      <c r="BB141" s="118">
        <v>0.45</v>
      </c>
      <c r="BC141" s="118">
        <v>0.47599999999999998</v>
      </c>
      <c r="BD141" s="118">
        <v>0.107</v>
      </c>
      <c r="BE141" s="118">
        <v>0.56100000000000005</v>
      </c>
      <c r="BF141" s="118">
        <v>1.08</v>
      </c>
      <c r="BG141" s="118">
        <v>1.03</v>
      </c>
      <c r="BH141" s="118">
        <v>1.19</v>
      </c>
      <c r="BI141" s="118">
        <v>1.66</v>
      </c>
      <c r="BJ141" s="118">
        <v>2.13</v>
      </c>
      <c r="BK141" s="118">
        <v>1.24</v>
      </c>
      <c r="BL141" s="118">
        <v>0.54200000000000004</v>
      </c>
      <c r="BM141" s="118">
        <v>0.30299999999999999</v>
      </c>
      <c r="BN141" s="118"/>
      <c r="BO141" s="118"/>
      <c r="BP141" s="118"/>
      <c r="BQ141" s="118">
        <v>45.3</v>
      </c>
      <c r="BR141" s="154">
        <v>0</v>
      </c>
      <c r="BS141" s="154">
        <v>40</v>
      </c>
      <c r="BT141" s="154">
        <v>327</v>
      </c>
      <c r="BU141" s="154">
        <v>8667</v>
      </c>
      <c r="BV141" s="154">
        <v>2380</v>
      </c>
      <c r="BW141" s="154">
        <v>13804</v>
      </c>
      <c r="BX141" s="154">
        <v>526</v>
      </c>
      <c r="BY141" s="154">
        <v>0</v>
      </c>
      <c r="BZ141" s="154">
        <v>7765</v>
      </c>
      <c r="CA141" s="154">
        <v>327</v>
      </c>
      <c r="CB141" s="154">
        <v>10</v>
      </c>
      <c r="CC141" s="154">
        <v>109</v>
      </c>
      <c r="CD141" s="154">
        <v>2003</v>
      </c>
      <c r="CE141" s="154">
        <v>20</v>
      </c>
      <c r="CF141" s="210">
        <v>40</v>
      </c>
      <c r="CG141" s="205">
        <v>16</v>
      </c>
      <c r="CH141" s="205"/>
      <c r="CI141" s="205"/>
      <c r="CJ141" s="205"/>
      <c r="CK141" s="207"/>
    </row>
    <row r="142" spans="1:89">
      <c r="A142" s="122">
        <v>56001</v>
      </c>
      <c r="B142" s="122" t="s">
        <v>639</v>
      </c>
      <c r="C142" s="122" t="s">
        <v>640</v>
      </c>
      <c r="D142" s="127" t="s">
        <v>604</v>
      </c>
      <c r="E142" s="122" t="s">
        <v>1295</v>
      </c>
      <c r="F142" s="122" t="s">
        <v>1313</v>
      </c>
      <c r="G142" s="163" t="s">
        <v>1314</v>
      </c>
      <c r="H142" s="122">
        <v>7</v>
      </c>
      <c r="I142" s="122" t="s">
        <v>642</v>
      </c>
      <c r="J142" s="118">
        <v>139</v>
      </c>
      <c r="K142" s="118">
        <v>72.31</v>
      </c>
      <c r="L142" s="118">
        <v>14.49</v>
      </c>
      <c r="M142" s="118">
        <v>9</v>
      </c>
      <c r="N142" s="118"/>
      <c r="O142" s="118">
        <v>0</v>
      </c>
      <c r="P142" s="118">
        <v>0.18</v>
      </c>
      <c r="Q142" s="118">
        <v>0.4</v>
      </c>
      <c r="R142" s="118">
        <v>0.1</v>
      </c>
      <c r="S142" s="118">
        <v>1.47</v>
      </c>
      <c r="T142" s="118">
        <v>0.15</v>
      </c>
      <c r="U142" s="118">
        <v>50</v>
      </c>
      <c r="V142" s="118">
        <v>2</v>
      </c>
      <c r="W142" s="118">
        <v>0</v>
      </c>
      <c r="X142" s="118">
        <v>4.67</v>
      </c>
      <c r="Y142" s="118">
        <v>0.83</v>
      </c>
      <c r="Z142" s="118"/>
      <c r="AA142" s="118">
        <v>165.25</v>
      </c>
      <c r="AB142" s="118">
        <v>165.25</v>
      </c>
      <c r="AC142" s="118">
        <v>0</v>
      </c>
      <c r="AD142" s="118">
        <v>0</v>
      </c>
      <c r="AE142" s="118"/>
      <c r="AF142" s="118"/>
      <c r="AG142" s="118"/>
      <c r="AH142" s="118"/>
      <c r="AI142" s="118">
        <v>29</v>
      </c>
      <c r="AJ142" s="118">
        <v>0.3</v>
      </c>
      <c r="AK142" s="118">
        <v>1.54</v>
      </c>
      <c r="AL142" s="118">
        <v>20.88</v>
      </c>
      <c r="AM142" s="118">
        <v>0.02</v>
      </c>
      <c r="AN142" s="118">
        <v>220</v>
      </c>
      <c r="AO142" s="118">
        <v>110.43</v>
      </c>
      <c r="AP142" s="118">
        <v>62.33</v>
      </c>
      <c r="AQ142" s="118">
        <v>2.36</v>
      </c>
      <c r="AR142" s="118">
        <v>2.7</v>
      </c>
      <c r="AS142" s="118">
        <v>3.5</v>
      </c>
      <c r="AT142" s="118">
        <v>1.21</v>
      </c>
      <c r="AU142" s="118">
        <v>309.38</v>
      </c>
      <c r="AV142" s="124">
        <v>0.19800000000000001</v>
      </c>
      <c r="AW142" s="124">
        <v>0.91300000000000003</v>
      </c>
      <c r="AX142" s="124">
        <v>1.05</v>
      </c>
      <c r="AY142" s="124">
        <v>0.62</v>
      </c>
      <c r="AZ142" s="124">
        <v>0.45500000000000002</v>
      </c>
      <c r="BA142" s="124">
        <v>0.38200000000000001</v>
      </c>
      <c r="BB142" s="124">
        <v>1.2330000000000001</v>
      </c>
      <c r="BC142" s="124">
        <v>0.442</v>
      </c>
      <c r="BD142" s="124">
        <v>0.22</v>
      </c>
      <c r="BE142" s="124">
        <v>0.91200000000000003</v>
      </c>
      <c r="BF142" s="124">
        <v>1.2949999999999999</v>
      </c>
      <c r="BG142" s="124">
        <v>0.64400000000000002</v>
      </c>
      <c r="BH142" s="124">
        <v>1.577</v>
      </c>
      <c r="BI142" s="124">
        <v>2.024</v>
      </c>
      <c r="BJ142" s="124">
        <v>0.60199999999999998</v>
      </c>
      <c r="BK142" s="124">
        <v>0.505</v>
      </c>
      <c r="BL142" s="124">
        <v>1.103</v>
      </c>
      <c r="BM142" s="124">
        <v>0.33400000000000002</v>
      </c>
      <c r="BN142" s="118"/>
      <c r="BO142" s="118"/>
      <c r="BP142" s="118"/>
      <c r="BQ142" s="118">
        <v>335</v>
      </c>
      <c r="BR142" s="154" t="s">
        <v>85</v>
      </c>
      <c r="BS142" s="154" t="s">
        <v>85</v>
      </c>
      <c r="BT142" s="154">
        <v>35.26</v>
      </c>
      <c r="BU142" s="154">
        <v>2730</v>
      </c>
      <c r="BV142" s="154">
        <v>254</v>
      </c>
      <c r="BW142" s="154">
        <v>4765</v>
      </c>
      <c r="BX142" s="154">
        <v>42.32</v>
      </c>
      <c r="BY142" s="154" t="s">
        <v>85</v>
      </c>
      <c r="BZ142" s="154">
        <v>1518</v>
      </c>
      <c r="CA142" s="154">
        <v>39.950000000000003</v>
      </c>
      <c r="CB142" s="154"/>
      <c r="CC142" s="154" t="s">
        <v>85</v>
      </c>
      <c r="CD142" s="154">
        <v>4.08</v>
      </c>
      <c r="CE142" s="154" t="s">
        <v>85</v>
      </c>
      <c r="CF142" s="210">
        <v>92.46</v>
      </c>
      <c r="CG142" s="154">
        <v>4</v>
      </c>
      <c r="CH142" s="154"/>
      <c r="CI142" s="154"/>
      <c r="CJ142" s="205"/>
      <c r="CK142" s="207"/>
    </row>
    <row r="143" spans="1:89">
      <c r="A143" s="122">
        <v>56002</v>
      </c>
      <c r="B143" s="122" t="s">
        <v>643</v>
      </c>
      <c r="C143" s="122" t="s">
        <v>644</v>
      </c>
      <c r="D143" s="122" t="s">
        <v>619</v>
      </c>
      <c r="E143" s="122" t="s">
        <v>76</v>
      </c>
      <c r="F143" s="122" t="s">
        <v>1315</v>
      </c>
      <c r="G143" s="163" t="s">
        <v>1316</v>
      </c>
      <c r="H143" s="122">
        <v>9</v>
      </c>
      <c r="I143" s="122" t="s">
        <v>642</v>
      </c>
      <c r="J143" s="118">
        <v>188</v>
      </c>
      <c r="K143" s="118">
        <v>69.7</v>
      </c>
      <c r="L143" s="118">
        <v>13.48</v>
      </c>
      <c r="M143" s="118">
        <v>14.29</v>
      </c>
      <c r="N143" s="118">
        <v>1.44</v>
      </c>
      <c r="O143" s="118">
        <v>0</v>
      </c>
      <c r="P143" s="118">
        <v>0.12</v>
      </c>
      <c r="Q143" s="118">
        <v>0.26</v>
      </c>
      <c r="R143" s="118">
        <v>0.2</v>
      </c>
      <c r="S143" s="118">
        <v>0.51</v>
      </c>
      <c r="T143" s="118">
        <v>0.25</v>
      </c>
      <c r="U143" s="118">
        <v>80</v>
      </c>
      <c r="V143" s="118">
        <v>5.4</v>
      </c>
      <c r="W143" s="118">
        <v>0</v>
      </c>
      <c r="X143" s="118">
        <v>2.67</v>
      </c>
      <c r="Y143" s="118">
        <v>1.39</v>
      </c>
      <c r="Z143" s="118"/>
      <c r="AA143" s="118">
        <v>360</v>
      </c>
      <c r="AB143" s="118">
        <v>361.73</v>
      </c>
      <c r="AC143" s="118">
        <v>0</v>
      </c>
      <c r="AD143" s="118">
        <v>14.53</v>
      </c>
      <c r="AE143" s="118"/>
      <c r="AF143" s="118"/>
      <c r="AG143" s="118"/>
      <c r="AH143" s="118"/>
      <c r="AI143" s="118">
        <v>65</v>
      </c>
      <c r="AJ143" s="118">
        <v>0.06</v>
      </c>
      <c r="AK143" s="118">
        <v>2.42</v>
      </c>
      <c r="AL143" s="118">
        <v>10.66</v>
      </c>
      <c r="AM143" s="118">
        <v>0.06</v>
      </c>
      <c r="AN143" s="118">
        <v>220</v>
      </c>
      <c r="AO143" s="118">
        <v>222</v>
      </c>
      <c r="AP143" s="118">
        <v>46.33</v>
      </c>
      <c r="AQ143" s="118">
        <v>1.41</v>
      </c>
      <c r="AR143" s="118">
        <v>3.83</v>
      </c>
      <c r="AS143" s="118">
        <v>6.73</v>
      </c>
      <c r="AT143" s="118">
        <v>1.24</v>
      </c>
      <c r="AU143" s="118">
        <v>884</v>
      </c>
      <c r="AV143" s="124">
        <v>0.34799999999999998</v>
      </c>
      <c r="AW143" s="124">
        <v>0.63200000000000001</v>
      </c>
      <c r="AX143" s="124">
        <v>1.1579999999999999</v>
      </c>
      <c r="AY143" s="124">
        <v>0.99</v>
      </c>
      <c r="AZ143" s="124">
        <v>0.6</v>
      </c>
      <c r="BA143" s="124">
        <v>0.30499999999999999</v>
      </c>
      <c r="BB143" s="124">
        <v>0.88500000000000001</v>
      </c>
      <c r="BC143" s="124">
        <v>0.77900000000000003</v>
      </c>
      <c r="BD143" s="124">
        <v>0.28399999999999997</v>
      </c>
      <c r="BE143" s="124">
        <v>0.92700000000000005</v>
      </c>
      <c r="BF143" s="124">
        <v>0.67400000000000004</v>
      </c>
      <c r="BG143" s="124">
        <v>0.8</v>
      </c>
      <c r="BH143" s="124">
        <v>0.82099999999999995</v>
      </c>
      <c r="BI143" s="124">
        <v>1.8959999999999999</v>
      </c>
      <c r="BJ143" s="124">
        <v>0.45300000000000001</v>
      </c>
      <c r="BK143" s="124">
        <v>0.495</v>
      </c>
      <c r="BL143" s="124">
        <v>1.0109999999999999</v>
      </c>
      <c r="BM143" s="124">
        <v>0.65300000000000002</v>
      </c>
      <c r="BN143" s="118"/>
      <c r="BO143" s="118"/>
      <c r="BP143" s="118"/>
      <c r="BQ143" s="118"/>
      <c r="BR143" s="154" t="s">
        <v>85</v>
      </c>
      <c r="BS143" s="154">
        <v>4.51</v>
      </c>
      <c r="BT143" s="154">
        <v>38.65</v>
      </c>
      <c r="BU143" s="154">
        <v>2640</v>
      </c>
      <c r="BV143" s="154">
        <v>399</v>
      </c>
      <c r="BW143" s="154">
        <v>5638</v>
      </c>
      <c r="BX143" s="154">
        <v>5.77</v>
      </c>
      <c r="BY143" s="154">
        <v>10.43</v>
      </c>
      <c r="BZ143" s="154">
        <v>1453</v>
      </c>
      <c r="CA143" s="154">
        <v>45.94</v>
      </c>
      <c r="CB143" s="154"/>
      <c r="CC143" s="154">
        <v>133</v>
      </c>
      <c r="CD143" s="154">
        <v>632</v>
      </c>
      <c r="CE143" s="154">
        <v>35.97</v>
      </c>
      <c r="CF143" s="210">
        <v>16.2</v>
      </c>
      <c r="CG143" s="154" t="s">
        <v>85</v>
      </c>
      <c r="CH143" s="154"/>
      <c r="CI143" s="154"/>
      <c r="CJ143" s="205"/>
      <c r="CK143" s="207"/>
    </row>
    <row r="144" spans="1:89">
      <c r="A144" s="122">
        <v>57201</v>
      </c>
      <c r="B144" s="122" t="s">
        <v>646</v>
      </c>
      <c r="C144" s="122" t="s">
        <v>647</v>
      </c>
      <c r="D144" s="122" t="s">
        <v>613</v>
      </c>
      <c r="E144" s="122" t="s">
        <v>1317</v>
      </c>
      <c r="F144" s="122" t="s">
        <v>1318</v>
      </c>
      <c r="G144" s="163" t="s">
        <v>648</v>
      </c>
      <c r="H144" s="122">
        <v>9</v>
      </c>
      <c r="I144" s="122" t="s">
        <v>649</v>
      </c>
      <c r="J144" s="118">
        <v>78</v>
      </c>
      <c r="K144" s="118">
        <v>85.3</v>
      </c>
      <c r="L144" s="118">
        <v>3.82</v>
      </c>
      <c r="M144" s="118">
        <v>4.4800000000000004</v>
      </c>
      <c r="N144" s="118">
        <v>5.57</v>
      </c>
      <c r="O144" s="118"/>
      <c r="P144" s="118">
        <v>5.5E-2</v>
      </c>
      <c r="Q144" s="118">
        <v>0.24299999999999999</v>
      </c>
      <c r="R144" s="118">
        <v>0.13500000000000001</v>
      </c>
      <c r="S144" s="118"/>
      <c r="T144" s="118">
        <v>4.4999999999999998E-2</v>
      </c>
      <c r="U144" s="118"/>
      <c r="V144" s="118"/>
      <c r="W144" s="118"/>
      <c r="X144" s="118">
        <v>0.78</v>
      </c>
      <c r="Y144" s="118"/>
      <c r="Z144" s="118">
        <v>0.2</v>
      </c>
      <c r="AA144" s="118">
        <v>48</v>
      </c>
      <c r="AB144" s="118"/>
      <c r="AC144" s="118"/>
      <c r="AD144" s="118"/>
      <c r="AE144" s="118"/>
      <c r="AF144" s="118"/>
      <c r="AG144" s="118"/>
      <c r="AH144" s="118"/>
      <c r="AI144" s="118">
        <v>127</v>
      </c>
      <c r="AJ144" s="118">
        <v>3.0000000000000001E-3</v>
      </c>
      <c r="AK144" s="118">
        <v>0.1</v>
      </c>
      <c r="AL144" s="118">
        <v>11.4</v>
      </c>
      <c r="AM144" s="118">
        <v>2E-3</v>
      </c>
      <c r="AN144" s="118">
        <v>101</v>
      </c>
      <c r="AO144" s="118">
        <v>164</v>
      </c>
      <c r="AP144" s="118"/>
      <c r="AQ144" s="118">
        <v>0.43</v>
      </c>
      <c r="AR144" s="118">
        <v>2.3199999999999998</v>
      </c>
      <c r="AS144" s="118">
        <v>0.874</v>
      </c>
      <c r="AT144" s="118"/>
      <c r="AU144" s="118">
        <v>14</v>
      </c>
      <c r="AV144" s="118" t="s">
        <v>1098</v>
      </c>
      <c r="AW144" s="118" t="s">
        <v>1098</v>
      </c>
      <c r="AX144" s="118" t="s">
        <v>1098</v>
      </c>
      <c r="AY144" s="118" t="s">
        <v>1098</v>
      </c>
      <c r="AZ144" s="118" t="s">
        <v>1098</v>
      </c>
      <c r="BA144" s="118" t="s">
        <v>1098</v>
      </c>
      <c r="BB144" s="118" t="s">
        <v>1098</v>
      </c>
      <c r="BC144" s="118" t="s">
        <v>1098</v>
      </c>
      <c r="BD144" s="118" t="s">
        <v>1098</v>
      </c>
      <c r="BE144" s="118" t="s">
        <v>1098</v>
      </c>
      <c r="BF144" s="118" t="s">
        <v>1098</v>
      </c>
      <c r="BG144" s="118" t="s">
        <v>1098</v>
      </c>
      <c r="BH144" s="118" t="s">
        <v>1098</v>
      </c>
      <c r="BI144" s="118" t="s">
        <v>1098</v>
      </c>
      <c r="BJ144" s="118" t="s">
        <v>1098</v>
      </c>
      <c r="BK144" s="118" t="s">
        <v>1098</v>
      </c>
      <c r="BL144" s="118" t="s">
        <v>1098</v>
      </c>
      <c r="BM144" s="118" t="s">
        <v>1098</v>
      </c>
      <c r="BN144" s="118"/>
      <c r="BO144" s="118"/>
      <c r="BP144" s="118"/>
      <c r="BQ144" s="118">
        <v>15.1</v>
      </c>
      <c r="BR144" s="205">
        <v>264</v>
      </c>
      <c r="BS144" s="205">
        <v>130</v>
      </c>
      <c r="BT144" s="205">
        <v>418</v>
      </c>
      <c r="BU144" s="205">
        <v>1080</v>
      </c>
      <c r="BV144" s="205">
        <v>49</v>
      </c>
      <c r="BW144" s="205">
        <v>836</v>
      </c>
      <c r="BX144" s="205">
        <v>34</v>
      </c>
      <c r="BY144" s="205">
        <v>0</v>
      </c>
      <c r="BZ144" s="205">
        <v>106</v>
      </c>
      <c r="CA144" s="205">
        <v>23</v>
      </c>
      <c r="CB144" s="205">
        <v>0</v>
      </c>
      <c r="CC144" s="205">
        <v>0</v>
      </c>
      <c r="CD144" s="205">
        <v>338</v>
      </c>
      <c r="CE144" s="205">
        <v>0</v>
      </c>
      <c r="CF144" s="211">
        <v>4</v>
      </c>
      <c r="CG144" s="205">
        <v>39</v>
      </c>
      <c r="CH144" s="205"/>
      <c r="CI144" s="205"/>
      <c r="CJ144" s="205"/>
      <c r="CK144" s="207"/>
    </row>
    <row r="145" spans="1:89">
      <c r="A145" s="122">
        <v>57202</v>
      </c>
      <c r="B145" s="122" t="s">
        <v>650</v>
      </c>
      <c r="C145" s="122" t="s">
        <v>651</v>
      </c>
      <c r="D145" s="122" t="s">
        <v>613</v>
      </c>
      <c r="E145" s="122" t="s">
        <v>1081</v>
      </c>
      <c r="F145" s="122" t="s">
        <v>1319</v>
      </c>
      <c r="G145" s="163" t="s">
        <v>652</v>
      </c>
      <c r="H145" s="122">
        <v>5</v>
      </c>
      <c r="I145" s="122" t="s">
        <v>649</v>
      </c>
      <c r="J145" s="118">
        <v>94</v>
      </c>
      <c r="K145" s="118">
        <v>80.599999999999994</v>
      </c>
      <c r="L145" s="118">
        <v>3.16</v>
      </c>
      <c r="M145" s="118">
        <v>4</v>
      </c>
      <c r="N145" s="118">
        <v>11.44</v>
      </c>
      <c r="O145" s="118">
        <v>0</v>
      </c>
      <c r="P145" s="118">
        <v>0.05</v>
      </c>
      <c r="Q145" s="118">
        <v>0.16</v>
      </c>
      <c r="R145" s="118">
        <v>0.2</v>
      </c>
      <c r="S145" s="118"/>
      <c r="T145" s="118">
        <v>0.05</v>
      </c>
      <c r="U145" s="118">
        <v>8.5</v>
      </c>
      <c r="V145" s="118">
        <v>0.25</v>
      </c>
      <c r="W145" s="118">
        <v>1</v>
      </c>
      <c r="X145" s="118"/>
      <c r="Y145" s="118">
        <v>0.08</v>
      </c>
      <c r="Z145" s="118"/>
      <c r="AA145" s="118">
        <v>31</v>
      </c>
      <c r="AB145" s="118">
        <v>32.18</v>
      </c>
      <c r="AC145" s="118"/>
      <c r="AD145" s="118"/>
      <c r="AE145" s="118"/>
      <c r="AF145" s="118"/>
      <c r="AG145" s="118"/>
      <c r="AH145" s="118"/>
      <c r="AI145" s="118">
        <v>103</v>
      </c>
      <c r="AJ145" s="118">
        <v>0.05</v>
      </c>
      <c r="AK145" s="118">
        <v>0.09</v>
      </c>
      <c r="AL145" s="118">
        <v>13</v>
      </c>
      <c r="AM145" s="118"/>
      <c r="AN145" s="118">
        <v>90</v>
      </c>
      <c r="AO145" s="118">
        <v>131.16</v>
      </c>
      <c r="AP145" s="118"/>
      <c r="AQ145" s="118">
        <v>0.45</v>
      </c>
      <c r="AR145" s="118"/>
      <c r="AS145" s="118"/>
      <c r="AT145" s="118"/>
      <c r="AU145" s="118">
        <v>11.57</v>
      </c>
      <c r="AV145" s="124"/>
      <c r="AW145" s="124"/>
      <c r="AX145" s="124"/>
      <c r="AY145" s="124"/>
      <c r="AZ145" s="124"/>
      <c r="BA145" s="124"/>
      <c r="BB145" s="124"/>
      <c r="BC145" s="124"/>
      <c r="BD145" s="124"/>
      <c r="BE145" s="124"/>
      <c r="BF145" s="124"/>
      <c r="BG145" s="124"/>
      <c r="BH145" s="124"/>
      <c r="BI145" s="124"/>
      <c r="BJ145" s="124"/>
      <c r="BK145" s="124"/>
      <c r="BL145" s="124"/>
      <c r="BM145" s="124"/>
      <c r="BN145" s="118"/>
      <c r="BO145" s="118"/>
      <c r="BP145" s="118"/>
      <c r="BQ145" s="118">
        <v>15.1</v>
      </c>
      <c r="BR145" s="205">
        <v>264</v>
      </c>
      <c r="BS145" s="205">
        <v>130</v>
      </c>
      <c r="BT145" s="205">
        <v>418</v>
      </c>
      <c r="BU145" s="205">
        <v>1080</v>
      </c>
      <c r="BV145" s="205">
        <v>49</v>
      </c>
      <c r="BW145" s="205">
        <v>836</v>
      </c>
      <c r="BX145" s="205">
        <v>34</v>
      </c>
      <c r="BY145" s="205">
        <v>0</v>
      </c>
      <c r="BZ145" s="205">
        <v>106</v>
      </c>
      <c r="CA145" s="205">
        <v>23</v>
      </c>
      <c r="CB145" s="205">
        <v>0</v>
      </c>
      <c r="CC145" s="205">
        <v>0</v>
      </c>
      <c r="CD145" s="205">
        <v>338</v>
      </c>
      <c r="CE145" s="205">
        <v>0</v>
      </c>
      <c r="CF145" s="211">
        <v>4</v>
      </c>
      <c r="CG145" s="205">
        <v>39</v>
      </c>
      <c r="CH145" s="205"/>
      <c r="CI145" s="205"/>
      <c r="CJ145" s="205"/>
      <c r="CK145" s="207"/>
    </row>
    <row r="146" spans="1:89">
      <c r="A146" s="122">
        <v>57002</v>
      </c>
      <c r="B146" s="122" t="s">
        <v>653</v>
      </c>
      <c r="C146" s="122" t="s">
        <v>654</v>
      </c>
      <c r="D146" s="122" t="s">
        <v>613</v>
      </c>
      <c r="E146" s="122" t="s">
        <v>1320</v>
      </c>
      <c r="F146" s="122" t="s">
        <v>1321</v>
      </c>
      <c r="G146" s="163" t="s">
        <v>1322</v>
      </c>
      <c r="H146" s="122">
        <v>5</v>
      </c>
      <c r="I146" s="122" t="s">
        <v>649</v>
      </c>
      <c r="J146" s="118">
        <v>30</v>
      </c>
      <c r="K146" s="118">
        <v>92.1</v>
      </c>
      <c r="L146" s="118">
        <v>3.08</v>
      </c>
      <c r="M146" s="118">
        <v>0.1</v>
      </c>
      <c r="N146" s="118">
        <v>4.08</v>
      </c>
      <c r="O146" s="118">
        <v>0</v>
      </c>
      <c r="P146" s="118">
        <v>0.06</v>
      </c>
      <c r="Q146" s="118">
        <v>0.28000000000000003</v>
      </c>
      <c r="R146" s="118">
        <v>0.2</v>
      </c>
      <c r="S146" s="118"/>
      <c r="T146" s="118">
        <v>0.05</v>
      </c>
      <c r="U146" s="118">
        <v>8.5</v>
      </c>
      <c r="V146" s="118">
        <v>0.49</v>
      </c>
      <c r="W146" s="118">
        <v>1</v>
      </c>
      <c r="X146" s="118"/>
      <c r="Y146" s="118">
        <v>0.01</v>
      </c>
      <c r="Z146" s="118">
        <v>0</v>
      </c>
      <c r="AA146" s="118">
        <v>0</v>
      </c>
      <c r="AB146" s="118">
        <v>0</v>
      </c>
      <c r="AC146" s="118"/>
      <c r="AD146" s="118">
        <v>0</v>
      </c>
      <c r="AE146" s="118"/>
      <c r="AF146" s="118"/>
      <c r="AG146" s="118"/>
      <c r="AH146" s="118"/>
      <c r="AI146" s="118">
        <v>103</v>
      </c>
      <c r="AJ146" s="118">
        <v>0.05</v>
      </c>
      <c r="AK146" s="118">
        <v>0.09</v>
      </c>
      <c r="AL146" s="118">
        <v>13</v>
      </c>
      <c r="AM146" s="118"/>
      <c r="AN146" s="118">
        <v>90</v>
      </c>
      <c r="AO146" s="118">
        <v>131.16</v>
      </c>
      <c r="AP146" s="118">
        <v>2.1</v>
      </c>
      <c r="AQ146" s="118">
        <v>0.45</v>
      </c>
      <c r="AR146" s="118">
        <v>0.05</v>
      </c>
      <c r="AS146" s="118">
        <v>0.03</v>
      </c>
      <c r="AT146" s="118">
        <v>0</v>
      </c>
      <c r="AU146" s="118"/>
      <c r="AV146" s="124"/>
      <c r="AW146" s="124"/>
      <c r="AX146" s="124"/>
      <c r="AY146" s="124"/>
      <c r="AZ146" s="124"/>
      <c r="BA146" s="124"/>
      <c r="BB146" s="124"/>
      <c r="BC146" s="124"/>
      <c r="BD146" s="124"/>
      <c r="BE146" s="124"/>
      <c r="BF146" s="124"/>
      <c r="BG146" s="124"/>
      <c r="BH146" s="124"/>
      <c r="BI146" s="124"/>
      <c r="BJ146" s="124"/>
      <c r="BK146" s="124"/>
      <c r="BL146" s="124"/>
      <c r="BM146" s="124"/>
      <c r="BN146" s="118"/>
      <c r="BO146" s="118"/>
      <c r="BP146" s="118"/>
      <c r="BQ146" s="118">
        <v>18.2</v>
      </c>
      <c r="BR146" s="154">
        <v>2</v>
      </c>
      <c r="BS146" s="154">
        <v>2</v>
      </c>
      <c r="BT146" s="154">
        <v>8</v>
      </c>
      <c r="BU146" s="154">
        <v>21</v>
      </c>
      <c r="BV146" s="154">
        <v>1</v>
      </c>
      <c r="BW146" s="154">
        <v>18</v>
      </c>
      <c r="BX146" s="154">
        <v>0</v>
      </c>
      <c r="BY146" s="154">
        <v>0</v>
      </c>
      <c r="BZ146" s="154">
        <v>5</v>
      </c>
      <c r="CA146" s="154">
        <v>0</v>
      </c>
      <c r="CB146" s="154">
        <v>0</v>
      </c>
      <c r="CC146" s="154">
        <v>0</v>
      </c>
      <c r="CD146" s="154">
        <v>9</v>
      </c>
      <c r="CE146" s="154">
        <v>0</v>
      </c>
      <c r="CF146" s="210">
        <v>0</v>
      </c>
      <c r="CG146" s="205">
        <v>30</v>
      </c>
      <c r="CH146" s="205"/>
      <c r="CI146" s="205"/>
      <c r="CJ146" s="205"/>
      <c r="CK146" s="207"/>
    </row>
    <row r="147" spans="1:89">
      <c r="A147" s="122">
        <v>57001</v>
      </c>
      <c r="B147" s="122" t="s">
        <v>656</v>
      </c>
      <c r="C147" s="122" t="s">
        <v>654</v>
      </c>
      <c r="D147" s="122" t="s">
        <v>613</v>
      </c>
      <c r="E147" s="122" t="s">
        <v>1295</v>
      </c>
      <c r="F147" s="122" t="s">
        <v>1323</v>
      </c>
      <c r="G147" s="163" t="s">
        <v>1324</v>
      </c>
      <c r="H147" s="122">
        <v>5</v>
      </c>
      <c r="I147" s="122" t="s">
        <v>649</v>
      </c>
      <c r="J147" s="118">
        <v>63</v>
      </c>
      <c r="K147" s="118">
        <v>88.27</v>
      </c>
      <c r="L147" s="118">
        <v>3.08</v>
      </c>
      <c r="M147" s="118">
        <v>3.74</v>
      </c>
      <c r="N147" s="118">
        <v>4.2699999999999996</v>
      </c>
      <c r="O147" s="118">
        <v>0</v>
      </c>
      <c r="P147" s="118">
        <v>0.06</v>
      </c>
      <c r="Q147" s="118">
        <v>0.28000000000000003</v>
      </c>
      <c r="R147" s="118">
        <v>0.2</v>
      </c>
      <c r="S147" s="118">
        <v>0.34</v>
      </c>
      <c r="T147" s="118">
        <v>0.05</v>
      </c>
      <c r="U147" s="118">
        <v>8.5</v>
      </c>
      <c r="V147" s="118">
        <v>0.25</v>
      </c>
      <c r="W147" s="118">
        <v>2</v>
      </c>
      <c r="X147" s="118">
        <v>1.07</v>
      </c>
      <c r="Y147" s="118">
        <v>0.08</v>
      </c>
      <c r="Z147" s="118"/>
      <c r="AA147" s="118">
        <v>30.18</v>
      </c>
      <c r="AB147" s="118">
        <v>31.54</v>
      </c>
      <c r="AC147" s="118"/>
      <c r="AD147" s="118">
        <v>13.67</v>
      </c>
      <c r="AE147" s="118">
        <v>9.6199999999999992</v>
      </c>
      <c r="AF147" s="118"/>
      <c r="AG147" s="118"/>
      <c r="AH147" s="118">
        <v>5.01</v>
      </c>
      <c r="AI147" s="118">
        <v>103</v>
      </c>
      <c r="AJ147" s="118">
        <v>0.05</v>
      </c>
      <c r="AK147" s="118">
        <v>0.09</v>
      </c>
      <c r="AL147" s="118">
        <v>13</v>
      </c>
      <c r="AM147" s="118">
        <v>0.01</v>
      </c>
      <c r="AN147" s="118">
        <v>90</v>
      </c>
      <c r="AO147" s="118">
        <v>131.16</v>
      </c>
      <c r="AP147" s="118">
        <v>0.95</v>
      </c>
      <c r="AQ147" s="118">
        <v>0.45</v>
      </c>
      <c r="AR147" s="118">
        <v>1.94</v>
      </c>
      <c r="AS147" s="118">
        <v>0.94</v>
      </c>
      <c r="AT147" s="118">
        <v>0.15</v>
      </c>
      <c r="AU147" s="118">
        <v>14.96</v>
      </c>
      <c r="AV147" s="124">
        <v>7.6999999999999999E-2</v>
      </c>
      <c r="AW147" s="124">
        <v>0.13100000000000001</v>
      </c>
      <c r="AX147" s="124">
        <v>0.26700000000000002</v>
      </c>
      <c r="AY147" s="124">
        <v>0.22500000000000001</v>
      </c>
      <c r="AZ147" s="124">
        <v>6.9000000000000006E-2</v>
      </c>
      <c r="BA147" s="124">
        <v>2.1000000000000001E-2</v>
      </c>
      <c r="BB147" s="124">
        <v>0.13600000000000001</v>
      </c>
      <c r="BC147" s="124">
        <v>0.124</v>
      </c>
      <c r="BD147" s="124">
        <v>3.3000000000000002E-2</v>
      </c>
      <c r="BE147" s="124">
        <v>0.187</v>
      </c>
      <c r="BF147" s="124">
        <v>0.157</v>
      </c>
      <c r="BG147" s="124">
        <v>0.105</v>
      </c>
      <c r="BH147" s="124">
        <v>0.21099999999999999</v>
      </c>
      <c r="BI147" s="124">
        <v>0.71299999999999997</v>
      </c>
      <c r="BJ147" s="124">
        <v>6.2E-2</v>
      </c>
      <c r="BK147" s="124">
        <v>0.26400000000000001</v>
      </c>
      <c r="BL147" s="124">
        <v>0.161</v>
      </c>
      <c r="BM147" s="124">
        <v>0.14000000000000001</v>
      </c>
      <c r="BN147" s="118"/>
      <c r="BO147" s="118"/>
      <c r="BP147" s="118"/>
      <c r="BQ147" s="154">
        <v>17.8</v>
      </c>
      <c r="BR147" s="154">
        <v>84</v>
      </c>
      <c r="BS147" s="154">
        <v>97</v>
      </c>
      <c r="BT147" s="154">
        <v>303</v>
      </c>
      <c r="BU147" s="154">
        <v>857</v>
      </c>
      <c r="BV147" s="154">
        <v>47</v>
      </c>
      <c r="BW147" s="154">
        <v>694</v>
      </c>
      <c r="BX147" s="154">
        <v>4</v>
      </c>
      <c r="BY147" s="154">
        <v>0</v>
      </c>
      <c r="BZ147" s="154">
        <v>115</v>
      </c>
      <c r="CA147" s="154">
        <v>13</v>
      </c>
      <c r="CB147" s="154">
        <v>2</v>
      </c>
      <c r="CC147" s="154">
        <v>4</v>
      </c>
      <c r="CD147" s="154">
        <v>309</v>
      </c>
      <c r="CE147" s="154">
        <v>1</v>
      </c>
      <c r="CF147" s="210">
        <v>0</v>
      </c>
      <c r="CG147" s="205">
        <v>31</v>
      </c>
      <c r="CH147" s="205"/>
      <c r="CI147" s="205"/>
      <c r="CJ147" s="205"/>
      <c r="CK147" s="207"/>
    </row>
    <row r="148" spans="1:89">
      <c r="A148" s="122">
        <v>55004</v>
      </c>
      <c r="B148" s="122" t="s">
        <v>658</v>
      </c>
      <c r="C148" s="122"/>
      <c r="D148" s="122"/>
      <c r="E148" s="122" t="s">
        <v>76</v>
      </c>
      <c r="F148" s="122" t="s">
        <v>1325</v>
      </c>
      <c r="G148" s="163" t="s">
        <v>1326</v>
      </c>
      <c r="H148" s="122">
        <v>5</v>
      </c>
      <c r="I148" s="122" t="s">
        <v>628</v>
      </c>
      <c r="J148" s="118">
        <v>130</v>
      </c>
      <c r="K148" s="118">
        <v>70.81</v>
      </c>
      <c r="L148" s="118">
        <v>20.36</v>
      </c>
      <c r="M148" s="118">
        <v>3.63</v>
      </c>
      <c r="N148" s="118">
        <v>3.89</v>
      </c>
      <c r="O148" s="118">
        <v>0</v>
      </c>
      <c r="P148" s="118">
        <v>0.19</v>
      </c>
      <c r="Q148" s="118">
        <v>2.76</v>
      </c>
      <c r="R148" s="118">
        <v>13.18</v>
      </c>
      <c r="S148" s="118">
        <v>9.32</v>
      </c>
      <c r="T148" s="118">
        <v>1.08</v>
      </c>
      <c r="U148" s="118">
        <v>290</v>
      </c>
      <c r="V148" s="118"/>
      <c r="W148" s="118">
        <v>1.3</v>
      </c>
      <c r="X148" s="118">
        <v>1.2</v>
      </c>
      <c r="Y148" s="118">
        <v>0.38</v>
      </c>
      <c r="Z148" s="118"/>
      <c r="AA148" s="118">
        <v>4948</v>
      </c>
      <c r="AB148" s="118">
        <v>4968.33</v>
      </c>
      <c r="AC148" s="118">
        <v>11</v>
      </c>
      <c r="AD148" s="118">
        <v>232</v>
      </c>
      <c r="AE148" s="118"/>
      <c r="AF148" s="118"/>
      <c r="AG148" s="118"/>
      <c r="AH148" s="118"/>
      <c r="AI148" s="118">
        <v>4.05</v>
      </c>
      <c r="AJ148" s="118">
        <v>1.5</v>
      </c>
      <c r="AK148" s="118">
        <v>3.5</v>
      </c>
      <c r="AL148" s="118">
        <v>18</v>
      </c>
      <c r="AM148" s="118">
        <v>0.25</v>
      </c>
      <c r="AN148" s="118">
        <v>387</v>
      </c>
      <c r="AO148" s="118">
        <v>313</v>
      </c>
      <c r="AP148" s="118">
        <v>20.2</v>
      </c>
      <c r="AQ148" s="118">
        <v>3.71</v>
      </c>
      <c r="AR148" s="118">
        <v>1.23</v>
      </c>
      <c r="AS148" s="118">
        <v>0.48</v>
      </c>
      <c r="AT148" s="118">
        <v>0.47</v>
      </c>
      <c r="AU148" s="118">
        <v>275</v>
      </c>
      <c r="AV148" s="124">
        <v>0.629</v>
      </c>
      <c r="AW148" s="124">
        <v>0.96699999999999997</v>
      </c>
      <c r="AX148" s="124">
        <v>1.91</v>
      </c>
      <c r="AY148" s="124">
        <v>1.607</v>
      </c>
      <c r="AZ148" s="124">
        <v>0.54300000000000004</v>
      </c>
      <c r="BA148" s="124">
        <v>0.376</v>
      </c>
      <c r="BB148" s="124">
        <v>1.0840000000000001</v>
      </c>
      <c r="BC148" s="124">
        <v>0.86899999999999999</v>
      </c>
      <c r="BD148" s="124">
        <v>0.26300000000000001</v>
      </c>
      <c r="BE148" s="124">
        <v>1.26</v>
      </c>
      <c r="BF148" s="124">
        <v>1.1639999999999999</v>
      </c>
      <c r="BG148" s="124">
        <v>1.2410000000000001</v>
      </c>
      <c r="BH148" s="124">
        <v>1.927</v>
      </c>
      <c r="BI148" s="124">
        <v>2.6120000000000001</v>
      </c>
      <c r="BJ148" s="124">
        <v>1.1639999999999999</v>
      </c>
      <c r="BK148" s="124">
        <v>0.96099999999999997</v>
      </c>
      <c r="BL148" s="124">
        <v>0.90500000000000003</v>
      </c>
      <c r="BM148" s="124">
        <v>0.80700000000000005</v>
      </c>
      <c r="BN148" s="118"/>
      <c r="BO148" s="118"/>
      <c r="BP148" s="118"/>
      <c r="BQ148" s="118">
        <v>414.9</v>
      </c>
      <c r="BR148" s="154" t="s">
        <v>85</v>
      </c>
      <c r="BS148" s="154">
        <v>5.86</v>
      </c>
      <c r="BT148" s="154">
        <v>34.29</v>
      </c>
      <c r="BU148" s="154">
        <v>664</v>
      </c>
      <c r="BV148" s="154">
        <v>51.37</v>
      </c>
      <c r="BW148" s="154">
        <v>740</v>
      </c>
      <c r="BX148" s="154">
        <v>33.85</v>
      </c>
      <c r="BY148" s="154" t="s">
        <v>85</v>
      </c>
      <c r="BZ148" s="154">
        <v>236</v>
      </c>
      <c r="CA148" s="154">
        <v>8.51</v>
      </c>
      <c r="CB148" s="154"/>
      <c r="CC148" s="154">
        <v>218</v>
      </c>
      <c r="CD148" s="154">
        <v>806</v>
      </c>
      <c r="CE148" s="154" t="s">
        <v>85</v>
      </c>
      <c r="CF148" s="210">
        <v>103</v>
      </c>
      <c r="CG148" s="154"/>
      <c r="CH148" s="154"/>
      <c r="CI148" s="154"/>
      <c r="CJ148" s="154"/>
      <c r="CK148" s="207"/>
    </row>
    <row r="149" spans="1:89">
      <c r="A149" s="122">
        <v>55006</v>
      </c>
      <c r="B149" s="122" t="s">
        <v>661</v>
      </c>
      <c r="C149" s="122"/>
      <c r="D149" s="122"/>
      <c r="E149" s="122" t="s">
        <v>1129</v>
      </c>
      <c r="F149" s="122" t="s">
        <v>1327</v>
      </c>
      <c r="G149" s="163" t="s">
        <v>1328</v>
      </c>
      <c r="H149" s="122">
        <v>6</v>
      </c>
      <c r="I149" s="122" t="s">
        <v>628</v>
      </c>
      <c r="J149" s="118">
        <v>81</v>
      </c>
      <c r="K149" s="118">
        <v>76.8</v>
      </c>
      <c r="L149" s="118">
        <v>1.4</v>
      </c>
      <c r="M149" s="118">
        <v>0.2</v>
      </c>
      <c r="N149" s="118">
        <v>15.7</v>
      </c>
      <c r="O149" s="118">
        <v>5.2</v>
      </c>
      <c r="P149" s="118">
        <v>0.11</v>
      </c>
      <c r="Q149" s="118">
        <v>7.0000000000000007E-2</v>
      </c>
      <c r="R149" s="118">
        <v>0.6</v>
      </c>
      <c r="S149" s="118"/>
      <c r="T149" s="118">
        <v>0.22</v>
      </c>
      <c r="U149" s="118"/>
      <c r="V149" s="118"/>
      <c r="W149" s="118">
        <v>5</v>
      </c>
      <c r="X149" s="118">
        <v>0</v>
      </c>
      <c r="Y149" s="118">
        <v>0</v>
      </c>
      <c r="Z149" s="118"/>
      <c r="AA149" s="118">
        <v>0</v>
      </c>
      <c r="AB149" s="118">
        <v>1.1100000000000001</v>
      </c>
      <c r="AC149" s="118"/>
      <c r="AD149" s="118">
        <v>29</v>
      </c>
      <c r="AE149" s="118"/>
      <c r="AF149" s="118"/>
      <c r="AG149" s="118"/>
      <c r="AH149" s="118"/>
      <c r="AI149" s="118">
        <v>10</v>
      </c>
      <c r="AJ149" s="118"/>
      <c r="AK149" s="118">
        <v>0.6</v>
      </c>
      <c r="AL149" s="118"/>
      <c r="AM149" s="118">
        <v>0.03</v>
      </c>
      <c r="AN149" s="118">
        <v>10</v>
      </c>
      <c r="AO149" s="118">
        <v>495</v>
      </c>
      <c r="AP149" s="118">
        <v>33.299999999999997</v>
      </c>
      <c r="AQ149" s="118"/>
      <c r="AR149" s="118"/>
      <c r="AS149" s="118"/>
      <c r="AT149" s="118"/>
      <c r="AU149" s="118"/>
      <c r="AV149" s="124"/>
      <c r="AW149" s="124"/>
      <c r="AX149" s="124"/>
      <c r="AY149" s="124"/>
      <c r="AZ149" s="124"/>
      <c r="BA149" s="124"/>
      <c r="BB149" s="124"/>
      <c r="BC149" s="124"/>
      <c r="BD149" s="124"/>
      <c r="BE149" s="124"/>
      <c r="BF149" s="124"/>
      <c r="BG149" s="124"/>
      <c r="BH149" s="124"/>
      <c r="BI149" s="124"/>
      <c r="BJ149" s="124"/>
      <c r="BK149" s="124"/>
      <c r="BL149" s="124"/>
      <c r="BM149" s="124"/>
      <c r="BN149" s="118"/>
      <c r="BO149" s="118"/>
      <c r="BP149" s="118"/>
      <c r="BQ149" s="118">
        <v>227</v>
      </c>
      <c r="BR149" s="154" t="s">
        <v>85</v>
      </c>
      <c r="BS149" s="154">
        <v>20.399999999999999</v>
      </c>
      <c r="BT149" s="154">
        <v>186</v>
      </c>
      <c r="BU149" s="154">
        <v>773</v>
      </c>
      <c r="BV149" s="154">
        <v>37.520000000000003</v>
      </c>
      <c r="BW149" s="154">
        <v>815</v>
      </c>
      <c r="BX149" s="154">
        <v>20.02</v>
      </c>
      <c r="BY149" s="154" t="s">
        <v>85</v>
      </c>
      <c r="BZ149" s="154">
        <v>206</v>
      </c>
      <c r="CA149" s="154">
        <v>29.15</v>
      </c>
      <c r="CB149" s="154"/>
      <c r="CC149" s="154">
        <v>84.05</v>
      </c>
      <c r="CD149" s="154">
        <v>690</v>
      </c>
      <c r="CE149" s="154">
        <v>13.62</v>
      </c>
      <c r="CF149" s="210" t="s">
        <v>85</v>
      </c>
      <c r="CG149" s="154"/>
      <c r="CH149" s="205"/>
      <c r="CI149" s="205"/>
      <c r="CJ149" s="205"/>
      <c r="CK149" s="207"/>
    </row>
    <row r="150" spans="1:89">
      <c r="A150" s="122">
        <v>58001</v>
      </c>
      <c r="B150" s="122" t="s">
        <v>663</v>
      </c>
      <c r="C150" s="122" t="s">
        <v>664</v>
      </c>
      <c r="D150" s="122" t="s">
        <v>665</v>
      </c>
      <c r="E150" s="122" t="s">
        <v>76</v>
      </c>
      <c r="F150" s="122" t="s">
        <v>1329</v>
      </c>
      <c r="G150" s="163" t="s">
        <v>1330</v>
      </c>
      <c r="H150" s="122">
        <v>6</v>
      </c>
      <c r="I150" s="122" t="s">
        <v>606</v>
      </c>
      <c r="J150" s="118">
        <v>196</v>
      </c>
      <c r="K150" s="118">
        <v>71.5</v>
      </c>
      <c r="L150" s="118">
        <v>18.5</v>
      </c>
      <c r="M150" s="118">
        <v>13.5</v>
      </c>
      <c r="N150" s="118">
        <v>0</v>
      </c>
      <c r="O150" s="118">
        <v>0</v>
      </c>
      <c r="P150" s="118">
        <v>0.18</v>
      </c>
      <c r="Q150" s="118">
        <v>0.14000000000000001</v>
      </c>
      <c r="R150" s="118">
        <v>2.69</v>
      </c>
      <c r="S150" s="118">
        <v>1</v>
      </c>
      <c r="T150" s="118">
        <v>0.13</v>
      </c>
      <c r="U150" s="118">
        <v>5.8</v>
      </c>
      <c r="V150" s="118">
        <v>1.2</v>
      </c>
      <c r="W150" s="118">
        <v>0</v>
      </c>
      <c r="X150" s="118">
        <v>0.2</v>
      </c>
      <c r="Y150" s="118">
        <v>0.31</v>
      </c>
      <c r="Z150" s="118"/>
      <c r="AA150" s="118">
        <v>9</v>
      </c>
      <c r="AB150" s="118">
        <v>9</v>
      </c>
      <c r="AC150" s="118"/>
      <c r="AD150" s="118"/>
      <c r="AE150" s="118"/>
      <c r="AF150" s="118"/>
      <c r="AG150" s="118"/>
      <c r="AH150" s="118"/>
      <c r="AI150" s="118">
        <v>12.5</v>
      </c>
      <c r="AJ150" s="118">
        <v>0.08</v>
      </c>
      <c r="AK150" s="118">
        <v>2.17</v>
      </c>
      <c r="AL150" s="118">
        <v>18.59</v>
      </c>
      <c r="AM150" s="118">
        <v>0.03</v>
      </c>
      <c r="AN150" s="118">
        <v>150</v>
      </c>
      <c r="AO150" s="118">
        <v>136.25</v>
      </c>
      <c r="AP150" s="118">
        <v>20.82</v>
      </c>
      <c r="AQ150" s="118">
        <v>3.92</v>
      </c>
      <c r="AR150" s="118">
        <v>6.55</v>
      </c>
      <c r="AS150" s="118">
        <v>5.09</v>
      </c>
      <c r="AT150" s="118">
        <v>0.62</v>
      </c>
      <c r="AU150" s="118">
        <v>78</v>
      </c>
      <c r="AV150" s="124">
        <v>0.97036999999999995</v>
      </c>
      <c r="AW150" s="124">
        <v>0.66394000000000009</v>
      </c>
      <c r="AX150" s="124">
        <v>1.34429</v>
      </c>
      <c r="AY150" s="124">
        <v>1.4348800000000002</v>
      </c>
      <c r="AZ150" s="124">
        <v>0.98314000000000001</v>
      </c>
      <c r="BA150" s="124">
        <v>1.7340199999999999</v>
      </c>
      <c r="BB150" s="124">
        <v>1.36496</v>
      </c>
      <c r="BC150" s="124">
        <v>0.91200000000000003</v>
      </c>
      <c r="BD150" s="124">
        <v>0.26691000000000004</v>
      </c>
      <c r="BE150" s="124">
        <v>0.82869999999999999</v>
      </c>
      <c r="BF150" s="124">
        <v>0.46573000000000003</v>
      </c>
      <c r="BG150" s="124">
        <v>2.64419</v>
      </c>
      <c r="BH150" s="124">
        <v>1.0044199999999999</v>
      </c>
      <c r="BI150" s="124">
        <v>0.25779000000000002</v>
      </c>
      <c r="BJ150" s="124">
        <v>0.78127999999999997</v>
      </c>
      <c r="BK150" s="124">
        <v>0.79161999999999999</v>
      </c>
      <c r="BL150" s="124">
        <v>0.80498999999999998</v>
      </c>
      <c r="BM150" s="124">
        <v>0.71683000000000008</v>
      </c>
      <c r="BN150" s="118"/>
      <c r="BO150" s="118"/>
      <c r="BP150" s="118"/>
      <c r="BQ150" s="118">
        <v>100.2</v>
      </c>
      <c r="BR150" s="154" t="s">
        <v>85</v>
      </c>
      <c r="BS150" s="154">
        <v>18.760000000000002</v>
      </c>
      <c r="BT150" s="154">
        <v>221</v>
      </c>
      <c r="BU150" s="154">
        <v>1323</v>
      </c>
      <c r="BV150" s="154">
        <v>92.36</v>
      </c>
      <c r="BW150" s="154">
        <v>1766</v>
      </c>
      <c r="BX150" s="154">
        <v>57.91</v>
      </c>
      <c r="BY150" s="154" t="s">
        <v>85</v>
      </c>
      <c r="BZ150" s="154">
        <v>220</v>
      </c>
      <c r="CA150" s="154">
        <v>25.59</v>
      </c>
      <c r="CB150" s="154"/>
      <c r="CC150" s="154">
        <v>62.73</v>
      </c>
      <c r="CD150" s="154">
        <v>1190</v>
      </c>
      <c r="CE150" s="154" t="s">
        <v>85</v>
      </c>
      <c r="CF150" s="210" t="s">
        <v>85</v>
      </c>
      <c r="CG150" s="154">
        <v>2</v>
      </c>
      <c r="CH150" s="205"/>
      <c r="CI150" s="205"/>
      <c r="CJ150" s="205"/>
      <c r="CK150" s="207"/>
    </row>
    <row r="151" spans="1:89">
      <c r="A151" s="122">
        <v>58003</v>
      </c>
      <c r="B151" s="122" t="s">
        <v>670</v>
      </c>
      <c r="C151" s="122" t="s">
        <v>671</v>
      </c>
      <c r="D151" s="122" t="s">
        <v>672</v>
      </c>
      <c r="E151" s="122" t="s">
        <v>76</v>
      </c>
      <c r="F151" s="122" t="s">
        <v>1331</v>
      </c>
      <c r="G151" s="163" t="s">
        <v>1332</v>
      </c>
      <c r="H151" s="122">
        <v>7</v>
      </c>
      <c r="I151" s="122" t="s">
        <v>606</v>
      </c>
      <c r="J151" s="118">
        <v>95</v>
      </c>
      <c r="K151" s="118">
        <v>78.7</v>
      </c>
      <c r="L151" s="118">
        <v>19.399999999999999</v>
      </c>
      <c r="M151" s="118">
        <v>1.9</v>
      </c>
      <c r="N151" s="118">
        <v>0</v>
      </c>
      <c r="O151" s="118">
        <v>0</v>
      </c>
      <c r="P151" s="118">
        <v>0.04</v>
      </c>
      <c r="Q151" s="118">
        <v>0.2</v>
      </c>
      <c r="R151" s="118">
        <v>5.97</v>
      </c>
      <c r="S151" s="118"/>
      <c r="T151" s="118">
        <v>0.53</v>
      </c>
      <c r="U151" s="118">
        <v>8</v>
      </c>
      <c r="V151" s="118"/>
      <c r="W151" s="118">
        <v>0</v>
      </c>
      <c r="X151" s="118">
        <v>0.08</v>
      </c>
      <c r="Y151" s="118">
        <v>0.05</v>
      </c>
      <c r="Z151" s="118"/>
      <c r="AA151" s="118">
        <v>0</v>
      </c>
      <c r="AB151" s="118">
        <v>0</v>
      </c>
      <c r="AC151" s="118"/>
      <c r="AD151" s="118">
        <v>0</v>
      </c>
      <c r="AE151" s="118"/>
      <c r="AF151" s="118"/>
      <c r="AG151" s="118"/>
      <c r="AH151" s="118"/>
      <c r="AI151" s="118">
        <v>12</v>
      </c>
      <c r="AJ151" s="118">
        <v>0.15</v>
      </c>
      <c r="AK151" s="118">
        <v>1.61</v>
      </c>
      <c r="AL151" s="118">
        <v>32</v>
      </c>
      <c r="AM151" s="118"/>
      <c r="AN151" s="118">
        <v>189</v>
      </c>
      <c r="AO151" s="118">
        <v>297</v>
      </c>
      <c r="AP151" s="118">
        <v>9</v>
      </c>
      <c r="AQ151" s="118">
        <v>1.93</v>
      </c>
      <c r="AR151" s="118"/>
      <c r="AS151" s="118"/>
      <c r="AT151" s="118"/>
      <c r="AU151" s="118"/>
      <c r="AV151" s="124"/>
      <c r="AW151" s="124"/>
      <c r="AX151" s="124"/>
      <c r="AY151" s="124"/>
      <c r="AZ151" s="124"/>
      <c r="BA151" s="124"/>
      <c r="BB151" s="124"/>
      <c r="BC151" s="124"/>
      <c r="BD151" s="124"/>
      <c r="BE151" s="124"/>
      <c r="BF151" s="124"/>
      <c r="BG151" s="124"/>
      <c r="BH151" s="124"/>
      <c r="BI151" s="124"/>
      <c r="BJ151" s="124"/>
      <c r="BK151" s="124"/>
      <c r="BL151" s="124"/>
      <c r="BM151" s="124"/>
      <c r="BN151" s="118"/>
      <c r="BO151" s="118"/>
      <c r="BP151" s="118"/>
      <c r="BQ151" s="118"/>
      <c r="BR151" s="205"/>
      <c r="BS151" s="205"/>
      <c r="BT151" s="205"/>
      <c r="BU151" s="205"/>
      <c r="BV151" s="205"/>
      <c r="BW151" s="205"/>
      <c r="BX151" s="205"/>
      <c r="BY151" s="205"/>
      <c r="BZ151" s="205"/>
      <c r="CA151" s="205"/>
      <c r="CB151" s="205"/>
      <c r="CC151" s="205"/>
      <c r="CD151" s="205"/>
      <c r="CE151" s="205"/>
      <c r="CF151" s="211"/>
      <c r="CG151" s="205"/>
      <c r="CH151" s="205"/>
      <c r="CI151" s="205"/>
      <c r="CJ151" s="205"/>
      <c r="CK151" s="207"/>
    </row>
    <row r="152" spans="1:89">
      <c r="A152" s="122">
        <v>55005</v>
      </c>
      <c r="B152" s="122" t="s">
        <v>674</v>
      </c>
      <c r="C152" s="122" t="s">
        <v>675</v>
      </c>
      <c r="D152" s="122"/>
      <c r="E152" s="122" t="s">
        <v>103</v>
      </c>
      <c r="F152" s="122">
        <v>35021</v>
      </c>
      <c r="G152" s="163" t="s">
        <v>676</v>
      </c>
      <c r="H152" s="122">
        <v>7</v>
      </c>
      <c r="I152" s="122" t="s">
        <v>606</v>
      </c>
      <c r="J152" s="118">
        <v>786</v>
      </c>
      <c r="K152" s="118">
        <v>7.4</v>
      </c>
      <c r="L152" s="118">
        <v>6.7</v>
      </c>
      <c r="M152" s="118">
        <v>84.4</v>
      </c>
      <c r="N152" s="118">
        <v>0</v>
      </c>
      <c r="O152" s="118"/>
      <c r="P152" s="118">
        <v>0.04</v>
      </c>
      <c r="Q152" s="118"/>
      <c r="R152" s="118">
        <v>0.2</v>
      </c>
      <c r="S152" s="118"/>
      <c r="T152" s="118"/>
      <c r="U152" s="118"/>
      <c r="V152" s="118"/>
      <c r="W152" s="118"/>
      <c r="X152" s="118"/>
      <c r="Y152" s="118"/>
      <c r="Z152" s="118"/>
      <c r="AA152" s="118"/>
      <c r="AB152" s="118"/>
      <c r="AC152" s="118"/>
      <c r="AD152" s="118"/>
      <c r="AE152" s="118"/>
      <c r="AF152" s="118"/>
      <c r="AG152" s="118"/>
      <c r="AH152" s="118"/>
      <c r="AI152" s="118"/>
      <c r="AJ152" s="118"/>
      <c r="AK152" s="118">
        <v>4.5</v>
      </c>
      <c r="AL152" s="118"/>
      <c r="AM152" s="118"/>
      <c r="AN152" s="118">
        <v>107</v>
      </c>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205"/>
      <c r="BS152" s="205"/>
      <c r="BT152" s="205"/>
      <c r="BU152" s="205"/>
      <c r="BV152" s="205"/>
      <c r="BW152" s="205"/>
      <c r="BX152" s="205"/>
      <c r="BY152" s="205"/>
      <c r="BZ152" s="205"/>
      <c r="CA152" s="205"/>
      <c r="CB152" s="205"/>
      <c r="CC152" s="205"/>
      <c r="CD152" s="205"/>
      <c r="CE152" s="205"/>
      <c r="CF152" s="211"/>
      <c r="CG152" s="205"/>
      <c r="CH152" s="205"/>
      <c r="CI152" s="205"/>
      <c r="CJ152" s="205"/>
      <c r="CK152" s="207"/>
    </row>
    <row r="153" spans="1:89">
      <c r="A153" s="122">
        <v>55007</v>
      </c>
      <c r="B153" s="122" t="s">
        <v>677</v>
      </c>
      <c r="C153" s="122" t="s">
        <v>678</v>
      </c>
      <c r="D153" s="122"/>
      <c r="E153" s="122" t="s">
        <v>82</v>
      </c>
      <c r="F153" s="122" t="s">
        <v>1333</v>
      </c>
      <c r="G153" s="163" t="s">
        <v>1334</v>
      </c>
      <c r="H153" s="122">
        <v>7</v>
      </c>
      <c r="I153" s="122" t="s">
        <v>628</v>
      </c>
      <c r="J153" s="118">
        <v>127.39</v>
      </c>
      <c r="K153" s="118">
        <v>76.739999999999995</v>
      </c>
      <c r="L153" s="118">
        <v>13.82</v>
      </c>
      <c r="M153" s="118">
        <v>8.06</v>
      </c>
      <c r="N153" s="118"/>
      <c r="O153" s="118"/>
      <c r="P153" s="118">
        <v>0.13</v>
      </c>
      <c r="Q153" s="118">
        <v>0.17</v>
      </c>
      <c r="R153" s="118">
        <v>2.04</v>
      </c>
      <c r="S153" s="118">
        <v>1.52</v>
      </c>
      <c r="T153" s="118">
        <v>0.28000000000000003</v>
      </c>
      <c r="U153" s="118">
        <v>1.3</v>
      </c>
      <c r="V153" s="118">
        <v>9.51</v>
      </c>
      <c r="W153" s="118">
        <v>10.7</v>
      </c>
      <c r="X153" s="118">
        <v>0.3</v>
      </c>
      <c r="Y153" s="118">
        <v>0.08</v>
      </c>
      <c r="Z153" s="118"/>
      <c r="AA153" s="118">
        <v>1.98</v>
      </c>
      <c r="AB153" s="125">
        <f>AA153+1/12*(AD153)+1/24*(AC153)+1/24*(AG153)</f>
        <v>9.3133333333333326</v>
      </c>
      <c r="AC153" s="118"/>
      <c r="AD153" s="118">
        <v>88</v>
      </c>
      <c r="AE153" s="118">
        <v>0</v>
      </c>
      <c r="AF153" s="118"/>
      <c r="AG153" s="118"/>
      <c r="AH153" s="118"/>
      <c r="AI153" s="118">
        <v>10.61</v>
      </c>
      <c r="AJ153" s="118">
        <v>0.3</v>
      </c>
      <c r="AK153" s="118">
        <v>1.63</v>
      </c>
      <c r="AL153" s="118">
        <v>13.94</v>
      </c>
      <c r="AM153" s="118">
        <v>0.04</v>
      </c>
      <c r="AN153" s="118">
        <v>296</v>
      </c>
      <c r="AO153" s="118">
        <v>296</v>
      </c>
      <c r="AP153" s="118">
        <v>21.7</v>
      </c>
      <c r="AQ153" s="118">
        <v>1.08</v>
      </c>
      <c r="AR153" s="118">
        <v>2.1379999999999999</v>
      </c>
      <c r="AS153" s="118">
        <v>1.4470000000000001</v>
      </c>
      <c r="AT153" s="118">
        <v>0.93899999999999995</v>
      </c>
      <c r="AU153" s="118">
        <v>1340</v>
      </c>
      <c r="AV153" s="118">
        <v>5.29</v>
      </c>
      <c r="AW153" s="118">
        <v>2.98</v>
      </c>
      <c r="AX153" s="118">
        <v>5.21</v>
      </c>
      <c r="AY153" s="118">
        <v>8.24</v>
      </c>
      <c r="AZ153" s="118">
        <v>6.01</v>
      </c>
      <c r="BA153" s="118">
        <v>8.4700000000000006</v>
      </c>
      <c r="BB153" s="118">
        <v>6.61</v>
      </c>
      <c r="BC153" s="118">
        <v>5.29</v>
      </c>
      <c r="BD153" s="118">
        <v>1.36</v>
      </c>
      <c r="BE153" s="118">
        <v>4.7</v>
      </c>
      <c r="BF153" s="118">
        <v>3.05</v>
      </c>
      <c r="BG153" s="118">
        <v>13.68</v>
      </c>
      <c r="BH153" s="118">
        <v>5.72</v>
      </c>
      <c r="BI153" s="118">
        <v>1.29</v>
      </c>
      <c r="BJ153" s="118">
        <v>4.2</v>
      </c>
      <c r="BK153" s="118">
        <v>4.82</v>
      </c>
      <c r="BL153" s="118">
        <v>5.29</v>
      </c>
      <c r="BM153" s="118">
        <v>4.68</v>
      </c>
      <c r="BN153" s="118"/>
      <c r="BO153" s="118"/>
      <c r="BP153" s="118"/>
      <c r="BQ153" s="118">
        <v>487</v>
      </c>
      <c r="BR153" s="205" t="s">
        <v>85</v>
      </c>
      <c r="BS153" s="205" t="s">
        <v>85</v>
      </c>
      <c r="BT153" s="205">
        <v>32.630000000000003</v>
      </c>
      <c r="BU153" s="205">
        <v>1007</v>
      </c>
      <c r="BV153" s="205">
        <v>23.08</v>
      </c>
      <c r="BW153" s="205">
        <v>1304</v>
      </c>
      <c r="BX153" s="205">
        <v>119</v>
      </c>
      <c r="BY153" s="205" t="s">
        <v>85</v>
      </c>
      <c r="BZ153" s="205">
        <v>43.2</v>
      </c>
      <c r="CA153" s="205">
        <v>80.48</v>
      </c>
      <c r="CB153" s="205"/>
      <c r="CC153" s="205">
        <v>300</v>
      </c>
      <c r="CD153" s="205">
        <v>1013</v>
      </c>
      <c r="CE153" s="205" t="s">
        <v>85</v>
      </c>
      <c r="CF153" s="211">
        <v>516</v>
      </c>
      <c r="CG153" s="205"/>
      <c r="CH153" s="205"/>
      <c r="CI153" s="205"/>
      <c r="CJ153" s="205"/>
      <c r="CK153" s="207"/>
    </row>
    <row r="154" spans="1:89">
      <c r="A154" s="122">
        <v>58004</v>
      </c>
      <c r="B154" s="122" t="s">
        <v>681</v>
      </c>
      <c r="C154" s="122" t="s">
        <v>682</v>
      </c>
      <c r="D154" s="122" t="s">
        <v>683</v>
      </c>
      <c r="E154" s="122" t="s">
        <v>103</v>
      </c>
      <c r="F154" s="122">
        <v>167745</v>
      </c>
      <c r="G154" s="163" t="s">
        <v>1335</v>
      </c>
      <c r="H154" s="122">
        <v>6</v>
      </c>
      <c r="I154" s="122" t="s">
        <v>606</v>
      </c>
      <c r="J154" s="118">
        <v>89</v>
      </c>
      <c r="K154" s="118">
        <v>78.5</v>
      </c>
      <c r="L154" s="118">
        <v>19.8</v>
      </c>
      <c r="M154" s="118">
        <v>0.5</v>
      </c>
      <c r="N154" s="118">
        <v>0</v>
      </c>
      <c r="O154" s="118">
        <v>0</v>
      </c>
      <c r="P154" s="118">
        <v>0.12</v>
      </c>
      <c r="Q154" s="118">
        <v>0.15</v>
      </c>
      <c r="R154" s="118">
        <v>1.1000000000000001</v>
      </c>
      <c r="S154" s="118"/>
      <c r="T154" s="118">
        <v>0.12</v>
      </c>
      <c r="U154" s="118">
        <v>15</v>
      </c>
      <c r="V154" s="118">
        <v>1</v>
      </c>
      <c r="W154" s="118">
        <v>0</v>
      </c>
      <c r="X154" s="118">
        <v>0</v>
      </c>
      <c r="Y154" s="118">
        <v>0.5</v>
      </c>
      <c r="Z154" s="118">
        <v>0.1</v>
      </c>
      <c r="AA154" s="118">
        <v>30</v>
      </c>
      <c r="AB154" s="118">
        <v>30</v>
      </c>
      <c r="AC154" s="118">
        <v>0</v>
      </c>
      <c r="AD154" s="118">
        <v>0</v>
      </c>
      <c r="AE154" s="118">
        <v>0</v>
      </c>
      <c r="AF154" s="118">
        <v>0</v>
      </c>
      <c r="AG154" s="118">
        <v>0</v>
      </c>
      <c r="AH154" s="118">
        <v>0</v>
      </c>
      <c r="AI154" s="118">
        <v>118</v>
      </c>
      <c r="AJ154" s="118">
        <v>0.25</v>
      </c>
      <c r="AK154" s="118">
        <v>1.4</v>
      </c>
      <c r="AL154" s="118">
        <v>20</v>
      </c>
      <c r="AM154" s="118"/>
      <c r="AN154" s="118">
        <v>180</v>
      </c>
      <c r="AO154" s="118">
        <v>230</v>
      </c>
      <c r="AP154" s="118">
        <v>16.8</v>
      </c>
      <c r="AQ154" s="118">
        <v>1</v>
      </c>
      <c r="AR154" s="118">
        <v>0.127</v>
      </c>
      <c r="AS154" s="118">
        <v>8.7999999999999995E-2</v>
      </c>
      <c r="AT154" s="118">
        <v>0.17</v>
      </c>
      <c r="AU154" s="118">
        <v>50</v>
      </c>
      <c r="AV154" s="118" t="s">
        <v>1098</v>
      </c>
      <c r="AW154" s="118" t="s">
        <v>1098</v>
      </c>
      <c r="AX154" s="118" t="s">
        <v>1098</v>
      </c>
      <c r="AY154" s="118" t="s">
        <v>1098</v>
      </c>
      <c r="AZ154" s="118" t="s">
        <v>1098</v>
      </c>
      <c r="BA154" s="118" t="s">
        <v>1098</v>
      </c>
      <c r="BB154" s="118" t="s">
        <v>1098</v>
      </c>
      <c r="BC154" s="118" t="s">
        <v>1098</v>
      </c>
      <c r="BD154" s="118" t="s">
        <v>1098</v>
      </c>
      <c r="BE154" s="118" t="s">
        <v>1098</v>
      </c>
      <c r="BF154" s="118" t="s">
        <v>1098</v>
      </c>
      <c r="BG154" s="118" t="s">
        <v>1098</v>
      </c>
      <c r="BH154" s="118" t="s">
        <v>1098</v>
      </c>
      <c r="BI154" s="118" t="s">
        <v>1098</v>
      </c>
      <c r="BJ154" s="118" t="s">
        <v>1098</v>
      </c>
      <c r="BK154" s="118" t="s">
        <v>1098</v>
      </c>
      <c r="BL154" s="118" t="s">
        <v>1098</v>
      </c>
      <c r="BM154" s="118" t="s">
        <v>1098</v>
      </c>
      <c r="BN154" s="118"/>
      <c r="BO154" s="118"/>
      <c r="BP154" s="118"/>
      <c r="BQ154" s="154">
        <v>80.7</v>
      </c>
      <c r="BR154" s="154">
        <v>0</v>
      </c>
      <c r="BS154" s="154">
        <v>0</v>
      </c>
      <c r="BT154" s="154">
        <v>5</v>
      </c>
      <c r="BU154" s="154">
        <v>608</v>
      </c>
      <c r="BV154" s="154">
        <v>37</v>
      </c>
      <c r="BW154" s="154">
        <v>2227</v>
      </c>
      <c r="BX154" s="154">
        <v>35</v>
      </c>
      <c r="BY154" s="154">
        <v>0</v>
      </c>
      <c r="BZ154" s="154">
        <v>1800</v>
      </c>
      <c r="CA154" s="154">
        <v>247</v>
      </c>
      <c r="CB154" s="154">
        <v>15</v>
      </c>
      <c r="CC154" s="154">
        <v>65</v>
      </c>
      <c r="CD154" s="154">
        <v>192</v>
      </c>
      <c r="CE154" s="154">
        <v>29</v>
      </c>
      <c r="CF154" s="210">
        <v>41</v>
      </c>
      <c r="CG154" s="205"/>
      <c r="CH154" s="205"/>
      <c r="CI154" s="205"/>
      <c r="CJ154" s="205"/>
      <c r="CK154" s="207"/>
    </row>
    <row r="155" spans="1:89">
      <c r="A155" s="122">
        <v>58005</v>
      </c>
      <c r="B155" s="122" t="s">
        <v>684</v>
      </c>
      <c r="C155" s="122" t="s">
        <v>685</v>
      </c>
      <c r="D155" s="122" t="s">
        <v>686</v>
      </c>
      <c r="E155" s="122" t="s">
        <v>1336</v>
      </c>
      <c r="F155" s="122" t="s">
        <v>1337</v>
      </c>
      <c r="G155" s="163" t="s">
        <v>1338</v>
      </c>
      <c r="H155" s="122">
        <v>7</v>
      </c>
      <c r="I155" s="122" t="s">
        <v>606</v>
      </c>
      <c r="J155" s="118">
        <v>114</v>
      </c>
      <c r="K155" s="118">
        <v>77.400000000000006</v>
      </c>
      <c r="L155" s="118">
        <v>18.7</v>
      </c>
      <c r="M155" s="118">
        <v>4.4000000000000004</v>
      </c>
      <c r="N155" s="118">
        <v>0</v>
      </c>
      <c r="O155" s="118">
        <v>0</v>
      </c>
      <c r="P155" s="118">
        <v>0.53</v>
      </c>
      <c r="Q155" s="118">
        <v>0.16</v>
      </c>
      <c r="R155" s="118">
        <v>2.71</v>
      </c>
      <c r="S155" s="118">
        <v>0.79</v>
      </c>
      <c r="T155" s="118">
        <v>0.31</v>
      </c>
      <c r="U155" s="118">
        <v>1.07</v>
      </c>
      <c r="V155" s="118">
        <v>1</v>
      </c>
      <c r="W155" s="118">
        <v>0</v>
      </c>
      <c r="X155" s="118">
        <v>7.8</v>
      </c>
      <c r="Y155" s="118"/>
      <c r="Z155" s="118"/>
      <c r="AA155" s="118">
        <v>0</v>
      </c>
      <c r="AB155" s="118">
        <v>0</v>
      </c>
      <c r="AC155" s="118"/>
      <c r="AD155" s="118"/>
      <c r="AE155" s="118"/>
      <c r="AF155" s="118"/>
      <c r="AG155" s="118"/>
      <c r="AH155" s="118"/>
      <c r="AI155" s="118">
        <v>30</v>
      </c>
      <c r="AJ155" s="118">
        <v>7.0000000000000007E-2</v>
      </c>
      <c r="AK155" s="118">
        <v>2.2000000000000002</v>
      </c>
      <c r="AL155" s="118">
        <v>17.82</v>
      </c>
      <c r="AM155" s="118">
        <v>0.03</v>
      </c>
      <c r="AN155" s="118">
        <v>200</v>
      </c>
      <c r="AO155" s="118">
        <v>260.93</v>
      </c>
      <c r="AP155" s="118">
        <v>15.06</v>
      </c>
      <c r="AQ155" s="118">
        <v>2.57</v>
      </c>
      <c r="AR155" s="118">
        <v>1.76</v>
      </c>
      <c r="AS155" s="118">
        <v>1.98</v>
      </c>
      <c r="AT155" s="118">
        <v>0.33</v>
      </c>
      <c r="AU155" s="118">
        <v>65</v>
      </c>
      <c r="AV155" s="124">
        <v>0.80520999999999998</v>
      </c>
      <c r="AW155" s="124">
        <v>0.69117999999999991</v>
      </c>
      <c r="AX155" s="124">
        <v>0.99846000000000001</v>
      </c>
      <c r="AY155" s="124">
        <v>1.40673</v>
      </c>
      <c r="AZ155" s="124">
        <v>1.04982</v>
      </c>
      <c r="BA155" s="124">
        <v>1.6452500000000001</v>
      </c>
      <c r="BB155" s="124">
        <v>1.2021600000000001</v>
      </c>
      <c r="BC155" s="124">
        <v>0.78519000000000005</v>
      </c>
      <c r="BD155" s="124">
        <v>0.22894</v>
      </c>
      <c r="BE155" s="124">
        <v>0.76429999999999998</v>
      </c>
      <c r="BF155" s="124">
        <v>0.50227999999999995</v>
      </c>
      <c r="BG155" s="124">
        <v>2.4008400000000001</v>
      </c>
      <c r="BH155" s="124">
        <v>0.94623000000000002</v>
      </c>
      <c r="BI155" s="124">
        <v>0.24026</v>
      </c>
      <c r="BJ155" s="124">
        <v>0.95841999999999994</v>
      </c>
      <c r="BK155" s="124">
        <v>0.77910000000000001</v>
      </c>
      <c r="BL155" s="124">
        <v>0.78519000000000005</v>
      </c>
      <c r="BM155" s="124">
        <v>0.58235999999999999</v>
      </c>
      <c r="BN155" s="118"/>
      <c r="BO155" s="118"/>
      <c r="BP155" s="118"/>
      <c r="BQ155" s="118">
        <v>84.9</v>
      </c>
      <c r="BR155" s="154" t="s">
        <v>85</v>
      </c>
      <c r="BS155" s="154" t="s">
        <v>85</v>
      </c>
      <c r="BT155" s="154">
        <v>157</v>
      </c>
      <c r="BU155" s="154">
        <v>3080</v>
      </c>
      <c r="BV155" s="154">
        <v>242</v>
      </c>
      <c r="BW155" s="154">
        <v>4731</v>
      </c>
      <c r="BX155" s="154" t="s">
        <v>85</v>
      </c>
      <c r="BY155" s="154" t="s">
        <v>85</v>
      </c>
      <c r="BZ155" s="154">
        <v>521</v>
      </c>
      <c r="CA155" s="154">
        <v>112</v>
      </c>
      <c r="CB155" s="154"/>
      <c r="CC155" s="154">
        <v>26.53</v>
      </c>
      <c r="CD155" s="154">
        <v>1531</v>
      </c>
      <c r="CE155" s="154" t="s">
        <v>85</v>
      </c>
      <c r="CF155" s="210" t="s">
        <v>85</v>
      </c>
      <c r="CG155" s="154" t="s">
        <v>85</v>
      </c>
      <c r="CH155" s="154"/>
      <c r="CI155" s="154"/>
      <c r="CJ155" s="205"/>
      <c r="CK155" s="207"/>
    </row>
    <row r="156" spans="1:89" ht="15">
      <c r="A156" s="122">
        <v>56003</v>
      </c>
      <c r="B156" s="122" t="s">
        <v>688</v>
      </c>
      <c r="C156" s="122" t="s">
        <v>689</v>
      </c>
      <c r="D156" s="122" t="s">
        <v>690</v>
      </c>
      <c r="E156" s="122" t="s">
        <v>82</v>
      </c>
      <c r="F156" s="122" t="s">
        <v>691</v>
      </c>
      <c r="G156" s="163" t="s">
        <v>692</v>
      </c>
      <c r="H156" s="122">
        <v>7</v>
      </c>
      <c r="I156" s="122" t="s">
        <v>642</v>
      </c>
      <c r="J156" s="118">
        <v>151.77000000000001</v>
      </c>
      <c r="K156" s="118">
        <v>75.11</v>
      </c>
      <c r="L156" s="118">
        <v>12.39</v>
      </c>
      <c r="M156" s="118">
        <v>11.46</v>
      </c>
      <c r="N156" s="118"/>
      <c r="O156" s="118"/>
      <c r="P156" s="118">
        <v>0.15</v>
      </c>
      <c r="Q156" s="118">
        <v>0.11</v>
      </c>
      <c r="R156" s="118">
        <v>0.12</v>
      </c>
      <c r="S156" s="118">
        <v>0.93</v>
      </c>
      <c r="T156" s="118">
        <v>0.17</v>
      </c>
      <c r="U156" s="118">
        <v>54.86</v>
      </c>
      <c r="V156" s="118">
        <v>1.58</v>
      </c>
      <c r="W156" s="118"/>
      <c r="X156" s="118">
        <v>5.72</v>
      </c>
      <c r="Y156" s="118">
        <v>0.98</v>
      </c>
      <c r="Z156" s="118"/>
      <c r="AA156" s="118">
        <v>151</v>
      </c>
      <c r="AB156" s="125">
        <f>AA156+1/12*(AD156)+1/24*(AC156)+1/24*(AG156)</f>
        <v>152.22875000000002</v>
      </c>
      <c r="AC156" s="118"/>
      <c r="AD156" s="118">
        <v>12.96</v>
      </c>
      <c r="AE156" s="118">
        <v>14.83</v>
      </c>
      <c r="AF156" s="118"/>
      <c r="AG156" s="118">
        <v>3.57</v>
      </c>
      <c r="AH156" s="118">
        <v>28.48</v>
      </c>
      <c r="AI156" s="118">
        <v>60.67</v>
      </c>
      <c r="AJ156" s="118">
        <v>0.09</v>
      </c>
      <c r="AK156" s="118">
        <v>2.5499999999999998</v>
      </c>
      <c r="AL156" s="118">
        <v>11</v>
      </c>
      <c r="AM156" s="118">
        <v>0.03</v>
      </c>
      <c r="AN156" s="118">
        <v>236</v>
      </c>
      <c r="AO156" s="118">
        <v>119</v>
      </c>
      <c r="AP156" s="118">
        <v>50.63</v>
      </c>
      <c r="AQ156" s="118">
        <v>1.51</v>
      </c>
      <c r="AR156" s="118">
        <v>2.7879999999999998</v>
      </c>
      <c r="AS156" s="118">
        <v>4.21</v>
      </c>
      <c r="AT156" s="118">
        <v>2.399</v>
      </c>
      <c r="AU156" s="118">
        <v>833</v>
      </c>
      <c r="AV156" s="118">
        <v>4.8600000000000003</v>
      </c>
      <c r="AW156" s="118">
        <v>2.4</v>
      </c>
      <c r="AX156" s="118">
        <v>7.11</v>
      </c>
      <c r="AY156" s="118">
        <v>7.96</v>
      </c>
      <c r="AZ156" s="118">
        <v>6.18</v>
      </c>
      <c r="BA156" s="118">
        <v>10.79</v>
      </c>
      <c r="BB156" s="118">
        <v>6.03</v>
      </c>
      <c r="BC156" s="118">
        <v>6.5</v>
      </c>
      <c r="BD156" s="118"/>
      <c r="BE156" s="118">
        <v>5.73</v>
      </c>
      <c r="BF156" s="118">
        <v>2.64</v>
      </c>
      <c r="BG156" s="118">
        <v>13.77</v>
      </c>
      <c r="BH156" s="118">
        <v>4.1399999999999997</v>
      </c>
      <c r="BI156" s="118">
        <v>1.85</v>
      </c>
      <c r="BJ156" s="118">
        <v>3.36</v>
      </c>
      <c r="BK156" s="118">
        <v>5.77</v>
      </c>
      <c r="BL156" s="118">
        <v>6.43</v>
      </c>
      <c r="BM156" s="118">
        <v>3.73</v>
      </c>
      <c r="BN156" s="118"/>
      <c r="BO156" s="118"/>
      <c r="BP156" s="118"/>
      <c r="BQ156" s="154"/>
      <c r="BR156" s="205" t="s">
        <v>85</v>
      </c>
      <c r="BS156" s="205">
        <v>1.87</v>
      </c>
      <c r="BT156" s="205">
        <v>71.59</v>
      </c>
      <c r="BU156" s="205">
        <v>2049</v>
      </c>
      <c r="BV156" s="205">
        <v>446</v>
      </c>
      <c r="BW156" s="205">
        <v>3717</v>
      </c>
      <c r="BX156" s="205">
        <v>24.87</v>
      </c>
      <c r="BY156" s="205">
        <v>3.84</v>
      </c>
      <c r="BZ156" s="205">
        <v>2112</v>
      </c>
      <c r="CA156" s="205">
        <v>42.84</v>
      </c>
      <c r="CB156" s="205"/>
      <c r="CC156" s="205">
        <v>192</v>
      </c>
      <c r="CD156" s="205">
        <v>637</v>
      </c>
      <c r="CE156" s="205">
        <v>30.2</v>
      </c>
      <c r="CF156" s="211">
        <v>22.06</v>
      </c>
      <c r="CG156" s="205" t="s">
        <v>1165</v>
      </c>
      <c r="CH156" s="205"/>
      <c r="CI156" s="205"/>
      <c r="CJ156" s="205"/>
      <c r="CK156" s="207"/>
    </row>
    <row r="157" spans="1:89">
      <c r="A157" s="122">
        <v>56004</v>
      </c>
      <c r="B157" s="122" t="s">
        <v>693</v>
      </c>
      <c r="C157" s="122" t="s">
        <v>694</v>
      </c>
      <c r="D157" s="122" t="s">
        <v>695</v>
      </c>
      <c r="E157" s="122" t="s">
        <v>76</v>
      </c>
      <c r="F157" s="122" t="s">
        <v>1315</v>
      </c>
      <c r="G157" s="163" t="s">
        <v>1316</v>
      </c>
      <c r="H157" s="122">
        <v>9</v>
      </c>
      <c r="I157" s="122" t="s">
        <v>642</v>
      </c>
      <c r="J157" s="118">
        <v>188</v>
      </c>
      <c r="K157" s="118">
        <v>69.7</v>
      </c>
      <c r="L157" s="118">
        <v>13.48</v>
      </c>
      <c r="M157" s="118">
        <v>14.29</v>
      </c>
      <c r="N157" s="118">
        <v>1.44</v>
      </c>
      <c r="O157" s="118">
        <v>0</v>
      </c>
      <c r="P157" s="118">
        <v>0.12</v>
      </c>
      <c r="Q157" s="118">
        <v>0.26</v>
      </c>
      <c r="R157" s="118">
        <v>0.2</v>
      </c>
      <c r="S157" s="118">
        <v>0.51</v>
      </c>
      <c r="T157" s="118">
        <v>0.25</v>
      </c>
      <c r="U157" s="118">
        <v>80</v>
      </c>
      <c r="V157" s="118">
        <v>5.4</v>
      </c>
      <c r="W157" s="118">
        <v>0</v>
      </c>
      <c r="X157" s="118">
        <v>2.67</v>
      </c>
      <c r="Y157" s="118">
        <v>1.39</v>
      </c>
      <c r="Z157" s="118"/>
      <c r="AA157" s="118">
        <v>360</v>
      </c>
      <c r="AB157" s="118">
        <v>361.73</v>
      </c>
      <c r="AC157" s="118">
        <v>0</v>
      </c>
      <c r="AD157" s="118">
        <v>14.53</v>
      </c>
      <c r="AE157" s="118"/>
      <c r="AF157" s="118"/>
      <c r="AG157" s="118"/>
      <c r="AH157" s="118"/>
      <c r="AI157" s="118">
        <v>65</v>
      </c>
      <c r="AJ157" s="118">
        <v>0.06</v>
      </c>
      <c r="AK157" s="118">
        <v>2.42</v>
      </c>
      <c r="AL157" s="118">
        <v>10.66</v>
      </c>
      <c r="AM157" s="118">
        <v>0.06</v>
      </c>
      <c r="AN157" s="118">
        <v>220</v>
      </c>
      <c r="AO157" s="118">
        <v>222</v>
      </c>
      <c r="AP157" s="118">
        <v>46.33</v>
      </c>
      <c r="AQ157" s="118">
        <v>1.41</v>
      </c>
      <c r="AR157" s="118">
        <v>3.83</v>
      </c>
      <c r="AS157" s="118">
        <v>6.73</v>
      </c>
      <c r="AT157" s="118">
        <v>1.24</v>
      </c>
      <c r="AU157" s="118">
        <v>884</v>
      </c>
      <c r="AV157" s="124">
        <v>0.34799999999999998</v>
      </c>
      <c r="AW157" s="124">
        <v>0.63200000000000001</v>
      </c>
      <c r="AX157" s="124">
        <v>1.1579999999999999</v>
      </c>
      <c r="AY157" s="124">
        <v>0.99</v>
      </c>
      <c r="AZ157" s="124">
        <v>0.6</v>
      </c>
      <c r="BA157" s="124">
        <v>0.30499999999999999</v>
      </c>
      <c r="BB157" s="124">
        <v>0.88500000000000001</v>
      </c>
      <c r="BC157" s="124">
        <v>0.77900000000000003</v>
      </c>
      <c r="BD157" s="124">
        <v>0.28399999999999997</v>
      </c>
      <c r="BE157" s="124">
        <v>0.92700000000000005</v>
      </c>
      <c r="BF157" s="124">
        <v>0.67400000000000004</v>
      </c>
      <c r="BG157" s="124">
        <v>0.8</v>
      </c>
      <c r="BH157" s="124">
        <v>0.82099999999999995</v>
      </c>
      <c r="BI157" s="124">
        <v>1.8959999999999999</v>
      </c>
      <c r="BJ157" s="124">
        <v>0.45300000000000001</v>
      </c>
      <c r="BK157" s="124">
        <v>0.495</v>
      </c>
      <c r="BL157" s="124">
        <v>1.0109999999999999</v>
      </c>
      <c r="BM157" s="124">
        <v>0.65300000000000002</v>
      </c>
      <c r="BN157" s="118"/>
      <c r="BO157" s="118"/>
      <c r="BP157" s="118"/>
      <c r="BQ157" s="118"/>
      <c r="BR157" s="205"/>
      <c r="BS157" s="205"/>
      <c r="BT157" s="205"/>
      <c r="BU157" s="205"/>
      <c r="BV157" s="205"/>
      <c r="BW157" s="205"/>
      <c r="BX157" s="205"/>
      <c r="BY157" s="205"/>
      <c r="BZ157" s="205"/>
      <c r="CA157" s="205"/>
      <c r="CB157" s="205"/>
      <c r="CC157" s="205"/>
      <c r="CD157" s="205"/>
      <c r="CE157" s="205"/>
      <c r="CF157" s="211"/>
      <c r="CG157" s="205"/>
      <c r="CH157" s="205"/>
      <c r="CI157" s="205"/>
      <c r="CJ157" s="205"/>
      <c r="CK157" s="207"/>
    </row>
    <row r="158" spans="1:89" ht="15">
      <c r="A158" s="122">
        <v>32031</v>
      </c>
      <c r="B158" s="122" t="s">
        <v>696</v>
      </c>
      <c r="C158" s="122" t="s">
        <v>697</v>
      </c>
      <c r="D158" s="122" t="s">
        <v>698</v>
      </c>
      <c r="E158" s="122" t="s">
        <v>1108</v>
      </c>
      <c r="F158" s="122" t="s">
        <v>1339</v>
      </c>
      <c r="G158" s="163" t="s">
        <v>1340</v>
      </c>
      <c r="H158" s="122">
        <v>9</v>
      </c>
      <c r="I158" s="122" t="s">
        <v>291</v>
      </c>
      <c r="J158" s="118">
        <v>40</v>
      </c>
      <c r="K158" s="118">
        <v>88.1</v>
      </c>
      <c r="L158" s="118">
        <v>1.3</v>
      </c>
      <c r="M158" s="118">
        <v>0.2</v>
      </c>
      <c r="N158" s="118">
        <v>6.68</v>
      </c>
      <c r="O158" s="118">
        <v>3.12</v>
      </c>
      <c r="P158" s="118">
        <v>0.06</v>
      </c>
      <c r="Q158" s="118">
        <v>0.05</v>
      </c>
      <c r="R158" s="118">
        <v>0.4</v>
      </c>
      <c r="S158" s="118">
        <v>0.26</v>
      </c>
      <c r="T158" s="118">
        <v>0.06</v>
      </c>
      <c r="U158" s="118">
        <v>5</v>
      </c>
      <c r="V158" s="118">
        <v>0</v>
      </c>
      <c r="W158" s="118">
        <v>5</v>
      </c>
      <c r="X158" s="118">
        <v>0.72</v>
      </c>
      <c r="Y158" s="118">
        <v>0.11</v>
      </c>
      <c r="Z158" s="118">
        <v>5.75</v>
      </c>
      <c r="AA158" s="118">
        <v>0</v>
      </c>
      <c r="AB158" s="118">
        <v>7.08</v>
      </c>
      <c r="AC158" s="118">
        <v>0</v>
      </c>
      <c r="AD158" s="118">
        <v>85</v>
      </c>
      <c r="AE158" s="118">
        <v>19</v>
      </c>
      <c r="AF158" s="118"/>
      <c r="AG158" s="118"/>
      <c r="AH158" s="118">
        <v>2.0099999999999998</v>
      </c>
      <c r="AI158" s="118">
        <v>80</v>
      </c>
      <c r="AJ158" s="118">
        <v>7.0000000000000007E-2</v>
      </c>
      <c r="AK158" s="118">
        <v>1.1000000000000001</v>
      </c>
      <c r="AL158" s="118">
        <v>17</v>
      </c>
      <c r="AM158" s="118">
        <v>7.0000000000000007E-2</v>
      </c>
      <c r="AN158" s="118">
        <v>31</v>
      </c>
      <c r="AO158" s="118">
        <v>232</v>
      </c>
      <c r="AP158" s="118"/>
      <c r="AQ158" s="118">
        <v>0.15</v>
      </c>
      <c r="AR158" s="118">
        <v>0.09</v>
      </c>
      <c r="AS158" s="118">
        <v>0.04</v>
      </c>
      <c r="AT158" s="118">
        <v>0.1</v>
      </c>
      <c r="AU158" s="118"/>
      <c r="AV158" s="124">
        <v>2.3550000000000001E-2</v>
      </c>
      <c r="AW158" s="124">
        <v>9.8250000000000004E-2</v>
      </c>
      <c r="AX158" s="124">
        <v>0.11774</v>
      </c>
      <c r="AY158" s="124">
        <v>6.4760000000000012E-2</v>
      </c>
      <c r="AZ158" s="124">
        <v>1.8269999999999998E-2</v>
      </c>
      <c r="BA158" s="124">
        <v>3.4099999999999998E-2</v>
      </c>
      <c r="BB158" s="124">
        <v>6.8209999999999993E-2</v>
      </c>
      <c r="BC158" s="124">
        <v>8.6069999999999994E-2</v>
      </c>
      <c r="BD158" s="124">
        <v>1.7260000000000001E-2</v>
      </c>
      <c r="BE158" s="124">
        <v>0.10840000000000001</v>
      </c>
      <c r="BF158" s="124">
        <v>0.11652</v>
      </c>
      <c r="BG158" s="124">
        <v>4.1009999999999998E-2</v>
      </c>
      <c r="BH158" s="124">
        <v>0.42426999999999998</v>
      </c>
      <c r="BI158" s="124">
        <v>0.39300999999999997</v>
      </c>
      <c r="BJ158" s="124">
        <v>9.5610000000000001E-2</v>
      </c>
      <c r="BK158" s="124">
        <v>9.9269999999999997E-2</v>
      </c>
      <c r="BL158" s="124">
        <v>9.398999999999999E-2</v>
      </c>
      <c r="BM158" s="124">
        <v>5.6840000000000002E-2</v>
      </c>
      <c r="BN158" s="118">
        <v>25.16</v>
      </c>
      <c r="BO158" s="118">
        <v>48.59</v>
      </c>
      <c r="BP158" s="118"/>
      <c r="BQ158" s="118">
        <v>4.7</v>
      </c>
      <c r="BR158" s="154" t="s">
        <v>85</v>
      </c>
      <c r="BS158" s="154" t="s">
        <v>85</v>
      </c>
      <c r="BT158" s="154" t="s">
        <v>85</v>
      </c>
      <c r="BU158" s="154">
        <v>71.61</v>
      </c>
      <c r="BV158" s="154" t="s">
        <v>85</v>
      </c>
      <c r="BW158" s="154">
        <v>41.38</v>
      </c>
      <c r="BX158" s="154" t="s">
        <v>85</v>
      </c>
      <c r="BY158" s="154" t="s">
        <v>85</v>
      </c>
      <c r="BZ158" s="154">
        <v>50.57</v>
      </c>
      <c r="CA158" s="154">
        <v>46.52</v>
      </c>
      <c r="CB158" s="154"/>
      <c r="CC158" s="154" t="s">
        <v>85</v>
      </c>
      <c r="CD158" s="154">
        <v>15.26</v>
      </c>
      <c r="CE158" s="154" t="s">
        <v>85</v>
      </c>
      <c r="CF158" s="154" t="s">
        <v>85</v>
      </c>
      <c r="CG158" s="205" t="s">
        <v>1165</v>
      </c>
      <c r="CH158" s="208"/>
      <c r="CI158" s="208"/>
      <c r="CJ158" s="208"/>
      <c r="CK158" s="205"/>
    </row>
    <row r="159" spans="1:89" ht="15">
      <c r="A159" s="122">
        <v>32032</v>
      </c>
      <c r="B159" s="122" t="s">
        <v>700</v>
      </c>
      <c r="C159" s="122" t="s">
        <v>701</v>
      </c>
      <c r="D159" s="122" t="s">
        <v>702</v>
      </c>
      <c r="E159" s="122" t="s">
        <v>1108</v>
      </c>
      <c r="F159" s="122" t="s">
        <v>1341</v>
      </c>
      <c r="G159" s="163" t="s">
        <v>1342</v>
      </c>
      <c r="H159" s="122">
        <v>14</v>
      </c>
      <c r="I159" s="122" t="s">
        <v>291</v>
      </c>
      <c r="J159" s="118">
        <v>41</v>
      </c>
      <c r="K159" s="118">
        <v>88.7</v>
      </c>
      <c r="L159" s="118">
        <v>0.54</v>
      </c>
      <c r="M159" s="118">
        <v>0.72</v>
      </c>
      <c r="N159" s="118">
        <v>6.71</v>
      </c>
      <c r="O159" s="118">
        <v>2.8</v>
      </c>
      <c r="P159" s="118">
        <v>0.12</v>
      </c>
      <c r="Q159" s="118">
        <v>0.04</v>
      </c>
      <c r="R159" s="118">
        <v>0.37</v>
      </c>
      <c r="S159" s="118">
        <v>0.26</v>
      </c>
      <c r="T159" s="118">
        <v>0.02</v>
      </c>
      <c r="U159" s="118">
        <v>12</v>
      </c>
      <c r="V159" s="118">
        <v>0</v>
      </c>
      <c r="W159" s="118">
        <v>49.4</v>
      </c>
      <c r="X159" s="118">
        <v>0.96</v>
      </c>
      <c r="Y159" s="118">
        <v>0.15</v>
      </c>
      <c r="Z159" s="118">
        <v>2</v>
      </c>
      <c r="AA159" s="118">
        <v>0</v>
      </c>
      <c r="AB159" s="118">
        <v>6.68</v>
      </c>
      <c r="AC159" s="118">
        <v>52</v>
      </c>
      <c r="AD159" s="118">
        <v>54.17</v>
      </c>
      <c r="AE159" s="118">
        <v>26.8</v>
      </c>
      <c r="AF159" s="118"/>
      <c r="AG159" s="118"/>
      <c r="AH159" s="118">
        <v>2.6</v>
      </c>
      <c r="AI159" s="118">
        <v>9.5</v>
      </c>
      <c r="AJ159" s="118">
        <v>0.12</v>
      </c>
      <c r="AK159" s="118">
        <v>0.82</v>
      </c>
      <c r="AL159" s="118">
        <v>19</v>
      </c>
      <c r="AM159" s="118">
        <v>0.06</v>
      </c>
      <c r="AN159" s="118">
        <v>23</v>
      </c>
      <c r="AO159" s="118">
        <v>127.8</v>
      </c>
      <c r="AP159" s="118">
        <v>0.56000000000000005</v>
      </c>
      <c r="AQ159" s="118">
        <v>0.38</v>
      </c>
      <c r="AR159" s="118">
        <v>0.02</v>
      </c>
      <c r="AS159" s="118">
        <v>0.03</v>
      </c>
      <c r="AT159" s="118">
        <v>0.19</v>
      </c>
      <c r="AU159" s="118"/>
      <c r="AV159" s="124">
        <v>2.0539999999999999E-2</v>
      </c>
      <c r="AW159" s="124">
        <v>2.2120000000000001E-2</v>
      </c>
      <c r="AX159" s="124">
        <v>4.4789999999999996E-2</v>
      </c>
      <c r="AY159" s="124">
        <v>4.1869999999999997E-2</v>
      </c>
      <c r="AZ159" s="124">
        <v>7.1900000000000002E-3</v>
      </c>
      <c r="BA159" s="124">
        <v>5.8499999999999993E-3</v>
      </c>
      <c r="BB159" s="124">
        <v>3.2149999999999998E-2</v>
      </c>
      <c r="BC159" s="124">
        <v>3.073E-2</v>
      </c>
      <c r="BD159" s="124">
        <v>6.8700000000000002E-3</v>
      </c>
      <c r="BE159" s="124">
        <v>3.3259999999999998E-2</v>
      </c>
      <c r="BF159" s="124">
        <v>4.8189999999999997E-2</v>
      </c>
      <c r="BG159" s="124">
        <v>4.2419999999999999E-2</v>
      </c>
      <c r="BH159" s="124">
        <v>0.13746</v>
      </c>
      <c r="BI159" s="124">
        <v>0.14655000000000001</v>
      </c>
      <c r="BJ159" s="124">
        <v>3.5159999999999997E-2</v>
      </c>
      <c r="BK159" s="124">
        <v>2.647E-2</v>
      </c>
      <c r="BL159" s="124">
        <v>3.6889999999999999E-2</v>
      </c>
      <c r="BM159" s="124">
        <v>3.073E-2</v>
      </c>
      <c r="BN159" s="118">
        <v>21.69</v>
      </c>
      <c r="BO159" s="118">
        <v>3.8</v>
      </c>
      <c r="BP159" s="118"/>
      <c r="BQ159" s="118">
        <v>7.6</v>
      </c>
      <c r="BR159" s="154" t="s">
        <v>85</v>
      </c>
      <c r="BS159" s="154" t="s">
        <v>85</v>
      </c>
      <c r="BT159" s="154" t="s">
        <v>85</v>
      </c>
      <c r="BU159" s="154">
        <v>10.23</v>
      </c>
      <c r="BV159" s="154" t="s">
        <v>85</v>
      </c>
      <c r="BW159" s="154">
        <v>30.12</v>
      </c>
      <c r="BX159" s="154" t="s">
        <v>85</v>
      </c>
      <c r="BY159" s="154" t="s">
        <v>85</v>
      </c>
      <c r="BZ159" s="154">
        <v>151</v>
      </c>
      <c r="CA159" s="154">
        <v>39.9</v>
      </c>
      <c r="CB159" s="154"/>
      <c r="CC159" s="154" t="s">
        <v>85</v>
      </c>
      <c r="CD159" s="154">
        <v>3.14</v>
      </c>
      <c r="CE159" s="154" t="s">
        <v>85</v>
      </c>
      <c r="CF159" s="154" t="s">
        <v>85</v>
      </c>
      <c r="CG159" s="205" t="s">
        <v>1165</v>
      </c>
      <c r="CH159" s="205"/>
      <c r="CI159" s="205"/>
      <c r="CJ159" s="205"/>
      <c r="CK159" s="205"/>
    </row>
    <row r="160" spans="1:89" ht="15">
      <c r="A160" s="122">
        <v>32001</v>
      </c>
      <c r="B160" s="122" t="s">
        <v>704</v>
      </c>
      <c r="C160" s="122" t="s">
        <v>705</v>
      </c>
      <c r="D160" s="122" t="s">
        <v>706</v>
      </c>
      <c r="E160" s="122" t="s">
        <v>1108</v>
      </c>
      <c r="F160" s="122" t="s">
        <v>1343</v>
      </c>
      <c r="G160" s="163" t="s">
        <v>1344</v>
      </c>
      <c r="H160" s="122">
        <v>14</v>
      </c>
      <c r="I160" s="122" t="s">
        <v>291</v>
      </c>
      <c r="J160" s="118">
        <v>56</v>
      </c>
      <c r="K160" s="118">
        <v>86</v>
      </c>
      <c r="L160" s="118">
        <v>0.82</v>
      </c>
      <c r="M160" s="118">
        <v>1</v>
      </c>
      <c r="N160" s="118">
        <v>10.18</v>
      </c>
      <c r="O160" s="118">
        <v>1.3</v>
      </c>
      <c r="P160" s="118">
        <v>0.02</v>
      </c>
      <c r="Q160" s="118">
        <v>0.03</v>
      </c>
      <c r="R160" s="118">
        <v>0.14000000000000001</v>
      </c>
      <c r="S160" s="118">
        <v>0.12</v>
      </c>
      <c r="T160" s="118">
        <v>0.05</v>
      </c>
      <c r="U160" s="118">
        <v>17</v>
      </c>
      <c r="V160" s="118">
        <v>0</v>
      </c>
      <c r="W160" s="118">
        <v>45.89</v>
      </c>
      <c r="X160" s="118">
        <v>0</v>
      </c>
      <c r="Y160" s="118">
        <v>0.8</v>
      </c>
      <c r="Z160" s="118">
        <v>2.2000000000000002</v>
      </c>
      <c r="AA160" s="118">
        <v>0</v>
      </c>
      <c r="AB160" s="118">
        <v>3.75</v>
      </c>
      <c r="AC160" s="118">
        <v>3.33</v>
      </c>
      <c r="AD160" s="118">
        <v>10</v>
      </c>
      <c r="AE160" s="118">
        <v>9.68</v>
      </c>
      <c r="AF160" s="118"/>
      <c r="AG160" s="118"/>
      <c r="AH160" s="118">
        <v>1.72</v>
      </c>
      <c r="AI160" s="118">
        <v>65</v>
      </c>
      <c r="AJ160" s="118">
        <v>0.06</v>
      </c>
      <c r="AK160" s="118">
        <v>0.3</v>
      </c>
      <c r="AL160" s="118">
        <v>11</v>
      </c>
      <c r="AM160" s="118">
        <v>0.04</v>
      </c>
      <c r="AN160" s="118">
        <v>10</v>
      </c>
      <c r="AO160" s="118">
        <v>377</v>
      </c>
      <c r="AP160" s="118">
        <v>0.72</v>
      </c>
      <c r="AQ160" s="118">
        <v>7.0000000000000007E-2</v>
      </c>
      <c r="AR160" s="118">
        <v>0.2</v>
      </c>
      <c r="AS160" s="118">
        <v>0.05</v>
      </c>
      <c r="AT160" s="118">
        <v>0.35</v>
      </c>
      <c r="AU160" s="118"/>
      <c r="AV160" s="124">
        <v>8.1600000000000006E-3</v>
      </c>
      <c r="AW160" s="124">
        <v>1.115E-2</v>
      </c>
      <c r="AX160" s="124">
        <v>1.0289999999999999E-2</v>
      </c>
      <c r="AY160" s="124">
        <v>2.0789999999999999E-2</v>
      </c>
      <c r="AZ160" s="124">
        <v>4.5100000000000001E-3</v>
      </c>
      <c r="BA160" s="124">
        <v>5.2500000000000003E-3</v>
      </c>
      <c r="BB160" s="124">
        <v>1.451E-2</v>
      </c>
      <c r="BC160" s="124">
        <v>6.9299999999999995E-3</v>
      </c>
      <c r="BD160" s="124">
        <v>1.8500000000000001E-3</v>
      </c>
      <c r="BE160" s="124">
        <v>1.1890000000000001E-2</v>
      </c>
      <c r="BF160" s="124">
        <v>2.1399999999999999E-2</v>
      </c>
      <c r="BG160" s="124">
        <v>1.755E-2</v>
      </c>
      <c r="BH160" s="124">
        <v>8.4260000000000002E-2</v>
      </c>
      <c r="BI160" s="124">
        <v>6.191E-2</v>
      </c>
      <c r="BJ160" s="124">
        <v>8.320000000000001E-3</v>
      </c>
      <c r="BK160" s="124">
        <v>3.116E-2</v>
      </c>
      <c r="BL160" s="124">
        <v>1.583E-2</v>
      </c>
      <c r="BM160" s="124">
        <v>5.5399999999999998E-3</v>
      </c>
      <c r="BN160" s="118">
        <v>117</v>
      </c>
      <c r="BO160" s="118"/>
      <c r="BP160" s="118"/>
      <c r="BQ160" s="118">
        <v>5.0999999999999996</v>
      </c>
      <c r="BR160" s="154" t="s">
        <v>85</v>
      </c>
      <c r="BS160" s="154" t="s">
        <v>85</v>
      </c>
      <c r="BT160" s="154" t="s">
        <v>85</v>
      </c>
      <c r="BU160" s="154">
        <v>65.42</v>
      </c>
      <c r="BV160" s="154" t="s">
        <v>85</v>
      </c>
      <c r="BW160" s="154">
        <v>26.88</v>
      </c>
      <c r="BX160" s="154" t="s">
        <v>85</v>
      </c>
      <c r="BY160" s="154" t="s">
        <v>85</v>
      </c>
      <c r="BZ160" s="154">
        <v>67.81</v>
      </c>
      <c r="CA160" s="154">
        <v>16.600000000000001</v>
      </c>
      <c r="CB160" s="154"/>
      <c r="CC160" s="154" t="s">
        <v>85</v>
      </c>
      <c r="CD160" s="154">
        <v>7.12</v>
      </c>
      <c r="CE160" s="154" t="s">
        <v>85</v>
      </c>
      <c r="CF160" s="154" t="s">
        <v>85</v>
      </c>
      <c r="CG160" s="205" t="s">
        <v>1165</v>
      </c>
      <c r="CH160" s="205"/>
      <c r="CI160" s="205"/>
      <c r="CJ160" s="205"/>
      <c r="CK160" s="205"/>
    </row>
    <row r="161" spans="1:90" ht="15">
      <c r="A161" s="122">
        <v>31001</v>
      </c>
      <c r="B161" s="122" t="s">
        <v>708</v>
      </c>
      <c r="C161" s="122" t="s">
        <v>709</v>
      </c>
      <c r="D161" s="122" t="s">
        <v>710</v>
      </c>
      <c r="E161" s="122" t="s">
        <v>76</v>
      </c>
      <c r="F161" s="122" t="s">
        <v>1345</v>
      </c>
      <c r="G161" s="163" t="s">
        <v>1346</v>
      </c>
      <c r="H161" s="122">
        <v>14</v>
      </c>
      <c r="I161" s="122" t="s">
        <v>713</v>
      </c>
      <c r="J161" s="118">
        <v>70</v>
      </c>
      <c r="K161" s="118">
        <v>81.7</v>
      </c>
      <c r="L161" s="118">
        <v>0.93</v>
      </c>
      <c r="M161" s="118">
        <v>0.5</v>
      </c>
      <c r="N161" s="118">
        <v>14.72</v>
      </c>
      <c r="O161" s="118">
        <v>1.6</v>
      </c>
      <c r="P161" s="118">
        <v>0.03</v>
      </c>
      <c r="Q161" s="118">
        <v>0.04</v>
      </c>
      <c r="R161" s="118">
        <v>0.5</v>
      </c>
      <c r="S161" s="118">
        <v>0.11</v>
      </c>
      <c r="T161" s="118">
        <v>0.13</v>
      </c>
      <c r="U161" s="118">
        <v>71</v>
      </c>
      <c r="V161" s="118">
        <v>0</v>
      </c>
      <c r="W161" s="118">
        <v>34.700000000000003</v>
      </c>
      <c r="X161" s="118">
        <v>3.73</v>
      </c>
      <c r="Y161" s="118">
        <v>1.1200000000000001</v>
      </c>
      <c r="Z161" s="118">
        <v>4.7699999999999996</v>
      </c>
      <c r="AA161" s="118">
        <v>0</v>
      </c>
      <c r="AB161" s="118">
        <v>292.05</v>
      </c>
      <c r="AC161" s="118"/>
      <c r="AD161" s="118">
        <v>3510</v>
      </c>
      <c r="AE161" s="118"/>
      <c r="AF161" s="118"/>
      <c r="AG161" s="118"/>
      <c r="AH161" s="118"/>
      <c r="AI161" s="118">
        <v>14</v>
      </c>
      <c r="AJ161" s="118">
        <v>0.17</v>
      </c>
      <c r="AK161" s="118">
        <v>0.5</v>
      </c>
      <c r="AL161" s="118">
        <v>15</v>
      </c>
      <c r="AM161" s="118">
        <v>0.22</v>
      </c>
      <c r="AN161" s="118">
        <v>20.350000000000001</v>
      </c>
      <c r="AO161" s="118">
        <v>205</v>
      </c>
      <c r="AP161" s="118">
        <v>1.911</v>
      </c>
      <c r="AQ161" s="118">
        <v>0.87</v>
      </c>
      <c r="AR161" s="118">
        <v>0.18</v>
      </c>
      <c r="AS161" s="118">
        <v>0.16</v>
      </c>
      <c r="AT161" s="118">
        <v>0.11</v>
      </c>
      <c r="AU161" s="118"/>
      <c r="AV161" s="124">
        <v>1.23E-2</v>
      </c>
      <c r="AW161" s="124">
        <v>2.222E-2</v>
      </c>
      <c r="AX161" s="124">
        <v>4.6490000000000004E-2</v>
      </c>
      <c r="AY161" s="124">
        <v>2.1000000000000001E-2</v>
      </c>
      <c r="AZ161" s="124">
        <v>8.7500000000000008E-3</v>
      </c>
      <c r="BA161" s="124">
        <v>5.0300000000000006E-3</v>
      </c>
      <c r="BB161" s="124">
        <v>0.02</v>
      </c>
      <c r="BC161" s="124">
        <v>2.9159999999999998E-2</v>
      </c>
      <c r="BD161" s="124">
        <v>6.8300000000000001E-3</v>
      </c>
      <c r="BE161" s="124">
        <v>3.1789999999999999E-2</v>
      </c>
      <c r="BF161" s="124">
        <v>4.9849999999999998E-2</v>
      </c>
      <c r="BG161" s="124">
        <v>2.384E-2</v>
      </c>
      <c r="BH161" s="124">
        <v>6.7650000000000002E-2</v>
      </c>
      <c r="BI161" s="124">
        <v>8.09E-2</v>
      </c>
      <c r="BJ161" s="124">
        <v>3.175E-2</v>
      </c>
      <c r="BK161" s="124">
        <v>2.1329999999999998E-2</v>
      </c>
      <c r="BL161" s="124">
        <v>2.5399999999999999E-2</v>
      </c>
      <c r="BM161" s="124">
        <v>1.3599999999999999E-2</v>
      </c>
      <c r="BN161" s="118">
        <v>18.39</v>
      </c>
      <c r="BO161" s="118">
        <v>81.61</v>
      </c>
      <c r="BP161" s="118">
        <v>3</v>
      </c>
      <c r="BQ161" s="118">
        <v>7.6</v>
      </c>
      <c r="BR161" s="154" t="s">
        <v>85</v>
      </c>
      <c r="BS161" s="154" t="s">
        <v>85</v>
      </c>
      <c r="BT161" s="154">
        <v>7.01</v>
      </c>
      <c r="BU161" s="154">
        <v>150</v>
      </c>
      <c r="BV161" s="154" t="s">
        <v>85</v>
      </c>
      <c r="BW161" s="154">
        <v>81.180000000000007</v>
      </c>
      <c r="BX161" s="154" t="s">
        <v>85</v>
      </c>
      <c r="BY161" s="154" t="s">
        <v>85</v>
      </c>
      <c r="BZ161" s="154">
        <v>30.72</v>
      </c>
      <c r="CA161" s="154">
        <v>101</v>
      </c>
      <c r="CB161" s="154"/>
      <c r="CC161" s="154" t="s">
        <v>85</v>
      </c>
      <c r="CD161" s="154">
        <v>6.63</v>
      </c>
      <c r="CE161" s="154" t="s">
        <v>85</v>
      </c>
      <c r="CF161" s="154" t="s">
        <v>85</v>
      </c>
      <c r="CG161" s="205" t="s">
        <v>1165</v>
      </c>
      <c r="CH161" s="205"/>
      <c r="CI161" s="205"/>
      <c r="CJ161" s="205"/>
      <c r="CK161" s="205"/>
      <c r="CL161" s="205"/>
    </row>
    <row r="162" spans="1:90" ht="15">
      <c r="A162" s="122">
        <v>31007</v>
      </c>
      <c r="B162" s="122" t="s">
        <v>714</v>
      </c>
      <c r="C162" s="122" t="s">
        <v>715</v>
      </c>
      <c r="D162" s="122" t="s">
        <v>716</v>
      </c>
      <c r="E162" s="122" t="s">
        <v>1347</v>
      </c>
      <c r="F162" s="122" t="s">
        <v>1348</v>
      </c>
      <c r="G162" s="163" t="s">
        <v>1349</v>
      </c>
      <c r="H162" s="122">
        <v>12</v>
      </c>
      <c r="I162" s="122" t="s">
        <v>291</v>
      </c>
      <c r="J162" s="118">
        <v>145</v>
      </c>
      <c r="K162" s="118">
        <v>75.3</v>
      </c>
      <c r="L162" s="118">
        <v>1.03</v>
      </c>
      <c r="M162" s="118">
        <v>15.3</v>
      </c>
      <c r="N162" s="118">
        <v>3.84</v>
      </c>
      <c r="O162" s="118">
        <v>3.3</v>
      </c>
      <c r="P162" s="118">
        <v>2.1000000000000001E-2</v>
      </c>
      <c r="Q162" s="118">
        <v>7.0000000000000001E-3</v>
      </c>
      <c r="R162" s="118">
        <v>0.23699999999999999</v>
      </c>
      <c r="S162" s="118"/>
      <c r="T162" s="118">
        <v>3.1E-2</v>
      </c>
      <c r="U162" s="118">
        <v>3</v>
      </c>
      <c r="V162" s="118">
        <v>0</v>
      </c>
      <c r="W162" s="118">
        <v>0</v>
      </c>
      <c r="X162" s="118">
        <v>0</v>
      </c>
      <c r="Y162" s="118">
        <v>3.81</v>
      </c>
      <c r="Z162" s="118">
        <v>1.4</v>
      </c>
      <c r="AA162" s="118">
        <v>0</v>
      </c>
      <c r="AB162" s="118">
        <v>20</v>
      </c>
      <c r="AC162" s="118">
        <v>0</v>
      </c>
      <c r="AD162" s="118">
        <v>231</v>
      </c>
      <c r="AE162" s="118"/>
      <c r="AF162" s="118">
        <v>0</v>
      </c>
      <c r="AG162" s="118">
        <v>9</v>
      </c>
      <c r="AH162" s="118"/>
      <c r="AI162" s="118">
        <v>52</v>
      </c>
      <c r="AJ162" s="118">
        <v>0.12</v>
      </c>
      <c r="AK162" s="118">
        <v>0.49</v>
      </c>
      <c r="AL162" s="118">
        <v>11</v>
      </c>
      <c r="AM162" s="118"/>
      <c r="AN162" s="118">
        <v>4</v>
      </c>
      <c r="AO162" s="118">
        <v>42</v>
      </c>
      <c r="AP162" s="118">
        <v>0.9</v>
      </c>
      <c r="AQ162" s="118">
        <v>0.04</v>
      </c>
      <c r="AR162" s="118">
        <v>2.0299999999999998</v>
      </c>
      <c r="AS162" s="118">
        <v>11.3</v>
      </c>
      <c r="AT162" s="118">
        <v>1.31</v>
      </c>
      <c r="AU162" s="118">
        <v>0</v>
      </c>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54">
        <v>14.2</v>
      </c>
      <c r="BR162" s="154">
        <v>0</v>
      </c>
      <c r="BS162" s="154">
        <v>0</v>
      </c>
      <c r="BT162" s="154">
        <v>0</v>
      </c>
      <c r="BU162" s="154">
        <v>1691</v>
      </c>
      <c r="BV162" s="154">
        <v>123</v>
      </c>
      <c r="BW162" s="154">
        <v>11144</v>
      </c>
      <c r="BX162" s="154">
        <v>46</v>
      </c>
      <c r="BY162" s="154">
        <v>0</v>
      </c>
      <c r="BZ162" s="154">
        <v>1215</v>
      </c>
      <c r="CA162" s="154">
        <v>92</v>
      </c>
      <c r="CB162" s="154">
        <v>0</v>
      </c>
      <c r="CC162" s="154">
        <v>0</v>
      </c>
      <c r="CD162" s="154">
        <v>338</v>
      </c>
      <c r="CE162" s="154">
        <v>0</v>
      </c>
      <c r="CF162" s="154">
        <v>0</v>
      </c>
      <c r="CG162" s="205"/>
      <c r="CH162" s="205"/>
      <c r="CI162" s="205"/>
      <c r="CJ162" s="205"/>
      <c r="CK162" s="205"/>
      <c r="CL162" s="205"/>
    </row>
    <row r="163" spans="1:90">
      <c r="A163" s="122">
        <v>32033</v>
      </c>
      <c r="B163" s="122" t="s">
        <v>717</v>
      </c>
      <c r="C163" s="122" t="s">
        <v>718</v>
      </c>
      <c r="D163" s="122" t="s">
        <v>719</v>
      </c>
      <c r="E163" s="122" t="s">
        <v>76</v>
      </c>
      <c r="F163" s="122">
        <v>80011</v>
      </c>
      <c r="G163" s="163" t="s">
        <v>720</v>
      </c>
      <c r="H163" s="122">
        <v>14</v>
      </c>
      <c r="I163" s="122" t="s">
        <v>291</v>
      </c>
      <c r="J163" s="118">
        <v>64</v>
      </c>
      <c r="K163" s="118">
        <v>80.86</v>
      </c>
      <c r="L163" s="118">
        <v>3.07</v>
      </c>
      <c r="M163" s="118">
        <v>0.39</v>
      </c>
      <c r="N163" s="118">
        <v>10.33</v>
      </c>
      <c r="O163" s="118">
        <v>3.54</v>
      </c>
      <c r="P163" s="118">
        <v>0.8</v>
      </c>
      <c r="Q163" s="118">
        <v>0.03</v>
      </c>
      <c r="R163" s="118">
        <v>0.55000000000000004</v>
      </c>
      <c r="S163" s="118">
        <v>0.22</v>
      </c>
      <c r="T163" s="118">
        <v>0.17</v>
      </c>
      <c r="U163" s="118">
        <v>6.51</v>
      </c>
      <c r="V163" s="118"/>
      <c r="W163" s="118">
        <v>12.75</v>
      </c>
      <c r="X163" s="118">
        <v>26.62</v>
      </c>
      <c r="Y163" s="118">
        <v>7.0000000000000007E-2</v>
      </c>
      <c r="Z163" s="118"/>
      <c r="AA163" s="118">
        <v>0</v>
      </c>
      <c r="AB163" s="118"/>
      <c r="AC163" s="118"/>
      <c r="AD163" s="118"/>
      <c r="AE163" s="118"/>
      <c r="AF163" s="118"/>
      <c r="AG163" s="118"/>
      <c r="AH163" s="118"/>
      <c r="AI163" s="118">
        <v>73.7</v>
      </c>
      <c r="AJ163" s="118">
        <v>0.24</v>
      </c>
      <c r="AK163" s="118">
        <v>0.71</v>
      </c>
      <c r="AL163" s="118">
        <v>40</v>
      </c>
      <c r="AM163" s="118"/>
      <c r="AN163" s="118">
        <v>64</v>
      </c>
      <c r="AO163" s="118">
        <v>359.9</v>
      </c>
      <c r="AP163" s="118"/>
      <c r="AQ163" s="118">
        <v>0.37</v>
      </c>
      <c r="AR163" s="118">
        <v>0.88</v>
      </c>
      <c r="AS163" s="118">
        <v>0.6</v>
      </c>
      <c r="AT163" s="118">
        <v>0.14000000000000001</v>
      </c>
      <c r="AU163" s="118"/>
      <c r="AV163" s="124">
        <v>3.7679999999999998E-2</v>
      </c>
      <c r="AW163" s="124">
        <v>0.12340000000000001</v>
      </c>
      <c r="AX163" s="124">
        <v>9.9540000000000003E-2</v>
      </c>
      <c r="AY163" s="124">
        <v>7.1590000000000001E-2</v>
      </c>
      <c r="AZ163" s="124">
        <v>2.6690000000000002E-2</v>
      </c>
      <c r="BA163" s="124">
        <v>1.2869999999999999E-2</v>
      </c>
      <c r="BB163" s="124">
        <v>9.3569999999999987E-2</v>
      </c>
      <c r="BC163" s="124">
        <v>6.3109999999999999E-2</v>
      </c>
      <c r="BD163" s="124">
        <v>2.6690000000000002E-2</v>
      </c>
      <c r="BE163" s="124">
        <v>0.11681</v>
      </c>
      <c r="BF163" s="124">
        <v>0.17301</v>
      </c>
      <c r="BG163" s="124">
        <v>0.23676</v>
      </c>
      <c r="BH163" s="124">
        <v>0.98659000000000008</v>
      </c>
      <c r="BI163" s="124">
        <v>0.49141000000000001</v>
      </c>
      <c r="BJ163" s="124">
        <v>9.1689999999999994E-2</v>
      </c>
      <c r="BK163" s="124">
        <v>0.13188</v>
      </c>
      <c r="BL163" s="124">
        <v>0.13375999999999999</v>
      </c>
      <c r="BM163" s="124">
        <v>7.8810000000000005E-2</v>
      </c>
      <c r="BN163" s="118"/>
      <c r="BO163" s="118">
        <v>101</v>
      </c>
      <c r="BP163" s="118"/>
      <c r="BQ163" s="118"/>
      <c r="BR163" s="205"/>
      <c r="BS163" s="205"/>
      <c r="BT163" s="205"/>
      <c r="BU163" s="205"/>
      <c r="BV163" s="205"/>
      <c r="BW163" s="205"/>
      <c r="BX163" s="205"/>
      <c r="BY163" s="205"/>
      <c r="BZ163" s="205"/>
      <c r="CA163" s="205"/>
      <c r="CB163" s="205"/>
      <c r="CC163" s="205"/>
      <c r="CD163" s="205"/>
      <c r="CE163" s="205"/>
      <c r="CF163" s="205"/>
      <c r="CG163" s="205" t="s">
        <v>1165</v>
      </c>
      <c r="CH163" s="205"/>
      <c r="CI163" s="205"/>
      <c r="CJ163" s="205"/>
      <c r="CK163" s="205"/>
      <c r="CL163" s="205"/>
    </row>
    <row r="164" spans="1:90" ht="15">
      <c r="A164" s="122">
        <v>32034</v>
      </c>
      <c r="B164" s="122" t="s">
        <v>721</v>
      </c>
      <c r="C164" s="122" t="s">
        <v>722</v>
      </c>
      <c r="D164" s="122" t="s">
        <v>723</v>
      </c>
      <c r="E164" s="122" t="s">
        <v>1108</v>
      </c>
      <c r="F164" s="122" t="s">
        <v>1350</v>
      </c>
      <c r="G164" s="163" t="s">
        <v>1351</v>
      </c>
      <c r="H164" s="122">
        <v>14</v>
      </c>
      <c r="I164" s="122" t="s">
        <v>291</v>
      </c>
      <c r="J164" s="118">
        <v>60</v>
      </c>
      <c r="K164" s="118">
        <v>84.3</v>
      </c>
      <c r="L164" s="118">
        <v>1.88</v>
      </c>
      <c r="M164" s="118">
        <v>0.2</v>
      </c>
      <c r="N164" s="118">
        <v>12.62</v>
      </c>
      <c r="O164" s="118"/>
      <c r="P164" s="118">
        <v>0.02</v>
      </c>
      <c r="Q164" s="118">
        <v>0.06</v>
      </c>
      <c r="R164" s="118">
        <v>0.8</v>
      </c>
      <c r="S164" s="118">
        <v>0.14000000000000001</v>
      </c>
      <c r="T164" s="118">
        <v>0.08</v>
      </c>
      <c r="U164" s="118"/>
      <c r="V164" s="118">
        <v>0</v>
      </c>
      <c r="W164" s="118">
        <v>66.099999999999994</v>
      </c>
      <c r="X164" s="118">
        <v>16.8</v>
      </c>
      <c r="Y164" s="118"/>
      <c r="Z164" s="118"/>
      <c r="AA164" s="118">
        <v>0</v>
      </c>
      <c r="AB164" s="118">
        <v>2</v>
      </c>
      <c r="AC164" s="118">
        <v>0</v>
      </c>
      <c r="AD164" s="118">
        <v>24</v>
      </c>
      <c r="AE164" s="118">
        <v>10.7</v>
      </c>
      <c r="AF164" s="118"/>
      <c r="AG164" s="118"/>
      <c r="AH164" s="118">
        <v>1.6</v>
      </c>
      <c r="AI164" s="118">
        <v>14</v>
      </c>
      <c r="AJ164" s="118">
        <v>0.15</v>
      </c>
      <c r="AK164" s="118">
        <v>0.8</v>
      </c>
      <c r="AL164" s="118">
        <v>24.5</v>
      </c>
      <c r="AM164" s="118">
        <v>8.4000000000000005E-2</v>
      </c>
      <c r="AN164" s="118">
        <v>33</v>
      </c>
      <c r="AO164" s="118">
        <v>353.5</v>
      </c>
      <c r="AP164" s="118"/>
      <c r="AQ164" s="118">
        <v>0.32</v>
      </c>
      <c r="AR164" s="118">
        <v>0.12</v>
      </c>
      <c r="AS164" s="118">
        <v>0.13</v>
      </c>
      <c r="AT164" s="118">
        <v>0.04</v>
      </c>
      <c r="AU164" s="118"/>
      <c r="AV164" s="124">
        <v>2.4660000000000001E-2</v>
      </c>
      <c r="AW164" s="124">
        <v>5.4810000000000005E-2</v>
      </c>
      <c r="AX164" s="124">
        <v>4.811E-2</v>
      </c>
      <c r="AY164" s="124">
        <v>2.01E-2</v>
      </c>
      <c r="AZ164" s="124">
        <v>1.4199999999999999E-2</v>
      </c>
      <c r="BA164" s="124">
        <v>2.0640000000000002E-2</v>
      </c>
      <c r="BB164" s="124">
        <v>4.65E-2</v>
      </c>
      <c r="BC164" s="124">
        <v>3.1489999999999997E-2</v>
      </c>
      <c r="BD164" s="124">
        <v>1.1789999999999998E-2</v>
      </c>
      <c r="BE164" s="124">
        <v>6.2579999999999997E-2</v>
      </c>
      <c r="BF164" s="124">
        <v>6.191E-2</v>
      </c>
      <c r="BG164" s="124">
        <v>7.3829999999999993E-2</v>
      </c>
      <c r="BH164" s="124">
        <v>0.42666000000000004</v>
      </c>
      <c r="BI164" s="124">
        <v>0.23222000000000001</v>
      </c>
      <c r="BJ164" s="124">
        <v>4.1540000000000001E-2</v>
      </c>
      <c r="BK164" s="124">
        <v>3.3770000000000001E-2</v>
      </c>
      <c r="BL164" s="124">
        <v>5.1720000000000002E-2</v>
      </c>
      <c r="BM164" s="124">
        <v>4.6359999999999998E-2</v>
      </c>
      <c r="BN164" s="118"/>
      <c r="BO164" s="118">
        <v>85.6</v>
      </c>
      <c r="BP164" s="118"/>
      <c r="BQ164" s="118"/>
      <c r="BR164" s="154" t="s">
        <v>85</v>
      </c>
      <c r="BS164" s="154">
        <v>1.92</v>
      </c>
      <c r="BT164" s="154">
        <v>5.34</v>
      </c>
      <c r="BU164" s="154">
        <v>85.73</v>
      </c>
      <c r="BV164" s="154" t="s">
        <v>85</v>
      </c>
      <c r="BW164" s="154">
        <v>110</v>
      </c>
      <c r="BX164" s="154">
        <v>2.33</v>
      </c>
      <c r="BY164" s="154" t="s">
        <v>85</v>
      </c>
      <c r="BZ164" s="154">
        <v>27.18</v>
      </c>
      <c r="CA164" s="154">
        <v>8.07</v>
      </c>
      <c r="CB164" s="154"/>
      <c r="CC164" s="154" t="s">
        <v>85</v>
      </c>
      <c r="CD164" s="154">
        <v>6.87</v>
      </c>
      <c r="CE164" s="154" t="s">
        <v>85</v>
      </c>
      <c r="CF164" s="154" t="s">
        <v>85</v>
      </c>
      <c r="CG164" s="205" t="s">
        <v>1165</v>
      </c>
      <c r="CH164" s="205"/>
      <c r="CI164" s="205"/>
      <c r="CJ164" s="205"/>
      <c r="CK164" s="205"/>
      <c r="CL164" s="205"/>
    </row>
    <row r="165" spans="1:90" ht="15">
      <c r="A165" s="122">
        <v>32010</v>
      </c>
      <c r="B165" s="122" t="s">
        <v>725</v>
      </c>
      <c r="C165" s="122" t="s">
        <v>726</v>
      </c>
      <c r="D165" s="122" t="s">
        <v>727</v>
      </c>
      <c r="E165" s="122" t="s">
        <v>1108</v>
      </c>
      <c r="F165" s="122" t="s">
        <v>1352</v>
      </c>
      <c r="G165" s="163" t="s">
        <v>1353</v>
      </c>
      <c r="H165" s="122">
        <v>14</v>
      </c>
      <c r="I165" s="122" t="s">
        <v>291</v>
      </c>
      <c r="J165" s="118">
        <v>270</v>
      </c>
      <c r="K165" s="118">
        <v>27.89</v>
      </c>
      <c r="L165" s="118">
        <v>3.24</v>
      </c>
      <c r="M165" s="118">
        <v>0.43</v>
      </c>
      <c r="N165" s="118">
        <v>60.76</v>
      </c>
      <c r="O165" s="118">
        <v>5.0999999999999996</v>
      </c>
      <c r="P165" s="118">
        <v>0.35</v>
      </c>
      <c r="Q165" s="118">
        <v>0.12</v>
      </c>
      <c r="R165" s="118">
        <v>1.56</v>
      </c>
      <c r="S165" s="118">
        <v>0.17</v>
      </c>
      <c r="T165" s="118">
        <v>7.0000000000000007E-2</v>
      </c>
      <c r="U165" s="118">
        <v>14.5</v>
      </c>
      <c r="V165" s="118">
        <v>0</v>
      </c>
      <c r="W165" s="118">
        <v>11.2</v>
      </c>
      <c r="X165" s="118">
        <v>25.58</v>
      </c>
      <c r="Y165" s="118">
        <v>0.09</v>
      </c>
      <c r="Z165" s="118">
        <v>1.67</v>
      </c>
      <c r="AA165" s="118">
        <v>0</v>
      </c>
      <c r="AB165" s="118">
        <v>1.33</v>
      </c>
      <c r="AC165" s="118">
        <v>0</v>
      </c>
      <c r="AD165" s="118">
        <v>16</v>
      </c>
      <c r="AE165" s="118">
        <v>28.4</v>
      </c>
      <c r="AF165" s="118"/>
      <c r="AG165" s="118"/>
      <c r="AH165" s="118">
        <v>11.61</v>
      </c>
      <c r="AI165" s="118">
        <v>127</v>
      </c>
      <c r="AJ165" s="118">
        <v>0.09</v>
      </c>
      <c r="AK165" s="118">
        <v>3.95</v>
      </c>
      <c r="AL165" s="118">
        <v>86.43</v>
      </c>
      <c r="AM165" s="118">
        <v>0.52</v>
      </c>
      <c r="AN165" s="118">
        <v>119.5</v>
      </c>
      <c r="AO165" s="118">
        <v>700.09</v>
      </c>
      <c r="AP165" s="118">
        <v>2.0499999999999998</v>
      </c>
      <c r="AQ165" s="118">
        <v>0.11</v>
      </c>
      <c r="AR165" s="118">
        <v>0.03</v>
      </c>
      <c r="AS165" s="118">
        <v>0.03</v>
      </c>
      <c r="AT165" s="118">
        <v>0.02</v>
      </c>
      <c r="AU165" s="118"/>
      <c r="AV165" s="124">
        <v>7.5340000000000004E-2</v>
      </c>
      <c r="AW165" s="124">
        <v>9.5780000000000004E-2</v>
      </c>
      <c r="AX165" s="124">
        <v>0.16294</v>
      </c>
      <c r="AY165" s="124">
        <v>0.15125999999999998</v>
      </c>
      <c r="AZ165" s="124">
        <v>2.453E-2</v>
      </c>
      <c r="BA165" s="124">
        <v>2.0730000000000002E-2</v>
      </c>
      <c r="BB165" s="124">
        <v>0.15943000000000002</v>
      </c>
      <c r="BC165" s="124">
        <v>9.5189999999999997E-2</v>
      </c>
      <c r="BD165" s="124">
        <v>2.4820000000000002E-2</v>
      </c>
      <c r="BE165" s="124">
        <v>0.11738</v>
      </c>
      <c r="BF165" s="124">
        <v>0.12673000000000001</v>
      </c>
      <c r="BG165" s="124">
        <v>9.1980000000000006E-2</v>
      </c>
      <c r="BH165" s="124">
        <v>0.35858000000000001</v>
      </c>
      <c r="BI165" s="124">
        <v>0.44355</v>
      </c>
      <c r="BJ165" s="124">
        <v>0.11709</v>
      </c>
      <c r="BK165" s="124">
        <v>0.14717</v>
      </c>
      <c r="BL165" s="124">
        <v>0.10249</v>
      </c>
      <c r="BM165" s="124">
        <v>0.10016</v>
      </c>
      <c r="BN165" s="118">
        <v>183</v>
      </c>
      <c r="BO165" s="118">
        <v>3.07</v>
      </c>
      <c r="BP165" s="118"/>
      <c r="BQ165" s="118"/>
      <c r="BR165" s="154" t="s">
        <v>85</v>
      </c>
      <c r="BS165" s="154" t="s">
        <v>85</v>
      </c>
      <c r="BT165" s="154" t="s">
        <v>85</v>
      </c>
      <c r="BU165" s="154">
        <v>20.58</v>
      </c>
      <c r="BV165" s="154" t="s">
        <v>85</v>
      </c>
      <c r="BW165" s="154">
        <v>34.89</v>
      </c>
      <c r="BX165" s="154" t="s">
        <v>85</v>
      </c>
      <c r="BY165" s="154" t="s">
        <v>85</v>
      </c>
      <c r="BZ165" s="154">
        <v>4.99</v>
      </c>
      <c r="CA165" s="154">
        <v>12.86</v>
      </c>
      <c r="CB165" s="154"/>
      <c r="CC165" s="154" t="s">
        <v>85</v>
      </c>
      <c r="CD165" s="154">
        <v>7.39</v>
      </c>
      <c r="CE165" s="154" t="s">
        <v>85</v>
      </c>
      <c r="CF165" s="154" t="s">
        <v>85</v>
      </c>
      <c r="CG165" s="48" t="s">
        <v>1165</v>
      </c>
      <c r="CH165" s="48"/>
      <c r="CI165" s="205"/>
      <c r="CJ165" s="205"/>
      <c r="CK165" s="205"/>
      <c r="CL165" s="205"/>
    </row>
    <row r="166" spans="1:90" ht="15">
      <c r="A166" s="122">
        <v>32701</v>
      </c>
      <c r="B166" s="122" t="s">
        <v>729</v>
      </c>
      <c r="C166" s="122" t="s">
        <v>730</v>
      </c>
      <c r="D166" s="122" t="s">
        <v>731</v>
      </c>
      <c r="E166" s="122" t="s">
        <v>1108</v>
      </c>
      <c r="F166" s="122" t="s">
        <v>1354</v>
      </c>
      <c r="G166" s="163" t="s">
        <v>1355</v>
      </c>
      <c r="H166" s="122">
        <v>14</v>
      </c>
      <c r="I166" s="122" t="s">
        <v>291</v>
      </c>
      <c r="J166" s="118">
        <v>301.14999999999998</v>
      </c>
      <c r="K166" s="118">
        <v>20.6</v>
      </c>
      <c r="L166" s="118">
        <v>2.67</v>
      </c>
      <c r="M166" s="118">
        <v>0.35</v>
      </c>
      <c r="N166" s="118">
        <v>70.040000000000006</v>
      </c>
      <c r="O166" s="118">
        <v>4.24</v>
      </c>
      <c r="P166" s="118">
        <v>0.09</v>
      </c>
      <c r="Q166" s="118">
        <v>0.22</v>
      </c>
      <c r="R166" s="118">
        <v>0.56000000000000005</v>
      </c>
      <c r="S166" s="118">
        <v>0.2</v>
      </c>
      <c r="T166" s="118">
        <v>0.17</v>
      </c>
      <c r="U166" s="118">
        <v>36.49</v>
      </c>
      <c r="V166" s="118">
        <v>0</v>
      </c>
      <c r="W166" s="118">
        <v>1.95</v>
      </c>
      <c r="X166" s="118">
        <v>6.82</v>
      </c>
      <c r="Y166" s="118">
        <v>0.02</v>
      </c>
      <c r="Z166" s="118">
        <v>1.63</v>
      </c>
      <c r="AA166" s="118">
        <v>0</v>
      </c>
      <c r="AB166" s="118">
        <v>0</v>
      </c>
      <c r="AC166" s="118"/>
      <c r="AD166" s="118">
        <v>3.12</v>
      </c>
      <c r="AE166" s="118">
        <v>18.72</v>
      </c>
      <c r="AF166" s="118"/>
      <c r="AG166" s="118"/>
      <c r="AH166" s="118">
        <v>2.86</v>
      </c>
      <c r="AI166" s="118">
        <v>62.54</v>
      </c>
      <c r="AJ166" s="118">
        <v>0.43</v>
      </c>
      <c r="AK166" s="118">
        <v>5.54</v>
      </c>
      <c r="AL166" s="118">
        <v>31.04</v>
      </c>
      <c r="AM166" s="118">
        <v>0.52</v>
      </c>
      <c r="AN166" s="118">
        <v>85.46</v>
      </c>
      <c r="AO166" s="118">
        <v>1009</v>
      </c>
      <c r="AP166" s="118">
        <v>1.86</v>
      </c>
      <c r="AQ166" s="118">
        <v>0.24</v>
      </c>
      <c r="AR166" s="118">
        <v>0.38</v>
      </c>
      <c r="AS166" s="118">
        <v>0.4</v>
      </c>
      <c r="AT166" s="118">
        <v>0.14000000000000001</v>
      </c>
      <c r="AU166" s="118"/>
      <c r="AV166" s="124">
        <v>2.7129999999999998E-2</v>
      </c>
      <c r="AW166" s="124">
        <v>2.052E-2</v>
      </c>
      <c r="AX166" s="124">
        <v>4.829E-2</v>
      </c>
      <c r="AY166" s="124">
        <v>3.1660000000000001E-2</v>
      </c>
      <c r="AZ166" s="124">
        <v>9.11E-3</v>
      </c>
      <c r="BA166" s="124">
        <v>7.4099999999999999E-3</v>
      </c>
      <c r="BB166" s="124">
        <v>2.6380000000000001E-2</v>
      </c>
      <c r="BC166" s="124">
        <v>3.3579999999999999E-2</v>
      </c>
      <c r="BD166" s="124">
        <v>8.8999999999999999E-3</v>
      </c>
      <c r="BE166" s="124">
        <v>3.0429999999999999E-2</v>
      </c>
      <c r="BF166" s="124">
        <v>6.8860000000000005E-2</v>
      </c>
      <c r="BG166" s="124">
        <v>0.14482</v>
      </c>
      <c r="BH166" s="124">
        <v>7.2749999999999995E-2</v>
      </c>
      <c r="BI166" s="124">
        <v>0.11465</v>
      </c>
      <c r="BJ166" s="124">
        <v>3.7520000000000005E-2</v>
      </c>
      <c r="BK166" s="124">
        <v>9.5459999999999989E-2</v>
      </c>
      <c r="BL166" s="124">
        <v>5.0479999999999997E-2</v>
      </c>
      <c r="BM166" s="124">
        <v>2.0039999999999999E-2</v>
      </c>
      <c r="BN166" s="118">
        <v>286</v>
      </c>
      <c r="BO166" s="118">
        <v>20.23</v>
      </c>
      <c r="BP166" s="118"/>
      <c r="BQ166" s="154">
        <v>11.1</v>
      </c>
      <c r="BR166" s="154" t="s">
        <v>85</v>
      </c>
      <c r="BS166" s="154" t="s">
        <v>85</v>
      </c>
      <c r="BT166" s="154" t="s">
        <v>85</v>
      </c>
      <c r="BU166" s="154">
        <v>46.97</v>
      </c>
      <c r="BV166" s="154" t="s">
        <v>85</v>
      </c>
      <c r="BW166" s="154">
        <v>46.53</v>
      </c>
      <c r="BX166" s="154" t="s">
        <v>85</v>
      </c>
      <c r="BY166" s="154" t="s">
        <v>85</v>
      </c>
      <c r="BZ166" s="154">
        <v>147</v>
      </c>
      <c r="CA166" s="154">
        <v>11.91</v>
      </c>
      <c r="CB166" s="154"/>
      <c r="CC166" s="154" t="s">
        <v>85</v>
      </c>
      <c r="CD166" s="154">
        <v>24.12</v>
      </c>
      <c r="CE166" s="154" t="s">
        <v>85</v>
      </c>
      <c r="CF166" s="154" t="s">
        <v>85</v>
      </c>
      <c r="CG166" s="48">
        <v>3</v>
      </c>
      <c r="CH166" s="48"/>
      <c r="CI166" s="48"/>
      <c r="CJ166" s="48"/>
      <c r="CK166"/>
      <c r="CL166"/>
    </row>
    <row r="167" spans="1:90" ht="15">
      <c r="A167" s="122">
        <v>32002</v>
      </c>
      <c r="B167" s="122" t="s">
        <v>733</v>
      </c>
      <c r="C167" s="122" t="s">
        <v>734</v>
      </c>
      <c r="D167" s="127" t="s">
        <v>735</v>
      </c>
      <c r="E167" s="122" t="s">
        <v>1108</v>
      </c>
      <c r="F167" s="122" t="s">
        <v>1356</v>
      </c>
      <c r="G167" s="163" t="s">
        <v>1357</v>
      </c>
      <c r="H167" s="122">
        <v>14</v>
      </c>
      <c r="I167" s="122" t="s">
        <v>291</v>
      </c>
      <c r="J167" s="118">
        <v>43</v>
      </c>
      <c r="K167" s="118">
        <v>88.74</v>
      </c>
      <c r="L167" s="118">
        <v>0.82</v>
      </c>
      <c r="M167" s="118">
        <v>0.39</v>
      </c>
      <c r="N167" s="118">
        <v>8.33</v>
      </c>
      <c r="O167" s="118">
        <v>1.4</v>
      </c>
      <c r="P167" s="118">
        <v>0.11</v>
      </c>
      <c r="Q167" s="118">
        <v>0.04</v>
      </c>
      <c r="R167" s="118">
        <v>0.3</v>
      </c>
      <c r="S167" s="118"/>
      <c r="T167" s="118">
        <v>0.09</v>
      </c>
      <c r="U167" s="118">
        <v>12.1</v>
      </c>
      <c r="V167" s="118"/>
      <c r="W167" s="118">
        <v>20.94</v>
      </c>
      <c r="X167" s="118">
        <v>0</v>
      </c>
      <c r="Y167" s="118">
        <v>0.1</v>
      </c>
      <c r="Z167" s="118">
        <v>2.4</v>
      </c>
      <c r="AA167" s="118">
        <v>0</v>
      </c>
      <c r="AB167" s="118"/>
      <c r="AC167" s="118"/>
      <c r="AD167" s="118"/>
      <c r="AE167" s="118"/>
      <c r="AF167" s="118"/>
      <c r="AG167" s="118"/>
      <c r="AH167" s="118"/>
      <c r="AI167" s="118">
        <v>20.41</v>
      </c>
      <c r="AJ167" s="118">
        <v>0.24</v>
      </c>
      <c r="AK167" s="118">
        <v>1.6</v>
      </c>
      <c r="AL167" s="118">
        <v>12</v>
      </c>
      <c r="AM167" s="118">
        <v>1.28</v>
      </c>
      <c r="AN167" s="118">
        <v>6.82</v>
      </c>
      <c r="AO167" s="118">
        <v>122.22</v>
      </c>
      <c r="AP167" s="118">
        <v>0.08</v>
      </c>
      <c r="AQ167" s="118">
        <v>0.6</v>
      </c>
      <c r="AR167" s="118"/>
      <c r="AS167" s="118"/>
      <c r="AT167" s="118"/>
      <c r="AU167" s="118"/>
      <c r="AV167" s="124"/>
      <c r="AW167" s="124"/>
      <c r="AX167" s="124"/>
      <c r="AY167" s="124"/>
      <c r="AZ167" s="124"/>
      <c r="BA167" s="124"/>
      <c r="BB167" s="124"/>
      <c r="BC167" s="124"/>
      <c r="BD167" s="124"/>
      <c r="BE167" s="124"/>
      <c r="BF167" s="124"/>
      <c r="BG167" s="124"/>
      <c r="BH167" s="124"/>
      <c r="BI167" s="124"/>
      <c r="BJ167" s="124"/>
      <c r="BK167" s="124"/>
      <c r="BL167" s="124"/>
      <c r="BM167" s="124"/>
      <c r="BN167" s="118">
        <v>22.69</v>
      </c>
      <c r="BO167" s="118"/>
      <c r="BP167" s="118">
        <v>5</v>
      </c>
      <c r="BQ167" s="118">
        <v>5.5</v>
      </c>
      <c r="BR167" s="154" t="s">
        <v>85</v>
      </c>
      <c r="BS167" s="154" t="s">
        <v>85</v>
      </c>
      <c r="BT167" s="154" t="s">
        <v>85</v>
      </c>
      <c r="BU167" s="154">
        <v>42.57</v>
      </c>
      <c r="BV167" s="154" t="s">
        <v>85</v>
      </c>
      <c r="BW167" s="154">
        <v>31.15</v>
      </c>
      <c r="BX167" s="154" t="s">
        <v>85</v>
      </c>
      <c r="BY167" s="154" t="s">
        <v>85</v>
      </c>
      <c r="BZ167" s="154">
        <v>17.75</v>
      </c>
      <c r="CA167" s="154">
        <v>30</v>
      </c>
      <c r="CB167" s="154"/>
      <c r="CC167" s="154" t="s">
        <v>85</v>
      </c>
      <c r="CD167" s="154">
        <v>13.25</v>
      </c>
      <c r="CE167" s="154" t="s">
        <v>85</v>
      </c>
      <c r="CF167" s="154" t="s">
        <v>85</v>
      </c>
      <c r="CG167" s="205" t="s">
        <v>1075</v>
      </c>
      <c r="CH167" s="205"/>
      <c r="CI167" s="205"/>
      <c r="CJ167" s="205"/>
      <c r="CK167" s="205"/>
      <c r="CL167" s="205"/>
    </row>
    <row r="168" spans="1:90" ht="15">
      <c r="A168" s="122">
        <v>32030</v>
      </c>
      <c r="B168" s="122" t="s">
        <v>738</v>
      </c>
      <c r="C168" s="122" t="s">
        <v>739</v>
      </c>
      <c r="D168" s="122" t="s">
        <v>710</v>
      </c>
      <c r="E168" s="122" t="s">
        <v>1108</v>
      </c>
      <c r="F168" s="122" t="s">
        <v>1358</v>
      </c>
      <c r="G168" s="163" t="s">
        <v>1359</v>
      </c>
      <c r="H168" s="122">
        <v>14</v>
      </c>
      <c r="I168" s="122" t="s">
        <v>291</v>
      </c>
      <c r="J168" s="118">
        <v>49</v>
      </c>
      <c r="K168" s="118">
        <v>85.14</v>
      </c>
      <c r="L168" s="118">
        <v>0.69</v>
      </c>
      <c r="M168" s="118">
        <v>0.08</v>
      </c>
      <c r="N168" s="118">
        <v>10.59</v>
      </c>
      <c r="O168" s="118">
        <v>1.68</v>
      </c>
      <c r="P168" s="118">
        <v>0.02</v>
      </c>
      <c r="Q168" s="118">
        <v>0.02</v>
      </c>
      <c r="R168" s="118">
        <v>0.26</v>
      </c>
      <c r="S168" s="118">
        <v>0.13</v>
      </c>
      <c r="T168" s="118">
        <v>0.13</v>
      </c>
      <c r="U168" s="118">
        <v>25.86</v>
      </c>
      <c r="V168" s="118"/>
      <c r="W168" s="118">
        <v>90.24</v>
      </c>
      <c r="X168" s="118">
        <v>7.68</v>
      </c>
      <c r="Y168" s="118">
        <v>0.91</v>
      </c>
      <c r="Z168" s="118">
        <v>14.42</v>
      </c>
      <c r="AA168" s="118">
        <v>0</v>
      </c>
      <c r="AB168" s="118"/>
      <c r="AC168" s="118"/>
      <c r="AD168" s="118">
        <v>72.37</v>
      </c>
      <c r="AE168" s="118"/>
      <c r="AF168" s="118"/>
      <c r="AG168" s="118"/>
      <c r="AH168" s="118"/>
      <c r="AI168" s="118">
        <v>27</v>
      </c>
      <c r="AJ168" s="118">
        <v>0.08</v>
      </c>
      <c r="AK168" s="118">
        <v>0.4</v>
      </c>
      <c r="AL168" s="118">
        <v>17.54</v>
      </c>
      <c r="AM168" s="118">
        <v>0.23</v>
      </c>
      <c r="AN168" s="118">
        <v>14.92</v>
      </c>
      <c r="AO168" s="118">
        <v>147</v>
      </c>
      <c r="AP168" s="118"/>
      <c r="AQ168" s="118">
        <v>0.09</v>
      </c>
      <c r="AR168" s="118">
        <v>0.03</v>
      </c>
      <c r="AS168" s="118">
        <v>0.01</v>
      </c>
      <c r="AT168" s="118">
        <v>0.03</v>
      </c>
      <c r="AU168" s="118"/>
      <c r="AV168" s="124">
        <v>1.9530000000000002E-2</v>
      </c>
      <c r="AW168" s="124">
        <v>3.0640000000000001E-2</v>
      </c>
      <c r="AX168" s="124">
        <v>5.4509999999999996E-2</v>
      </c>
      <c r="AY168" s="124">
        <v>3.6850000000000001E-2</v>
      </c>
      <c r="AZ168" s="124">
        <v>9.4500000000000001E-3</v>
      </c>
      <c r="BA168" s="124">
        <v>4.9000000000000007E-3</v>
      </c>
      <c r="BB168" s="124">
        <v>2.588E-2</v>
      </c>
      <c r="BC168" s="124">
        <v>2.8910000000000002E-2</v>
      </c>
      <c r="BD168" s="124">
        <v>7.3099999999999997E-3</v>
      </c>
      <c r="BE168" s="124">
        <v>3.9949999999999999E-2</v>
      </c>
      <c r="BF168" s="124">
        <v>6.3619999999999996E-2</v>
      </c>
      <c r="BG168" s="124">
        <v>3.6850000000000001E-2</v>
      </c>
      <c r="BH168" s="124">
        <v>7.059E-2</v>
      </c>
      <c r="BI168" s="124">
        <v>9.819E-2</v>
      </c>
      <c r="BJ168" s="124">
        <v>3.7469999999999996E-2</v>
      </c>
      <c r="BK168" s="124">
        <v>3.6850000000000001E-2</v>
      </c>
      <c r="BL168" s="124">
        <v>3.4430000000000002E-2</v>
      </c>
      <c r="BM168" s="124">
        <v>2.3390000000000001E-2</v>
      </c>
      <c r="BN168" s="118">
        <v>580</v>
      </c>
      <c r="BO168" s="118">
        <v>15.26</v>
      </c>
      <c r="BP168" s="118"/>
      <c r="BQ168" s="118">
        <v>7.6</v>
      </c>
      <c r="BR168" s="154" t="s">
        <v>85</v>
      </c>
      <c r="BS168" s="154" t="s">
        <v>85</v>
      </c>
      <c r="BT168" s="154">
        <v>0.67</v>
      </c>
      <c r="BU168" s="154">
        <v>23.36</v>
      </c>
      <c r="BV168" s="154" t="s">
        <v>85</v>
      </c>
      <c r="BW168" s="154">
        <v>7.15</v>
      </c>
      <c r="BX168" s="154" t="s">
        <v>85</v>
      </c>
      <c r="BY168" s="154" t="s">
        <v>85</v>
      </c>
      <c r="BZ168" s="154">
        <v>17.53</v>
      </c>
      <c r="CA168" s="154">
        <v>12.61</v>
      </c>
      <c r="CB168" s="154"/>
      <c r="CC168" s="154" t="s">
        <v>85</v>
      </c>
      <c r="CD168" s="154">
        <v>5.74</v>
      </c>
      <c r="CE168" s="154" t="s">
        <v>85</v>
      </c>
      <c r="CF168" s="154" t="s">
        <v>85</v>
      </c>
      <c r="CG168" s="48" t="s">
        <v>1165</v>
      </c>
      <c r="CH168" s="48"/>
      <c r="CI168" s="48"/>
      <c r="CJ168" s="48"/>
      <c r="CK168" s="205"/>
      <c r="CL168" s="205"/>
    </row>
    <row r="169" spans="1:90" ht="15">
      <c r="A169" s="122">
        <v>32003</v>
      </c>
      <c r="B169" s="122" t="s">
        <v>741</v>
      </c>
      <c r="C169" s="122" t="s">
        <v>742</v>
      </c>
      <c r="D169" s="122" t="s">
        <v>743</v>
      </c>
      <c r="E169" s="122" t="s">
        <v>1108</v>
      </c>
      <c r="F169" s="122" t="s">
        <v>1360</v>
      </c>
      <c r="G169" s="163" t="s">
        <v>1361</v>
      </c>
      <c r="H169" s="122">
        <v>14</v>
      </c>
      <c r="I169" s="122" t="s">
        <v>291</v>
      </c>
      <c r="J169" s="118">
        <v>22</v>
      </c>
      <c r="K169" s="118">
        <v>94.22</v>
      </c>
      <c r="L169" s="118">
        <v>0.47</v>
      </c>
      <c r="M169" s="118">
        <v>0.2</v>
      </c>
      <c r="N169" s="118">
        <v>4.38</v>
      </c>
      <c r="O169" s="118">
        <v>0.4</v>
      </c>
      <c r="P169" s="118">
        <v>0.02</v>
      </c>
      <c r="Q169" s="118">
        <v>0.04</v>
      </c>
      <c r="R169" s="118">
        <v>0.18</v>
      </c>
      <c r="S169" s="118">
        <v>0.19</v>
      </c>
      <c r="T169" s="118">
        <v>0.05</v>
      </c>
      <c r="U169" s="118">
        <v>3</v>
      </c>
      <c r="V169" s="118">
        <v>0</v>
      </c>
      <c r="W169" s="118">
        <v>23.95</v>
      </c>
      <c r="X169" s="118">
        <v>0.56000000000000005</v>
      </c>
      <c r="Y169" s="118">
        <v>0.05</v>
      </c>
      <c r="Z169" s="118">
        <v>2.1</v>
      </c>
      <c r="AA169" s="118">
        <v>0</v>
      </c>
      <c r="AB169" s="118">
        <v>29.31</v>
      </c>
      <c r="AC169" s="118">
        <v>0</v>
      </c>
      <c r="AD169" s="118">
        <v>299.73</v>
      </c>
      <c r="AE169" s="118">
        <v>947.5</v>
      </c>
      <c r="AF169" s="118"/>
      <c r="AG169" s="118"/>
      <c r="AH169" s="118">
        <v>24.66</v>
      </c>
      <c r="AI169" s="118">
        <v>12.44</v>
      </c>
      <c r="AJ169" s="118">
        <v>0.12</v>
      </c>
      <c r="AK169" s="118">
        <v>0.39</v>
      </c>
      <c r="AL169" s="118">
        <v>11.01</v>
      </c>
      <c r="AM169" s="118">
        <v>0.04</v>
      </c>
      <c r="AN169" s="118">
        <v>12</v>
      </c>
      <c r="AO169" s="118">
        <v>106.75</v>
      </c>
      <c r="AP169" s="118"/>
      <c r="AQ169" s="118">
        <v>0.15</v>
      </c>
      <c r="AR169" s="118">
        <v>0.05</v>
      </c>
      <c r="AS169" s="118">
        <v>0.02</v>
      </c>
      <c r="AT169" s="118">
        <v>7.0000000000000007E-2</v>
      </c>
      <c r="AU169" s="118"/>
      <c r="AV169" s="124">
        <v>1.529E-2</v>
      </c>
      <c r="AW169" s="124">
        <v>2.0320000000000001E-2</v>
      </c>
      <c r="AX169" s="124">
        <v>1.7760000000000001E-2</v>
      </c>
      <c r="AY169" s="124">
        <v>1.865E-2</v>
      </c>
      <c r="AZ169" s="124">
        <v>5.1200000000000004E-3</v>
      </c>
      <c r="BA169" s="124">
        <v>4.79E-3</v>
      </c>
      <c r="BB169" s="124">
        <v>1.5679999999999999E-2</v>
      </c>
      <c r="BC169" s="124">
        <v>2.6510000000000002E-2</v>
      </c>
      <c r="BD169" s="124">
        <v>6.7800000000000004E-3</v>
      </c>
      <c r="BE169" s="124">
        <v>2.1360000000000001E-2</v>
      </c>
      <c r="BF169" s="124">
        <v>2.35E-2</v>
      </c>
      <c r="BG169" s="124">
        <v>4.7780000000000003E-2</v>
      </c>
      <c r="BH169" s="124">
        <v>9.7459999999999991E-2</v>
      </c>
      <c r="BI169" s="124">
        <v>8.4940000000000002E-2</v>
      </c>
      <c r="BJ169" s="124">
        <v>1.2320000000000001E-2</v>
      </c>
      <c r="BK169" s="124">
        <v>2.3530000000000002E-2</v>
      </c>
      <c r="BL169" s="124">
        <v>1.779E-2</v>
      </c>
      <c r="BM169" s="124">
        <v>1.119E-2</v>
      </c>
      <c r="BN169" s="118">
        <v>5.89</v>
      </c>
      <c r="BO169" s="118">
        <v>10</v>
      </c>
      <c r="BP169" s="118">
        <v>11</v>
      </c>
      <c r="BQ169" s="118">
        <v>4.0999999999999996</v>
      </c>
      <c r="BR169" s="154" t="s">
        <v>85</v>
      </c>
      <c r="BS169" s="154" t="s">
        <v>85</v>
      </c>
      <c r="BT169" s="154" t="s">
        <v>85</v>
      </c>
      <c r="BU169" s="154">
        <v>32.4</v>
      </c>
      <c r="BV169" s="154" t="s">
        <v>85</v>
      </c>
      <c r="BW169" s="154">
        <v>24.84</v>
      </c>
      <c r="BX169" s="154" t="s">
        <v>85</v>
      </c>
      <c r="BY169" s="154" t="s">
        <v>85</v>
      </c>
      <c r="BZ169" s="154">
        <v>51.9</v>
      </c>
      <c r="CA169" s="154">
        <v>15.55</v>
      </c>
      <c r="CB169" s="154"/>
      <c r="CC169" s="154" t="s">
        <v>85</v>
      </c>
      <c r="CD169" s="154">
        <v>162</v>
      </c>
      <c r="CE169" s="154" t="s">
        <v>85</v>
      </c>
      <c r="CF169" s="154" t="s">
        <v>85</v>
      </c>
      <c r="CG169" s="205" t="s">
        <v>1075</v>
      </c>
      <c r="CH169" s="205"/>
      <c r="CI169" s="205"/>
      <c r="CJ169" s="205"/>
      <c r="CK169" s="205"/>
      <c r="CL169" s="205"/>
    </row>
    <row r="170" spans="1:90" ht="15">
      <c r="A170" s="122">
        <v>31002</v>
      </c>
      <c r="B170" s="122" t="s">
        <v>745</v>
      </c>
      <c r="C170" s="122" t="s">
        <v>746</v>
      </c>
      <c r="D170" s="122" t="s">
        <v>200</v>
      </c>
      <c r="E170" s="122" t="s">
        <v>1108</v>
      </c>
      <c r="F170" s="122" t="s">
        <v>1362</v>
      </c>
      <c r="G170" s="163" t="s">
        <v>1363</v>
      </c>
      <c r="H170" s="122">
        <v>14</v>
      </c>
      <c r="I170" s="122" t="s">
        <v>291</v>
      </c>
      <c r="J170" s="118">
        <v>74</v>
      </c>
      <c r="K170" s="118">
        <v>76.989999999999995</v>
      </c>
      <c r="L170" s="118">
        <v>1.2</v>
      </c>
      <c r="M170" s="118">
        <v>0.2</v>
      </c>
      <c r="N170" s="118">
        <v>13.29</v>
      </c>
      <c r="O170" s="118">
        <v>7.24</v>
      </c>
      <c r="P170" s="118">
        <v>0.11</v>
      </c>
      <c r="Q170" s="118">
        <v>0.05</v>
      </c>
      <c r="R170" s="118">
        <v>0.92</v>
      </c>
      <c r="S170" s="118">
        <v>0.16</v>
      </c>
      <c r="T170" s="118">
        <v>0.31</v>
      </c>
      <c r="U170" s="118">
        <v>24</v>
      </c>
      <c r="V170" s="118">
        <v>0</v>
      </c>
      <c r="W170" s="118">
        <v>3.43</v>
      </c>
      <c r="X170" s="118">
        <v>10.87</v>
      </c>
      <c r="Y170" s="118">
        <v>0.11</v>
      </c>
      <c r="Z170" s="118">
        <v>37</v>
      </c>
      <c r="AA170" s="118">
        <v>0</v>
      </c>
      <c r="AB170" s="118">
        <v>2</v>
      </c>
      <c r="AC170" s="118"/>
      <c r="AD170" s="118">
        <v>28.18</v>
      </c>
      <c r="AE170" s="118">
        <v>19.3</v>
      </c>
      <c r="AF170" s="118"/>
      <c r="AG170" s="118"/>
      <c r="AH170" s="118">
        <v>2.42</v>
      </c>
      <c r="AI170" s="118">
        <v>13.15</v>
      </c>
      <c r="AJ170" s="118">
        <v>0.03</v>
      </c>
      <c r="AK170" s="118">
        <v>0.32</v>
      </c>
      <c r="AL170" s="118">
        <v>42.42</v>
      </c>
      <c r="AM170" s="118">
        <v>0.35</v>
      </c>
      <c r="AN170" s="118">
        <v>41</v>
      </c>
      <c r="AO170" s="118">
        <v>267.98</v>
      </c>
      <c r="AP170" s="118"/>
      <c r="AQ170" s="118">
        <v>0.59</v>
      </c>
      <c r="AR170" s="118">
        <v>0.04</v>
      </c>
      <c r="AS170" s="118">
        <v>0.04</v>
      </c>
      <c r="AT170" s="118">
        <v>0.04</v>
      </c>
      <c r="AU170" s="118"/>
      <c r="AV170" s="124">
        <v>4.4659999999999998E-2</v>
      </c>
      <c r="AW170" s="124">
        <v>9.5629999999999993E-2</v>
      </c>
      <c r="AX170" s="124">
        <v>0.18522</v>
      </c>
      <c r="AY170" s="124">
        <v>9.0969999999999995E-2</v>
      </c>
      <c r="AZ170" s="124">
        <v>1.4800000000000001E-2</v>
      </c>
      <c r="BA170" s="124">
        <v>1.3699999999999999E-2</v>
      </c>
      <c r="BB170" s="124">
        <v>0.12303</v>
      </c>
      <c r="BC170" s="124">
        <v>0.11919</v>
      </c>
      <c r="BD170" s="124">
        <v>1.6989999999999998E-2</v>
      </c>
      <c r="BE170" s="124">
        <v>0.14193</v>
      </c>
      <c r="BF170" s="124">
        <v>0.16878000000000001</v>
      </c>
      <c r="BG170" s="124">
        <v>8.8230000000000003E-2</v>
      </c>
      <c r="BH170" s="124">
        <v>0.7198</v>
      </c>
      <c r="BI170" s="124">
        <v>0.25318000000000002</v>
      </c>
      <c r="BJ170" s="124">
        <v>0.14796000000000001</v>
      </c>
      <c r="BK170" s="124">
        <v>0.12111</v>
      </c>
      <c r="BL170" s="124">
        <v>0.14768999999999999</v>
      </c>
      <c r="BM170" s="124">
        <v>8.8230000000000003E-2</v>
      </c>
      <c r="BN170" s="118">
        <v>53.74</v>
      </c>
      <c r="BO170" s="118">
        <v>52.94</v>
      </c>
      <c r="BP170" s="118">
        <v>10</v>
      </c>
      <c r="BQ170" s="118"/>
      <c r="BR170" s="154" t="s">
        <v>85</v>
      </c>
      <c r="BS170" s="154" t="s">
        <v>85</v>
      </c>
      <c r="BT170" s="154">
        <v>0.65</v>
      </c>
      <c r="BU170" s="154">
        <v>35.32</v>
      </c>
      <c r="BV170" s="154" t="s">
        <v>85</v>
      </c>
      <c r="BW170" s="154">
        <v>21.79</v>
      </c>
      <c r="BX170" s="154">
        <v>9.3800000000000008</v>
      </c>
      <c r="BY170" s="154">
        <v>79.52</v>
      </c>
      <c r="BZ170" s="154">
        <v>68.67</v>
      </c>
      <c r="CA170" s="154">
        <v>38.57</v>
      </c>
      <c r="CB170" s="154"/>
      <c r="CC170" s="154" t="s">
        <v>85</v>
      </c>
      <c r="CD170" s="154">
        <v>7.49</v>
      </c>
      <c r="CE170" s="154" t="s">
        <v>85</v>
      </c>
      <c r="CF170" s="154" t="s">
        <v>85</v>
      </c>
      <c r="CG170" s="205" t="s">
        <v>1165</v>
      </c>
      <c r="CH170" s="205"/>
      <c r="CI170" s="205"/>
      <c r="CJ170" s="205"/>
      <c r="CK170" s="205"/>
      <c r="CL170" s="205"/>
    </row>
    <row r="171" spans="1:90" ht="15">
      <c r="A171" s="122">
        <v>32004</v>
      </c>
      <c r="B171" s="122" t="s">
        <v>748</v>
      </c>
      <c r="C171" s="122" t="s">
        <v>749</v>
      </c>
      <c r="D171" s="122" t="s">
        <v>750</v>
      </c>
      <c r="E171" s="122" t="s">
        <v>1108</v>
      </c>
      <c r="F171" s="122" t="s">
        <v>1364</v>
      </c>
      <c r="G171" s="163" t="s">
        <v>1365</v>
      </c>
      <c r="H171" s="122">
        <v>14</v>
      </c>
      <c r="I171" s="122" t="s">
        <v>291</v>
      </c>
      <c r="J171" s="118">
        <v>389</v>
      </c>
      <c r="K171" s="118">
        <v>42.9</v>
      </c>
      <c r="L171" s="118">
        <v>3.33</v>
      </c>
      <c r="M171" s="118">
        <v>36.67</v>
      </c>
      <c r="N171" s="118">
        <v>6.91</v>
      </c>
      <c r="O171" s="118">
        <v>9.17</v>
      </c>
      <c r="P171" s="118">
        <v>0.05</v>
      </c>
      <c r="Q171" s="118">
        <v>0.04</v>
      </c>
      <c r="R171" s="118">
        <v>0.5</v>
      </c>
      <c r="S171" s="118">
        <v>0.21</v>
      </c>
      <c r="T171" s="118">
        <v>0.05</v>
      </c>
      <c r="U171" s="118">
        <v>22.88</v>
      </c>
      <c r="V171" s="118">
        <v>0</v>
      </c>
      <c r="W171" s="118">
        <v>3.26</v>
      </c>
      <c r="X171" s="118">
        <v>0</v>
      </c>
      <c r="Y171" s="118">
        <v>0.73</v>
      </c>
      <c r="Z171" s="118">
        <v>23.22</v>
      </c>
      <c r="AA171" s="118">
        <v>0</v>
      </c>
      <c r="AB171" s="118">
        <v>0</v>
      </c>
      <c r="AC171" s="118">
        <v>0</v>
      </c>
      <c r="AD171" s="118">
        <v>0</v>
      </c>
      <c r="AE171" s="118">
        <v>122</v>
      </c>
      <c r="AF171" s="118"/>
      <c r="AG171" s="118"/>
      <c r="AH171" s="118">
        <v>4.84</v>
      </c>
      <c r="AI171" s="118">
        <v>15.72</v>
      </c>
      <c r="AJ171" s="118">
        <v>0.31</v>
      </c>
      <c r="AK171" s="118">
        <v>2.17</v>
      </c>
      <c r="AL171" s="118">
        <v>37</v>
      </c>
      <c r="AM171" s="118">
        <v>0.74</v>
      </c>
      <c r="AN171" s="118">
        <v>116.8</v>
      </c>
      <c r="AO171" s="118">
        <v>424</v>
      </c>
      <c r="AP171" s="118"/>
      <c r="AQ171" s="118">
        <v>0.74</v>
      </c>
      <c r="AR171" s="118">
        <v>28.05</v>
      </c>
      <c r="AS171" s="118">
        <v>2.4500000000000002</v>
      </c>
      <c r="AT171" s="118">
        <v>0.64</v>
      </c>
      <c r="AU171" s="118"/>
      <c r="AV171" s="124">
        <v>9.2159999999999992E-2</v>
      </c>
      <c r="AW171" s="124">
        <v>0.16781000000000001</v>
      </c>
      <c r="AX171" s="124">
        <v>0.26611000000000001</v>
      </c>
      <c r="AY171" s="124">
        <v>0.15666999999999998</v>
      </c>
      <c r="AZ171" s="124">
        <v>8.4099999999999994E-2</v>
      </c>
      <c r="BA171" s="124">
        <v>5.645E-2</v>
      </c>
      <c r="BB171" s="124">
        <v>0.17318</v>
      </c>
      <c r="BC171" s="124">
        <v>0.12479999999999999</v>
      </c>
      <c r="BD171" s="124">
        <v>4.6079999999999996E-2</v>
      </c>
      <c r="BE171" s="124">
        <v>0.22387000000000001</v>
      </c>
      <c r="BF171" s="124">
        <v>0.20236999999999999</v>
      </c>
      <c r="BG171" s="124">
        <v>0.53261000000000003</v>
      </c>
      <c r="BH171" s="124">
        <v>0.36941000000000002</v>
      </c>
      <c r="BI171" s="124">
        <v>0.73421000000000003</v>
      </c>
      <c r="BJ171" s="124">
        <v>0.17779</v>
      </c>
      <c r="BK171" s="124">
        <v>0.17702000000000001</v>
      </c>
      <c r="BL171" s="124">
        <v>0.20466999999999999</v>
      </c>
      <c r="BM171" s="124">
        <v>0.12287999999999999</v>
      </c>
      <c r="BN171" s="118">
        <v>35.22</v>
      </c>
      <c r="BO171" s="118">
        <v>136</v>
      </c>
      <c r="BP171" s="118"/>
      <c r="BQ171" s="118">
        <v>12.1</v>
      </c>
      <c r="BR171" s="154">
        <v>1699</v>
      </c>
      <c r="BS171" s="154">
        <v>15442</v>
      </c>
      <c r="BT171" s="154">
        <v>6736</v>
      </c>
      <c r="BU171" s="154">
        <v>3067</v>
      </c>
      <c r="BV171" s="154" t="s">
        <v>85</v>
      </c>
      <c r="BW171" s="154">
        <v>243</v>
      </c>
      <c r="BX171" s="154">
        <v>15.62</v>
      </c>
      <c r="BY171" s="154" t="s">
        <v>85</v>
      </c>
      <c r="BZ171" s="154">
        <v>639</v>
      </c>
      <c r="CA171" s="154" t="s">
        <v>85</v>
      </c>
      <c r="CB171" s="154"/>
      <c r="CC171" s="154" t="s">
        <v>85</v>
      </c>
      <c r="CD171" s="154">
        <v>2206</v>
      </c>
      <c r="CE171" s="154" t="s">
        <v>85</v>
      </c>
      <c r="CF171" s="154" t="s">
        <v>85</v>
      </c>
      <c r="CG171" s="48">
        <v>1</v>
      </c>
      <c r="CH171" s="205"/>
      <c r="CI171" s="205"/>
      <c r="CJ171" s="205"/>
      <c r="CK171" s="205"/>
      <c r="CL171" s="205"/>
    </row>
    <row r="172" spans="1:90" ht="15">
      <c r="A172" s="122">
        <v>32005</v>
      </c>
      <c r="B172" s="122" t="s">
        <v>752</v>
      </c>
      <c r="C172" s="122" t="s">
        <v>753</v>
      </c>
      <c r="D172" s="122" t="s">
        <v>754</v>
      </c>
      <c r="E172" s="122" t="s">
        <v>1081</v>
      </c>
      <c r="F172" s="122" t="s">
        <v>1366</v>
      </c>
      <c r="G172" s="163" t="s">
        <v>1367</v>
      </c>
      <c r="H172" s="122">
        <v>14</v>
      </c>
      <c r="I172" s="122" t="s">
        <v>197</v>
      </c>
      <c r="J172" s="118">
        <v>26</v>
      </c>
      <c r="K172" s="118">
        <v>92.14</v>
      </c>
      <c r="L172" s="118">
        <v>1.1399999999999999</v>
      </c>
      <c r="M172" s="118">
        <v>0.2</v>
      </c>
      <c r="N172" s="118">
        <v>4.07</v>
      </c>
      <c r="O172" s="118">
        <v>1.8</v>
      </c>
      <c r="P172" s="118">
        <v>0.04</v>
      </c>
      <c r="Q172" s="118">
        <v>0.02</v>
      </c>
      <c r="R172" s="118">
        <v>0.4</v>
      </c>
      <c r="S172" s="118"/>
      <c r="T172" s="118">
        <v>0.09</v>
      </c>
      <c r="U172" s="118">
        <v>14.5</v>
      </c>
      <c r="V172" s="118"/>
      <c r="W172" s="118">
        <v>24.7</v>
      </c>
      <c r="X172" s="118">
        <v>0.59</v>
      </c>
      <c r="Y172" s="118">
        <v>0.03</v>
      </c>
      <c r="Z172" s="118">
        <v>0.1</v>
      </c>
      <c r="AA172" s="118">
        <v>0</v>
      </c>
      <c r="AB172" s="118">
        <v>0</v>
      </c>
      <c r="AC172" s="118">
        <v>0</v>
      </c>
      <c r="AD172" s="118">
        <v>0</v>
      </c>
      <c r="AE172" s="118"/>
      <c r="AF172" s="118"/>
      <c r="AG172" s="118"/>
      <c r="AH172" s="118"/>
      <c r="AI172" s="118">
        <v>31.5</v>
      </c>
      <c r="AJ172" s="118">
        <v>0.05</v>
      </c>
      <c r="AK172" s="118">
        <v>0.42</v>
      </c>
      <c r="AL172" s="118">
        <v>9.5</v>
      </c>
      <c r="AM172" s="118">
        <v>0.13400000000000001</v>
      </c>
      <c r="AN172" s="118">
        <v>34</v>
      </c>
      <c r="AO172" s="118">
        <v>235.5</v>
      </c>
      <c r="AP172" s="118">
        <v>0.7</v>
      </c>
      <c r="AQ172" s="118">
        <v>0.52</v>
      </c>
      <c r="AR172" s="118"/>
      <c r="AS172" s="118"/>
      <c r="AT172" s="118"/>
      <c r="AU172" s="118"/>
      <c r="AV172" s="124"/>
      <c r="AW172" s="124"/>
      <c r="AX172" s="124"/>
      <c r="AY172" s="124"/>
      <c r="AZ172" s="124"/>
      <c r="BA172" s="124"/>
      <c r="BB172" s="124"/>
      <c r="BC172" s="124"/>
      <c r="BD172" s="124"/>
      <c r="BE172" s="124"/>
      <c r="BF172" s="124"/>
      <c r="BG172" s="124"/>
      <c r="BH172" s="124"/>
      <c r="BI172" s="124"/>
      <c r="BJ172" s="124"/>
      <c r="BK172" s="124"/>
      <c r="BL172" s="124"/>
      <c r="BM172" s="124"/>
      <c r="BN172" s="118"/>
      <c r="BO172" s="118"/>
      <c r="BP172" s="118"/>
      <c r="BQ172" s="118">
        <v>11.1</v>
      </c>
      <c r="BR172" s="154">
        <v>0</v>
      </c>
      <c r="BS172" s="154">
        <v>0</v>
      </c>
      <c r="BT172" s="154">
        <v>0</v>
      </c>
      <c r="BU172" s="154">
        <v>10</v>
      </c>
      <c r="BV172" s="154">
        <v>1</v>
      </c>
      <c r="BW172" s="154">
        <v>6</v>
      </c>
      <c r="BX172" s="154">
        <v>0</v>
      </c>
      <c r="BY172" s="154">
        <v>0</v>
      </c>
      <c r="BZ172" s="154">
        <v>12</v>
      </c>
      <c r="CA172" s="154">
        <v>40</v>
      </c>
      <c r="CB172" s="154">
        <v>0</v>
      </c>
      <c r="CC172" s="154">
        <v>0</v>
      </c>
      <c r="CD172" s="154">
        <v>1</v>
      </c>
      <c r="CE172" s="154">
        <v>0</v>
      </c>
      <c r="CF172" s="154">
        <v>0</v>
      </c>
      <c r="CG172" s="205" t="s">
        <v>1165</v>
      </c>
      <c r="CH172" s="205"/>
      <c r="CI172" s="205"/>
      <c r="CJ172" s="205"/>
      <c r="CK172" s="205"/>
      <c r="CL172" s="205"/>
    </row>
    <row r="173" spans="1:90" ht="15">
      <c r="A173" s="122">
        <v>32006</v>
      </c>
      <c r="B173" s="122" t="s">
        <v>756</v>
      </c>
      <c r="C173" s="122" t="s">
        <v>757</v>
      </c>
      <c r="D173" s="122" t="s">
        <v>758</v>
      </c>
      <c r="E173" s="122" t="s">
        <v>1108</v>
      </c>
      <c r="F173" s="122" t="s">
        <v>1368</v>
      </c>
      <c r="G173" s="163" t="s">
        <v>1369</v>
      </c>
      <c r="H173" s="122">
        <v>2</v>
      </c>
      <c r="I173" s="122" t="s">
        <v>291</v>
      </c>
      <c r="J173" s="118">
        <v>95</v>
      </c>
      <c r="K173" s="118">
        <v>75.22</v>
      </c>
      <c r="L173" s="118">
        <v>1.26</v>
      </c>
      <c r="M173" s="118">
        <v>0.84</v>
      </c>
      <c r="N173" s="118">
        <v>19.239999999999998</v>
      </c>
      <c r="O173" s="118">
        <v>2.6</v>
      </c>
      <c r="P173" s="118">
        <v>0.05</v>
      </c>
      <c r="Q173" s="118">
        <v>0.08</v>
      </c>
      <c r="R173" s="118">
        <v>0.7</v>
      </c>
      <c r="S173" s="118">
        <v>0.36</v>
      </c>
      <c r="T173" s="118">
        <v>0.1</v>
      </c>
      <c r="U173" s="118">
        <v>20</v>
      </c>
      <c r="V173" s="118">
        <v>0</v>
      </c>
      <c r="W173" s="118">
        <v>1.03</v>
      </c>
      <c r="X173" s="118">
        <v>0.19</v>
      </c>
      <c r="Y173" s="118">
        <v>0.75</v>
      </c>
      <c r="Z173" s="118">
        <v>2.2000000000000002</v>
      </c>
      <c r="AA173" s="118">
        <v>0</v>
      </c>
      <c r="AB173" s="118">
        <v>1.79</v>
      </c>
      <c r="AC173" s="118">
        <v>3.57</v>
      </c>
      <c r="AD173" s="118">
        <v>21.44</v>
      </c>
      <c r="AE173" s="118">
        <v>26.9</v>
      </c>
      <c r="AF173" s="118"/>
      <c r="AG173" s="118"/>
      <c r="AH173" s="118">
        <v>2.33</v>
      </c>
      <c r="AI173" s="118">
        <v>11.34</v>
      </c>
      <c r="AJ173" s="118">
        <v>0.09</v>
      </c>
      <c r="AK173" s="118">
        <v>0.28999999999999998</v>
      </c>
      <c r="AL173" s="118">
        <v>22.96</v>
      </c>
      <c r="AM173" s="118">
        <v>0.36</v>
      </c>
      <c r="AN173" s="118">
        <v>36</v>
      </c>
      <c r="AO173" s="118">
        <v>410.68</v>
      </c>
      <c r="AP173" s="118"/>
      <c r="AQ173" s="118">
        <v>0.24</v>
      </c>
      <c r="AR173" s="118">
        <v>0.11</v>
      </c>
      <c r="AS173" s="118">
        <v>0.02</v>
      </c>
      <c r="AT173" s="118">
        <v>0.13</v>
      </c>
      <c r="AU173" s="118"/>
      <c r="AV173" s="124">
        <v>7.1959999999999996E-2</v>
      </c>
      <c r="AW173" s="124">
        <v>4.539E-2</v>
      </c>
      <c r="AX173" s="124">
        <v>0.10123</v>
      </c>
      <c r="AY173" s="124">
        <v>5.289E-2</v>
      </c>
      <c r="AZ173" s="124">
        <v>1.341E-2</v>
      </c>
      <c r="BA173" s="124">
        <v>7.0099999999999997E-3</v>
      </c>
      <c r="BB173" s="124">
        <v>5.2639999999999999E-2</v>
      </c>
      <c r="BC173" s="124">
        <v>5.0310000000000001E-2</v>
      </c>
      <c r="BD173" s="124">
        <v>1.218E-2</v>
      </c>
      <c r="BE173" s="124">
        <v>7.442E-2</v>
      </c>
      <c r="BF173" s="124">
        <v>8.7080000000000005E-2</v>
      </c>
      <c r="BG173" s="124">
        <v>4.5509999999999995E-2</v>
      </c>
      <c r="BH173" s="124">
        <v>0.16075999999999999</v>
      </c>
      <c r="BI173" s="124">
        <v>0.18659000000000001</v>
      </c>
      <c r="BJ173" s="124">
        <v>5.892E-2</v>
      </c>
      <c r="BK173" s="124">
        <v>4.4899999999999995E-2</v>
      </c>
      <c r="BL173" s="124">
        <v>5.781E-2</v>
      </c>
      <c r="BM173" s="124">
        <v>2.632E-2</v>
      </c>
      <c r="BN173" s="118">
        <v>10.7</v>
      </c>
      <c r="BO173" s="118">
        <v>13.98</v>
      </c>
      <c r="BP173" s="118">
        <v>3</v>
      </c>
      <c r="BQ173" s="118">
        <v>9.8000000000000007</v>
      </c>
      <c r="BR173" s="154" t="s">
        <v>85</v>
      </c>
      <c r="BS173" s="154" t="s">
        <v>85</v>
      </c>
      <c r="BT173" s="154" t="s">
        <v>85</v>
      </c>
      <c r="BU173" s="154">
        <v>103</v>
      </c>
      <c r="BV173" s="154" t="s">
        <v>85</v>
      </c>
      <c r="BW173" s="154">
        <v>8.73</v>
      </c>
      <c r="BX173" s="154" t="s">
        <v>85</v>
      </c>
      <c r="BY173" s="154" t="s">
        <v>85</v>
      </c>
      <c r="BZ173" s="154">
        <v>68.33</v>
      </c>
      <c r="CA173" s="154">
        <v>63.24</v>
      </c>
      <c r="CB173" s="154"/>
      <c r="CC173" s="154" t="s">
        <v>85</v>
      </c>
      <c r="CD173" s="154">
        <v>9.74</v>
      </c>
      <c r="CE173" s="154" t="s">
        <v>85</v>
      </c>
      <c r="CF173" s="154" t="s">
        <v>85</v>
      </c>
      <c r="CG173" s="205">
        <v>3</v>
      </c>
      <c r="CH173" s="205"/>
      <c r="CI173" s="205"/>
      <c r="CJ173" s="205"/>
      <c r="CK173" s="205"/>
      <c r="CL173" s="205"/>
    </row>
    <row r="174" spans="1:90" ht="15">
      <c r="A174" s="122">
        <v>32007</v>
      </c>
      <c r="B174" s="122" t="s">
        <v>760</v>
      </c>
      <c r="C174" s="122" t="s">
        <v>761</v>
      </c>
      <c r="D174" s="122" t="s">
        <v>762</v>
      </c>
      <c r="E174" s="122" t="s">
        <v>1108</v>
      </c>
      <c r="F174" s="122" t="s">
        <v>1370</v>
      </c>
      <c r="G174" s="163" t="s">
        <v>1371</v>
      </c>
      <c r="H174" s="122">
        <v>14</v>
      </c>
      <c r="I174" s="122" t="s">
        <v>291</v>
      </c>
      <c r="J174" s="118">
        <v>44</v>
      </c>
      <c r="K174" s="118">
        <v>86.69</v>
      </c>
      <c r="L174" s="118">
        <v>0.8</v>
      </c>
      <c r="M174" s="118">
        <v>0.11</v>
      </c>
      <c r="N174" s="118">
        <v>8.3000000000000007</v>
      </c>
      <c r="O174" s="118">
        <v>3.4</v>
      </c>
      <c r="P174" s="118">
        <v>0.02</v>
      </c>
      <c r="Q174" s="118">
        <v>0.08</v>
      </c>
      <c r="R174" s="118">
        <v>0.2</v>
      </c>
      <c r="S174" s="118">
        <v>0.35</v>
      </c>
      <c r="T174" s="118">
        <v>0.27</v>
      </c>
      <c r="U174" s="118">
        <v>7.86</v>
      </c>
      <c r="V174" s="118">
        <v>0</v>
      </c>
      <c r="W174" s="118">
        <v>453.35</v>
      </c>
      <c r="X174" s="118">
        <v>0.27</v>
      </c>
      <c r="Y174" s="118">
        <v>0.12</v>
      </c>
      <c r="Z174" s="118">
        <v>1.64</v>
      </c>
      <c r="AA174" s="118">
        <v>0</v>
      </c>
      <c r="AB174" s="118">
        <v>0.75</v>
      </c>
      <c r="AC174" s="118">
        <v>0</v>
      </c>
      <c r="AD174" s="118">
        <v>9</v>
      </c>
      <c r="AE174" s="118">
        <v>38.700000000000003</v>
      </c>
      <c r="AF174" s="118"/>
      <c r="AG174" s="118"/>
      <c r="AH174" s="118">
        <v>2.86</v>
      </c>
      <c r="AI174" s="118">
        <v>32.020000000000003</v>
      </c>
      <c r="AJ174" s="118">
        <v>0.12</v>
      </c>
      <c r="AK174" s="118">
        <v>0.94</v>
      </c>
      <c r="AL174" s="118">
        <v>28</v>
      </c>
      <c r="AM174" s="118">
        <v>0.11</v>
      </c>
      <c r="AN174" s="118">
        <v>25</v>
      </c>
      <c r="AO174" s="118">
        <v>225</v>
      </c>
      <c r="AP174" s="118"/>
      <c r="AQ174" s="118">
        <v>0.3</v>
      </c>
      <c r="AR174" s="118">
        <v>0.04</v>
      </c>
      <c r="AS174" s="118">
        <v>0.02</v>
      </c>
      <c r="AT174" s="118">
        <v>0.08</v>
      </c>
      <c r="AU174" s="118"/>
      <c r="AV174" s="124">
        <v>8.1600000000000006E-3</v>
      </c>
      <c r="AW174" s="124">
        <v>6.6E-3</v>
      </c>
      <c r="AX174" s="124">
        <v>1.4449999999999999E-2</v>
      </c>
      <c r="AY174" s="124">
        <v>1.3800000000000002E-2</v>
      </c>
      <c r="AZ174" s="124">
        <v>2.48E-3</v>
      </c>
      <c r="BA174" s="124">
        <v>2.0699999999999998E-3</v>
      </c>
      <c r="BB174" s="124">
        <v>1.6489999999999998E-2</v>
      </c>
      <c r="BC174" s="124">
        <v>1.1220000000000001E-2</v>
      </c>
      <c r="BD174" s="124">
        <v>2.5499999999999997E-3</v>
      </c>
      <c r="BE174" s="124">
        <v>1.017E-2</v>
      </c>
      <c r="BF174" s="124">
        <v>2.1999999999999999E-2</v>
      </c>
      <c r="BG174" s="124">
        <v>1.316E-2</v>
      </c>
      <c r="BH174" s="124">
        <v>5.0659999999999997E-2</v>
      </c>
      <c r="BI174" s="124">
        <v>8.1259999999999999E-2</v>
      </c>
      <c r="BJ174" s="124">
        <v>1.703E-2</v>
      </c>
      <c r="BK174" s="124">
        <v>1.523E-2</v>
      </c>
      <c r="BL174" s="124">
        <v>1.6829999999999998E-2</v>
      </c>
      <c r="BM174" s="124">
        <v>8.8400000000000006E-3</v>
      </c>
      <c r="BN174" s="118">
        <v>1031</v>
      </c>
      <c r="BO174" s="118">
        <v>8</v>
      </c>
      <c r="BP174" s="118">
        <v>296</v>
      </c>
      <c r="BQ174" s="118"/>
      <c r="BR174" s="154" t="s">
        <v>85</v>
      </c>
      <c r="BS174" s="154" t="s">
        <v>85</v>
      </c>
      <c r="BT174" s="154" t="s">
        <v>85</v>
      </c>
      <c r="BU174" s="154">
        <v>26.48</v>
      </c>
      <c r="BV174" s="154" t="s">
        <v>85</v>
      </c>
      <c r="BW174" s="154">
        <v>23.93</v>
      </c>
      <c r="BX174" s="154" t="s">
        <v>85</v>
      </c>
      <c r="BY174" s="154" t="s">
        <v>85</v>
      </c>
      <c r="BZ174" s="154">
        <v>47.41</v>
      </c>
      <c r="CA174" s="154">
        <v>27.83</v>
      </c>
      <c r="CB174" s="154"/>
      <c r="CC174" s="154" t="s">
        <v>85</v>
      </c>
      <c r="CD174" s="154">
        <v>12.95</v>
      </c>
      <c r="CE174" s="154" t="s">
        <v>85</v>
      </c>
      <c r="CF174" s="154" t="s">
        <v>85</v>
      </c>
      <c r="CG174" s="48"/>
      <c r="CH174" s="205"/>
      <c r="CI174" s="205"/>
      <c r="CJ174" s="205"/>
      <c r="CK174" s="205"/>
      <c r="CL174" s="205"/>
    </row>
    <row r="175" spans="1:90" ht="15">
      <c r="A175" s="122">
        <v>32008</v>
      </c>
      <c r="B175" s="122" t="s">
        <v>764</v>
      </c>
      <c r="C175" s="122" t="s">
        <v>765</v>
      </c>
      <c r="D175" s="122" t="s">
        <v>766</v>
      </c>
      <c r="E175" s="122" t="s">
        <v>1108</v>
      </c>
      <c r="F175" s="122" t="s">
        <v>1372</v>
      </c>
      <c r="G175" s="163" t="s">
        <v>1373</v>
      </c>
      <c r="H175" s="122">
        <v>14</v>
      </c>
      <c r="I175" s="122" t="s">
        <v>291</v>
      </c>
      <c r="J175" s="118">
        <v>62</v>
      </c>
      <c r="K175" s="118">
        <v>81.790000000000006</v>
      </c>
      <c r="L175" s="118">
        <v>1.42</v>
      </c>
      <c r="M175" s="118">
        <v>0.48</v>
      </c>
      <c r="N175" s="118">
        <v>10.18</v>
      </c>
      <c r="O175" s="118">
        <v>5.51</v>
      </c>
      <c r="P175" s="118">
        <v>0.02</v>
      </c>
      <c r="Q175" s="118">
        <v>0.06</v>
      </c>
      <c r="R175" s="118">
        <v>0.6</v>
      </c>
      <c r="S175" s="118">
        <v>0.19</v>
      </c>
      <c r="T175" s="118">
        <v>7.0000000000000007E-2</v>
      </c>
      <c r="U175" s="118">
        <v>15.69</v>
      </c>
      <c r="V175" s="118">
        <v>0</v>
      </c>
      <c r="W175" s="118">
        <v>11.03</v>
      </c>
      <c r="X175" s="118">
        <v>0.33</v>
      </c>
      <c r="Y175" s="118">
        <v>0.06</v>
      </c>
      <c r="Z175" s="118">
        <v>7.8</v>
      </c>
      <c r="AA175" s="118">
        <v>0</v>
      </c>
      <c r="AB175" s="118">
        <v>0</v>
      </c>
      <c r="AC175" s="118">
        <v>0</v>
      </c>
      <c r="AD175" s="118">
        <v>1.47</v>
      </c>
      <c r="AE175" s="118">
        <v>27.33</v>
      </c>
      <c r="AF175" s="118"/>
      <c r="AG175" s="118"/>
      <c r="AH175" s="118">
        <v>1.61</v>
      </c>
      <c r="AI175" s="118">
        <v>10.6</v>
      </c>
      <c r="AJ175" s="118">
        <v>0.2</v>
      </c>
      <c r="AK175" s="118">
        <v>0.46</v>
      </c>
      <c r="AL175" s="118">
        <v>14.58</v>
      </c>
      <c r="AM175" s="118">
        <v>0.04</v>
      </c>
      <c r="AN175" s="118">
        <v>17.39</v>
      </c>
      <c r="AO175" s="118">
        <v>130.69999999999999</v>
      </c>
      <c r="AP175" s="118">
        <v>0.46</v>
      </c>
      <c r="AQ175" s="118">
        <v>0.27</v>
      </c>
      <c r="AR175" s="118">
        <v>0.09</v>
      </c>
      <c r="AS175" s="118">
        <v>0.05</v>
      </c>
      <c r="AT175" s="118">
        <v>0.79</v>
      </c>
      <c r="AU175" s="118"/>
      <c r="AV175" s="124">
        <v>1.822E-2</v>
      </c>
      <c r="AW175" s="124">
        <v>4.6829999999999997E-2</v>
      </c>
      <c r="AX175" s="124">
        <v>7.9989999999999992E-2</v>
      </c>
      <c r="AY175" s="124">
        <v>4.9009999999999998E-2</v>
      </c>
      <c r="AZ175" s="124">
        <v>1.4449999999999999E-2</v>
      </c>
      <c r="BA175" s="124">
        <v>1.208E-2</v>
      </c>
      <c r="BB175" s="124">
        <v>5.3359999999999998E-2</v>
      </c>
      <c r="BC175" s="124">
        <v>4.6929999999999999E-2</v>
      </c>
      <c r="BD175" s="124">
        <v>7.3299999999999997E-3</v>
      </c>
      <c r="BE175" s="124">
        <v>5.9900000000000002E-2</v>
      </c>
      <c r="BF175" s="124">
        <v>0.10454000000000001</v>
      </c>
      <c r="BG175" s="124">
        <v>2.2179999999999998E-2</v>
      </c>
      <c r="BH175" s="124">
        <v>0.11534</v>
      </c>
      <c r="BI175" s="124">
        <v>0.15909000000000001</v>
      </c>
      <c r="BJ175" s="124">
        <v>5.5039999999999999E-2</v>
      </c>
      <c r="BK175" s="124">
        <v>5.663E-2</v>
      </c>
      <c r="BL175" s="124">
        <v>5.108E-2</v>
      </c>
      <c r="BM175" s="124">
        <v>2.8910000000000002E-2</v>
      </c>
      <c r="BN175" s="118">
        <v>124</v>
      </c>
      <c r="BO175" s="118">
        <v>2.57</v>
      </c>
      <c r="BP175" s="118">
        <v>19</v>
      </c>
      <c r="BQ175" s="118">
        <v>7.1</v>
      </c>
      <c r="BR175" s="154" t="s">
        <v>85</v>
      </c>
      <c r="BS175" s="154" t="s">
        <v>85</v>
      </c>
      <c r="BT175" s="154" t="s">
        <v>85</v>
      </c>
      <c r="BU175" s="154">
        <v>68.53</v>
      </c>
      <c r="BV175" s="154" t="s">
        <v>85</v>
      </c>
      <c r="BW175" s="154">
        <v>41.6</v>
      </c>
      <c r="BX175" s="154" t="s">
        <v>85</v>
      </c>
      <c r="BY175" s="154" t="s">
        <v>85</v>
      </c>
      <c r="BZ175" s="154">
        <v>51.98</v>
      </c>
      <c r="CA175" s="154">
        <v>26.91</v>
      </c>
      <c r="CB175" s="154"/>
      <c r="CC175" s="154" t="s">
        <v>85</v>
      </c>
      <c r="CD175" s="154">
        <v>8.1999999999999993</v>
      </c>
      <c r="CE175" s="154" t="s">
        <v>85</v>
      </c>
      <c r="CF175" s="154" t="s">
        <v>85</v>
      </c>
      <c r="CG175" s="205" t="s">
        <v>1165</v>
      </c>
      <c r="CH175" s="205"/>
      <c r="CI175" s="205"/>
      <c r="CJ175" s="205"/>
      <c r="CK175" s="205"/>
      <c r="CL175" s="205"/>
    </row>
    <row r="176" spans="1:90" ht="15">
      <c r="A176" s="122">
        <v>32702</v>
      </c>
      <c r="B176" s="122" t="s">
        <v>768</v>
      </c>
      <c r="C176" s="122" t="s">
        <v>769</v>
      </c>
      <c r="D176" s="122" t="s">
        <v>136</v>
      </c>
      <c r="E176" s="122" t="s">
        <v>1108</v>
      </c>
      <c r="F176" s="122" t="s">
        <v>1374</v>
      </c>
      <c r="G176" s="163" t="s">
        <v>1375</v>
      </c>
      <c r="H176" s="122">
        <v>14</v>
      </c>
      <c r="I176" s="122" t="s">
        <v>291</v>
      </c>
      <c r="J176" s="118">
        <v>320</v>
      </c>
      <c r="K176" s="118">
        <v>14.8</v>
      </c>
      <c r="L176" s="118">
        <v>2.1</v>
      </c>
      <c r="M176" s="118">
        <v>0.49</v>
      </c>
      <c r="N176" s="118">
        <v>72.8</v>
      </c>
      <c r="O176" s="118">
        <v>8.1999999999999993</v>
      </c>
      <c r="P176" s="118">
        <v>0.03</v>
      </c>
      <c r="Q176" s="118">
        <v>0.03</v>
      </c>
      <c r="R176" s="118"/>
      <c r="S176" s="118">
        <v>0.78</v>
      </c>
      <c r="T176" s="118">
        <v>0.12</v>
      </c>
      <c r="U176" s="118">
        <v>19</v>
      </c>
      <c r="V176" s="118">
        <v>0</v>
      </c>
      <c r="W176" s="118">
        <v>7.9</v>
      </c>
      <c r="X176" s="118">
        <v>1.37</v>
      </c>
      <c r="Y176" s="118">
        <v>0.02</v>
      </c>
      <c r="Z176" s="118">
        <v>3.34</v>
      </c>
      <c r="AA176" s="118">
        <v>0</v>
      </c>
      <c r="AB176" s="118">
        <v>227</v>
      </c>
      <c r="AC176" s="118"/>
      <c r="AD176" s="118">
        <v>2729</v>
      </c>
      <c r="AE176" s="118">
        <v>283</v>
      </c>
      <c r="AF176" s="118"/>
      <c r="AG176" s="118"/>
      <c r="AH176" s="118">
        <v>6.89</v>
      </c>
      <c r="AI176" s="118">
        <v>55</v>
      </c>
      <c r="AJ176" s="118">
        <v>0.34</v>
      </c>
      <c r="AK176" s="118">
        <v>1.5</v>
      </c>
      <c r="AL176" s="118">
        <v>50</v>
      </c>
      <c r="AM176" s="118">
        <v>0.82</v>
      </c>
      <c r="AN176" s="118">
        <v>56</v>
      </c>
      <c r="AO176" s="118">
        <v>613</v>
      </c>
      <c r="AP176" s="118">
        <v>0.78</v>
      </c>
      <c r="AQ176" s="118">
        <v>0.71</v>
      </c>
      <c r="AR176" s="118">
        <v>0.11</v>
      </c>
      <c r="AS176" s="118">
        <v>0.03</v>
      </c>
      <c r="AT176" s="118">
        <v>0.15</v>
      </c>
      <c r="AU176" s="118"/>
      <c r="AV176" s="124">
        <v>4.7189999999999996E-2</v>
      </c>
      <c r="AW176" s="124">
        <v>6.0139999999999999E-2</v>
      </c>
      <c r="AX176" s="124">
        <v>0.12584000000000001</v>
      </c>
      <c r="AY176" s="124">
        <v>6.3530000000000003E-2</v>
      </c>
      <c r="AZ176" s="124">
        <v>2.759E-2</v>
      </c>
      <c r="BA176" s="124">
        <v>3.134E-2</v>
      </c>
      <c r="BB176" s="124">
        <v>8.3610000000000004E-2</v>
      </c>
      <c r="BC176" s="124">
        <v>8.4699999999999998E-2</v>
      </c>
      <c r="BD176" s="124">
        <v>3.243E-2</v>
      </c>
      <c r="BE176" s="124">
        <v>7.442E-2</v>
      </c>
      <c r="BF176" s="124">
        <v>0.16891999999999999</v>
      </c>
      <c r="BG176" s="124">
        <v>9.6560000000000007E-2</v>
      </c>
      <c r="BH176" s="124">
        <v>0.27200999999999997</v>
      </c>
      <c r="BI176" s="124">
        <v>0.37037999999999999</v>
      </c>
      <c r="BJ176" s="124">
        <v>0.14688999999999999</v>
      </c>
      <c r="BK176" s="124">
        <v>0.13794000000000001</v>
      </c>
      <c r="BL176" s="124">
        <v>0.12027</v>
      </c>
      <c r="BM176" s="124">
        <v>5.0220000000000001E-2</v>
      </c>
      <c r="BN176" s="118">
        <v>102</v>
      </c>
      <c r="BO176" s="118">
        <v>130</v>
      </c>
      <c r="BP176" s="118"/>
      <c r="BQ176" s="118"/>
      <c r="BR176" s="154" t="s">
        <v>85</v>
      </c>
      <c r="BS176" s="154" t="s">
        <v>85</v>
      </c>
      <c r="BT176" s="154" t="s">
        <v>85</v>
      </c>
      <c r="BU176" s="154">
        <v>78.83</v>
      </c>
      <c r="BV176" s="154" t="s">
        <v>85</v>
      </c>
      <c r="BW176" s="154">
        <v>30.43</v>
      </c>
      <c r="BX176" s="154" t="s">
        <v>85</v>
      </c>
      <c r="BY176" s="154" t="s">
        <v>85</v>
      </c>
      <c r="BZ176" s="154">
        <v>140</v>
      </c>
      <c r="CA176" s="154">
        <v>19.489999999999998</v>
      </c>
      <c r="CB176" s="154"/>
      <c r="CC176" s="154" t="s">
        <v>85</v>
      </c>
      <c r="CD176" s="154">
        <v>34.159999999999997</v>
      </c>
      <c r="CE176" s="154" t="s">
        <v>85</v>
      </c>
      <c r="CF176" s="154" t="s">
        <v>85</v>
      </c>
      <c r="CG176" s="154">
        <v>17</v>
      </c>
      <c r="CH176" s="205"/>
      <c r="CI176" s="205"/>
      <c r="CJ176" s="205"/>
      <c r="CK176" s="205"/>
      <c r="CL176" s="205"/>
    </row>
    <row r="177" spans="1:85" ht="15">
      <c r="A177" s="122">
        <v>32009</v>
      </c>
      <c r="B177" s="122" t="s">
        <v>771</v>
      </c>
      <c r="C177" s="122" t="s">
        <v>772</v>
      </c>
      <c r="D177" s="122" t="s">
        <v>773</v>
      </c>
      <c r="E177" s="122" t="s">
        <v>1108</v>
      </c>
      <c r="F177" s="122" t="s">
        <v>1376</v>
      </c>
      <c r="G177" s="163" t="s">
        <v>1377</v>
      </c>
      <c r="H177" s="122">
        <v>14</v>
      </c>
      <c r="I177" s="122" t="s">
        <v>291</v>
      </c>
      <c r="J177" s="118">
        <v>67</v>
      </c>
      <c r="K177" s="118">
        <v>80.900000000000006</v>
      </c>
      <c r="L177" s="118">
        <v>1.6</v>
      </c>
      <c r="M177" s="118">
        <v>0.2</v>
      </c>
      <c r="N177" s="118">
        <v>12.7</v>
      </c>
      <c r="O177" s="118">
        <v>4</v>
      </c>
      <c r="P177" s="118">
        <v>0.02</v>
      </c>
      <c r="Q177" s="118">
        <v>0.1</v>
      </c>
      <c r="R177" s="118">
        <v>0.3</v>
      </c>
      <c r="S177" s="118">
        <v>0.42</v>
      </c>
      <c r="T177" s="118">
        <v>0.11</v>
      </c>
      <c r="U177" s="118">
        <v>38</v>
      </c>
      <c r="V177" s="118">
        <v>0</v>
      </c>
      <c r="W177" s="118">
        <v>26</v>
      </c>
      <c r="X177" s="118">
        <v>3.32</v>
      </c>
      <c r="Y177" s="118">
        <v>0.6</v>
      </c>
      <c r="Z177" s="118">
        <v>18.5</v>
      </c>
      <c r="AA177" s="118">
        <v>0</v>
      </c>
      <c r="AB177" s="118">
        <v>2.75</v>
      </c>
      <c r="AC177" s="118">
        <v>26</v>
      </c>
      <c r="AD177" s="118">
        <v>20</v>
      </c>
      <c r="AE177" s="118">
        <v>27.87</v>
      </c>
      <c r="AF177" s="118"/>
      <c r="AG177" s="118"/>
      <c r="AH177" s="118">
        <v>2.5099999999999998</v>
      </c>
      <c r="AI177" s="118">
        <v>21</v>
      </c>
      <c r="AJ177" s="118">
        <v>0.34</v>
      </c>
      <c r="AK177" s="118">
        <v>0.3</v>
      </c>
      <c r="AL177" s="118">
        <v>44</v>
      </c>
      <c r="AM177" s="118">
        <v>0.13</v>
      </c>
      <c r="AN177" s="118">
        <v>70</v>
      </c>
      <c r="AO177" s="118">
        <v>133</v>
      </c>
      <c r="AP177" s="118">
        <v>0.55000000000000004</v>
      </c>
      <c r="AQ177" s="118">
        <v>0.82</v>
      </c>
      <c r="AR177" s="118">
        <v>0.43</v>
      </c>
      <c r="AS177" s="118">
        <v>0.04</v>
      </c>
      <c r="AT177" s="118">
        <v>0.04</v>
      </c>
      <c r="AU177" s="118"/>
      <c r="AV177" s="124">
        <v>2.58E-2</v>
      </c>
      <c r="AW177" s="124">
        <v>2.2210000000000001E-2</v>
      </c>
      <c r="AX177" s="124">
        <v>6.4769999999999994E-2</v>
      </c>
      <c r="AY177" s="124">
        <v>1.5300000000000001E-2</v>
      </c>
      <c r="AZ177" s="124">
        <v>8.1099999999999992E-3</v>
      </c>
      <c r="BA177" s="124">
        <v>1.184E-2</v>
      </c>
      <c r="BB177" s="124">
        <v>4.2290000000000001E-2</v>
      </c>
      <c r="BC177" s="124">
        <v>3.4450000000000001E-2</v>
      </c>
      <c r="BD177" s="124">
        <v>6.1200000000000004E-3</v>
      </c>
      <c r="BE177" s="124">
        <v>3.1920000000000004E-2</v>
      </c>
      <c r="BF177" s="124">
        <v>6.3840000000000008E-2</v>
      </c>
      <c r="BG177" s="124">
        <v>0.11106000000000001</v>
      </c>
      <c r="BH177" s="124">
        <v>0.11305</v>
      </c>
      <c r="BI177" s="124">
        <v>0.36349000000000004</v>
      </c>
      <c r="BJ177" s="124">
        <v>4.7219999999999998E-2</v>
      </c>
      <c r="BK177" s="124">
        <v>4.6020000000000005E-2</v>
      </c>
      <c r="BL177" s="124">
        <v>6.4239999999999992E-2</v>
      </c>
      <c r="BM177" s="124">
        <v>2.4340000000000001E-2</v>
      </c>
      <c r="BN177" s="118">
        <v>67.099999999999994</v>
      </c>
      <c r="BO177" s="118">
        <v>45.71</v>
      </c>
      <c r="BP177" s="118">
        <v>14</v>
      </c>
      <c r="BQ177" s="154">
        <v>7.6</v>
      </c>
      <c r="BR177" s="154" t="s">
        <v>85</v>
      </c>
      <c r="BS177" s="154">
        <v>1.1399999999999999</v>
      </c>
      <c r="BT177" s="154">
        <v>0.48</v>
      </c>
      <c r="BU177" s="154">
        <v>22.64</v>
      </c>
      <c r="BV177" s="154" t="s">
        <v>85</v>
      </c>
      <c r="BW177" s="154">
        <v>35.299999999999997</v>
      </c>
      <c r="BX177" s="154">
        <v>3.22</v>
      </c>
      <c r="BY177" s="154" t="s">
        <v>85</v>
      </c>
      <c r="BZ177" s="154">
        <v>39.159999999999997</v>
      </c>
      <c r="CA177" s="154">
        <v>1.82</v>
      </c>
      <c r="CB177" s="154"/>
      <c r="CC177" s="154" t="s">
        <v>85</v>
      </c>
      <c r="CD177" s="154">
        <v>15.49</v>
      </c>
      <c r="CE177" s="154" t="s">
        <v>85</v>
      </c>
      <c r="CF177" s="154" t="s">
        <v>85</v>
      </c>
      <c r="CG177" s="205" t="s">
        <v>1165</v>
      </c>
    </row>
    <row r="178" spans="1:85" ht="15">
      <c r="A178" s="122">
        <v>32011</v>
      </c>
      <c r="B178" s="122" t="s">
        <v>775</v>
      </c>
      <c r="C178" s="122" t="s">
        <v>776</v>
      </c>
      <c r="D178" s="122" t="s">
        <v>777</v>
      </c>
      <c r="E178" s="122" t="s">
        <v>1108</v>
      </c>
      <c r="F178" s="122" t="s">
        <v>1378</v>
      </c>
      <c r="G178" s="163" t="s">
        <v>1379</v>
      </c>
      <c r="H178" s="122">
        <v>14</v>
      </c>
      <c r="I178" s="122" t="s">
        <v>291</v>
      </c>
      <c r="J178" s="118">
        <v>95.6</v>
      </c>
      <c r="K178" s="118">
        <v>73.34</v>
      </c>
      <c r="L178" s="118">
        <v>0.86</v>
      </c>
      <c r="M178" s="118">
        <v>0.37</v>
      </c>
      <c r="N178" s="118">
        <v>21.46</v>
      </c>
      <c r="O178" s="118">
        <v>3.02</v>
      </c>
      <c r="P178" s="118">
        <v>0.02</v>
      </c>
      <c r="Q178" s="118">
        <v>0.02</v>
      </c>
      <c r="R178" s="118">
        <v>0.74</v>
      </c>
      <c r="S178" s="118">
        <v>0.52</v>
      </c>
      <c r="T178" s="118">
        <v>0.13</v>
      </c>
      <c r="U178" s="118">
        <v>9.8000000000000007</v>
      </c>
      <c r="V178" s="118">
        <v>0</v>
      </c>
      <c r="W178" s="118">
        <v>5.26</v>
      </c>
      <c r="X178" s="118">
        <v>1.2</v>
      </c>
      <c r="Y178" s="118">
        <v>0.09</v>
      </c>
      <c r="Z178" s="118">
        <v>3.5</v>
      </c>
      <c r="AA178" s="118">
        <v>0</v>
      </c>
      <c r="AB178" s="118"/>
      <c r="AC178" s="118"/>
      <c r="AD178" s="118"/>
      <c r="AE178" s="118">
        <v>8.1199999999999992</v>
      </c>
      <c r="AF178" s="118"/>
      <c r="AG178" s="118"/>
      <c r="AH178" s="118">
        <v>2.5</v>
      </c>
      <c r="AI178" s="118">
        <v>37.15</v>
      </c>
      <c r="AJ178" s="118">
        <v>0.19</v>
      </c>
      <c r="AK178" s="118">
        <v>0.77</v>
      </c>
      <c r="AL178" s="118">
        <v>57.43</v>
      </c>
      <c r="AM178" s="118">
        <v>0.56999999999999995</v>
      </c>
      <c r="AN178" s="118">
        <v>62.83</v>
      </c>
      <c r="AO178" s="118">
        <v>382</v>
      </c>
      <c r="AP178" s="118">
        <v>2.4300000000000002</v>
      </c>
      <c r="AQ178" s="118">
        <v>0.67</v>
      </c>
      <c r="AR178" s="118">
        <v>0.87</v>
      </c>
      <c r="AS178" s="118">
        <v>0.11</v>
      </c>
      <c r="AT178" s="118">
        <v>0.1</v>
      </c>
      <c r="AU178" s="118"/>
      <c r="AV178" s="124">
        <v>1.6E-2</v>
      </c>
      <c r="AW178" s="124">
        <v>2.8120000000000003E-2</v>
      </c>
      <c r="AX178" s="124">
        <v>5.0310000000000001E-2</v>
      </c>
      <c r="AY178" s="124">
        <v>3.2340000000000001E-2</v>
      </c>
      <c r="AZ178" s="124">
        <v>8.43E-3</v>
      </c>
      <c r="BA178" s="124">
        <v>1.0580000000000001E-2</v>
      </c>
      <c r="BB178" s="124">
        <v>3.9899999999999998E-2</v>
      </c>
      <c r="BC178" s="124">
        <v>3.2250000000000001E-2</v>
      </c>
      <c r="BD178" s="124">
        <v>9.1199999999999996E-3</v>
      </c>
      <c r="BE178" s="124">
        <v>3.2680000000000001E-2</v>
      </c>
      <c r="BF178" s="124">
        <v>5.3409999999999999E-2</v>
      </c>
      <c r="BG178" s="124">
        <v>4.6700000000000005E-2</v>
      </c>
      <c r="BH178" s="124">
        <v>0.13605</v>
      </c>
      <c r="BI178" s="124">
        <v>0.12504000000000001</v>
      </c>
      <c r="BJ178" s="124">
        <v>4.4810000000000003E-2</v>
      </c>
      <c r="BK178" s="124">
        <v>3.1649999999999998E-2</v>
      </c>
      <c r="BL178" s="124">
        <v>5.04E-2</v>
      </c>
      <c r="BM178" s="124">
        <v>3.1129999999999998E-2</v>
      </c>
      <c r="BN178" s="118"/>
      <c r="BO178" s="118">
        <v>25.86</v>
      </c>
      <c r="BP178" s="118"/>
      <c r="BQ178" s="118"/>
      <c r="BR178" s="154" t="s">
        <v>85</v>
      </c>
      <c r="BS178" s="154">
        <v>0.28999999999999998</v>
      </c>
      <c r="BT178" s="154">
        <v>1.82</v>
      </c>
      <c r="BU178" s="154">
        <v>65</v>
      </c>
      <c r="BV178" s="154" t="s">
        <v>85</v>
      </c>
      <c r="BW178" s="154">
        <v>100</v>
      </c>
      <c r="BX178" s="154">
        <v>2.08</v>
      </c>
      <c r="BY178" s="154">
        <v>1.52</v>
      </c>
      <c r="BZ178" s="154">
        <v>97.81</v>
      </c>
      <c r="CA178" s="154">
        <v>6.16</v>
      </c>
      <c r="CB178" s="154"/>
      <c r="CC178" s="154" t="s">
        <v>85</v>
      </c>
      <c r="CD178" s="154">
        <v>20.64</v>
      </c>
      <c r="CE178" s="154" t="s">
        <v>85</v>
      </c>
      <c r="CF178" s="154" t="s">
        <v>85</v>
      </c>
      <c r="CG178" s="205" t="s">
        <v>1165</v>
      </c>
    </row>
    <row r="179" spans="1:85" ht="15">
      <c r="A179" s="122">
        <v>32012</v>
      </c>
      <c r="B179" s="122" t="s">
        <v>779</v>
      </c>
      <c r="C179" s="122" t="s">
        <v>780</v>
      </c>
      <c r="D179" s="122" t="s">
        <v>731</v>
      </c>
      <c r="E179" s="122" t="s">
        <v>1108</v>
      </c>
      <c r="F179" s="122" t="s">
        <v>1380</v>
      </c>
      <c r="G179" s="163" t="s">
        <v>1381</v>
      </c>
      <c r="H179" s="122">
        <v>14</v>
      </c>
      <c r="I179" s="122" t="s">
        <v>291</v>
      </c>
      <c r="J179" s="118">
        <v>94</v>
      </c>
      <c r="K179" s="118">
        <v>75.3</v>
      </c>
      <c r="L179" s="118">
        <v>0.5</v>
      </c>
      <c r="M179" s="118">
        <v>0.62</v>
      </c>
      <c r="N179" s="118">
        <v>20.18</v>
      </c>
      <c r="O179" s="118">
        <v>2.9</v>
      </c>
      <c r="P179" s="118">
        <v>0.1</v>
      </c>
      <c r="Q179" s="118">
        <v>0.06</v>
      </c>
      <c r="R179" s="118">
        <v>0.23</v>
      </c>
      <c r="S179" s="118">
        <v>7.0000000000000007E-2</v>
      </c>
      <c r="T179" s="118">
        <v>0.06</v>
      </c>
      <c r="U179" s="118">
        <v>7.72</v>
      </c>
      <c r="V179" s="118">
        <v>0</v>
      </c>
      <c r="W179" s="118">
        <v>29</v>
      </c>
      <c r="X179" s="118">
        <v>5.46</v>
      </c>
      <c r="Y179" s="118">
        <v>0.4</v>
      </c>
      <c r="Z179" s="118">
        <v>3.65</v>
      </c>
      <c r="AA179" s="118">
        <v>0</v>
      </c>
      <c r="AB179" s="118">
        <v>2.75</v>
      </c>
      <c r="AC179" s="118"/>
      <c r="AD179" s="118">
        <v>30.77</v>
      </c>
      <c r="AE179" s="118">
        <v>31.3</v>
      </c>
      <c r="AF179" s="118"/>
      <c r="AG179" s="118"/>
      <c r="AH179" s="118">
        <v>4.0599999999999996</v>
      </c>
      <c r="AI179" s="118">
        <v>22</v>
      </c>
      <c r="AJ179" s="118">
        <v>0.13</v>
      </c>
      <c r="AK179" s="118">
        <v>0.5</v>
      </c>
      <c r="AL179" s="118">
        <v>82</v>
      </c>
      <c r="AM179" s="118">
        <v>0.08</v>
      </c>
      <c r="AN179" s="118">
        <v>30</v>
      </c>
      <c r="AO179" s="118">
        <v>191</v>
      </c>
      <c r="AP179" s="118"/>
      <c r="AQ179" s="118">
        <v>7.0000000000000007E-2</v>
      </c>
      <c r="AR179" s="118">
        <v>92.42</v>
      </c>
      <c r="AS179" s="118">
        <v>11.1</v>
      </c>
      <c r="AT179" s="118">
        <v>119</v>
      </c>
      <c r="AU179" s="118"/>
      <c r="AV179" s="124">
        <v>2.01E-2</v>
      </c>
      <c r="AW179" s="124">
        <v>1.694E-2</v>
      </c>
      <c r="AX179" s="124">
        <v>4.8590000000000001E-2</v>
      </c>
      <c r="AY179" s="124">
        <v>1.8020000000000001E-2</v>
      </c>
      <c r="AZ179" s="124">
        <v>8.0099999999999998E-3</v>
      </c>
      <c r="BA179" s="124">
        <v>9.6300000000000014E-3</v>
      </c>
      <c r="BB179" s="124">
        <v>2.402E-2</v>
      </c>
      <c r="BC179" s="124">
        <v>4.104E-2</v>
      </c>
      <c r="BD179" s="124">
        <v>5.0800000000000003E-3</v>
      </c>
      <c r="BE179" s="124">
        <v>1.8940000000000002E-2</v>
      </c>
      <c r="BF179" s="124">
        <v>5.475E-2</v>
      </c>
      <c r="BG179" s="124">
        <v>5.067E-2</v>
      </c>
      <c r="BH179" s="124">
        <v>8.0159999999999995E-2</v>
      </c>
      <c r="BI179" s="124">
        <v>0.16671</v>
      </c>
      <c r="BJ179" s="124">
        <v>2.649E-2</v>
      </c>
      <c r="BK179" s="124">
        <v>3.3030000000000004E-2</v>
      </c>
      <c r="BL179" s="124">
        <v>3.5499999999999997E-2</v>
      </c>
      <c r="BM179" s="124">
        <v>1.8020000000000001E-2</v>
      </c>
      <c r="BN179" s="118">
        <v>144</v>
      </c>
      <c r="BO179" s="118">
        <v>1.27</v>
      </c>
      <c r="BP179" s="118"/>
      <c r="BQ179" s="118">
        <v>5.6</v>
      </c>
      <c r="BR179" s="154" t="s">
        <v>85</v>
      </c>
      <c r="BS179" s="154" t="s">
        <v>85</v>
      </c>
      <c r="BT179" s="154" t="s">
        <v>85</v>
      </c>
      <c r="BU179" s="154">
        <v>72.489999999999995</v>
      </c>
      <c r="BV179" s="154" t="s">
        <v>85</v>
      </c>
      <c r="BW179" s="154">
        <v>12.73</v>
      </c>
      <c r="BX179" s="154" t="s">
        <v>85</v>
      </c>
      <c r="BY179" s="154" t="s">
        <v>85</v>
      </c>
      <c r="BZ179" s="154">
        <v>94.88</v>
      </c>
      <c r="CA179" s="154">
        <v>44.44</v>
      </c>
      <c r="CB179" s="154"/>
      <c r="CC179" s="154" t="s">
        <v>85</v>
      </c>
      <c r="CD179" s="154">
        <v>14.28</v>
      </c>
      <c r="CE179" s="154" t="s">
        <v>85</v>
      </c>
      <c r="CF179" s="154" t="s">
        <v>85</v>
      </c>
      <c r="CG179" s="205">
        <v>1</v>
      </c>
    </row>
    <row r="180" spans="1:85" ht="15">
      <c r="A180" s="122">
        <v>32013</v>
      </c>
      <c r="B180" s="122" t="s">
        <v>782</v>
      </c>
      <c r="C180" s="122" t="s">
        <v>783</v>
      </c>
      <c r="D180" s="122" t="s">
        <v>784</v>
      </c>
      <c r="E180" s="122" t="s">
        <v>1108</v>
      </c>
      <c r="F180" s="122" t="s">
        <v>1382</v>
      </c>
      <c r="G180" s="163" t="s">
        <v>1383</v>
      </c>
      <c r="H180" s="122">
        <v>14</v>
      </c>
      <c r="I180" s="122" t="s">
        <v>291</v>
      </c>
      <c r="J180" s="118">
        <v>60</v>
      </c>
      <c r="K180" s="118">
        <v>84.3</v>
      </c>
      <c r="L180" s="118">
        <v>1.88</v>
      </c>
      <c r="M180" s="118">
        <v>0.2</v>
      </c>
      <c r="N180" s="118">
        <v>12.62</v>
      </c>
      <c r="O180" s="118"/>
      <c r="P180" s="118">
        <v>0.02</v>
      </c>
      <c r="Q180" s="118">
        <v>0.06</v>
      </c>
      <c r="R180" s="118">
        <v>0.8</v>
      </c>
      <c r="S180" s="118">
        <v>0.14000000000000001</v>
      </c>
      <c r="T180" s="118">
        <v>0.08</v>
      </c>
      <c r="U180" s="118"/>
      <c r="V180" s="118">
        <v>0</v>
      </c>
      <c r="W180" s="118">
        <v>66.099999999999994</v>
      </c>
      <c r="X180" s="118">
        <v>16.8</v>
      </c>
      <c r="Y180" s="118"/>
      <c r="Z180" s="118">
        <v>2.5</v>
      </c>
      <c r="AA180" s="118">
        <v>0</v>
      </c>
      <c r="AB180" s="118">
        <v>2</v>
      </c>
      <c r="AC180" s="118">
        <v>0</v>
      </c>
      <c r="AD180" s="118">
        <v>24</v>
      </c>
      <c r="AE180" s="118">
        <v>10.7</v>
      </c>
      <c r="AF180" s="118"/>
      <c r="AG180" s="118"/>
      <c r="AH180" s="118">
        <v>1.6</v>
      </c>
      <c r="AI180" s="118">
        <v>14</v>
      </c>
      <c r="AJ180" s="118">
        <v>0.15</v>
      </c>
      <c r="AK180" s="118">
        <v>0.8</v>
      </c>
      <c r="AL180" s="118">
        <v>24.5</v>
      </c>
      <c r="AM180" s="118">
        <v>0.24</v>
      </c>
      <c r="AN180" s="118">
        <v>33</v>
      </c>
      <c r="AO180" s="118">
        <v>353.5</v>
      </c>
      <c r="AP180" s="118">
        <v>1.42</v>
      </c>
      <c r="AQ180" s="118">
        <v>0.32</v>
      </c>
      <c r="AR180" s="118">
        <v>0.12</v>
      </c>
      <c r="AS180" s="118">
        <v>0.13</v>
      </c>
      <c r="AT180" s="118">
        <v>0.04</v>
      </c>
      <c r="AU180" s="118"/>
      <c r="AV180" s="124">
        <v>2.4660000000000001E-2</v>
      </c>
      <c r="AW180" s="124">
        <v>5.4810000000000005E-2</v>
      </c>
      <c r="AX180" s="124">
        <v>4.811E-2</v>
      </c>
      <c r="AY180" s="124">
        <v>2.01E-2</v>
      </c>
      <c r="AZ180" s="124">
        <v>1.4199999999999999E-2</v>
      </c>
      <c r="BA180" s="124">
        <v>2.0640000000000002E-2</v>
      </c>
      <c r="BB180" s="124">
        <v>4.65E-2</v>
      </c>
      <c r="BC180" s="124">
        <v>3.1489999999999997E-2</v>
      </c>
      <c r="BD180" s="124">
        <v>1.1789999999999998E-2</v>
      </c>
      <c r="BE180" s="124">
        <v>6.2579999999999997E-2</v>
      </c>
      <c r="BF180" s="124">
        <v>6.191E-2</v>
      </c>
      <c r="BG180" s="124">
        <v>7.3829999999999993E-2</v>
      </c>
      <c r="BH180" s="124">
        <v>0.42666000000000004</v>
      </c>
      <c r="BI180" s="124">
        <v>0.23222000000000001</v>
      </c>
      <c r="BJ180" s="124">
        <v>4.1540000000000001E-2</v>
      </c>
      <c r="BK180" s="124">
        <v>3.3770000000000001E-2</v>
      </c>
      <c r="BL180" s="124">
        <v>5.1720000000000002E-2</v>
      </c>
      <c r="BM180" s="124">
        <v>4.6359999999999998E-2</v>
      </c>
      <c r="BN180" s="118">
        <v>131</v>
      </c>
      <c r="BO180" s="118">
        <v>85.6</v>
      </c>
      <c r="BP180" s="118"/>
      <c r="BQ180" s="118"/>
      <c r="BR180" s="154" t="s">
        <v>85</v>
      </c>
      <c r="BS180" s="154">
        <v>1.92</v>
      </c>
      <c r="BT180" s="154">
        <v>5.34</v>
      </c>
      <c r="BU180" s="154">
        <v>85.73</v>
      </c>
      <c r="BV180" s="154" t="s">
        <v>85</v>
      </c>
      <c r="BW180" s="154">
        <v>110</v>
      </c>
      <c r="BX180" s="154">
        <v>2.33</v>
      </c>
      <c r="BY180" s="154" t="s">
        <v>85</v>
      </c>
      <c r="BZ180" s="154">
        <v>27.18</v>
      </c>
      <c r="CA180" s="154">
        <v>8.07</v>
      </c>
      <c r="CB180" s="154"/>
      <c r="CC180" s="154" t="s">
        <v>85</v>
      </c>
      <c r="CD180" s="154">
        <v>6.87</v>
      </c>
      <c r="CE180" s="154" t="s">
        <v>85</v>
      </c>
      <c r="CF180" s="154" t="s">
        <v>85</v>
      </c>
      <c r="CG180" s="48" t="s">
        <v>1165</v>
      </c>
    </row>
    <row r="181" spans="1:85" ht="15">
      <c r="A181" s="122">
        <v>31003</v>
      </c>
      <c r="B181" s="122" t="s">
        <v>789</v>
      </c>
      <c r="C181" s="122" t="s">
        <v>786</v>
      </c>
      <c r="D181" s="122" t="s">
        <v>787</v>
      </c>
      <c r="E181" s="122" t="s">
        <v>1108</v>
      </c>
      <c r="F181" s="122" t="s">
        <v>1384</v>
      </c>
      <c r="G181" s="163" t="s">
        <v>1385</v>
      </c>
      <c r="H181" s="122">
        <v>14</v>
      </c>
      <c r="I181" s="122" t="s">
        <v>291</v>
      </c>
      <c r="J181" s="118">
        <v>49</v>
      </c>
      <c r="K181" s="118">
        <v>86.3</v>
      </c>
      <c r="L181" s="118">
        <v>0.2</v>
      </c>
      <c r="M181" s="118">
        <v>0.1</v>
      </c>
      <c r="N181" s="118">
        <v>10.7</v>
      </c>
      <c r="O181" s="118">
        <v>2.4</v>
      </c>
      <c r="P181" s="118">
        <v>0.15</v>
      </c>
      <c r="Q181" s="118">
        <v>0.01</v>
      </c>
      <c r="R181" s="118">
        <v>0.3</v>
      </c>
      <c r="S181" s="118"/>
      <c r="T181" s="118">
        <v>0.08</v>
      </c>
      <c r="U181" s="118">
        <v>46.2</v>
      </c>
      <c r="V181" s="118">
        <v>0</v>
      </c>
      <c r="W181" s="118">
        <v>54</v>
      </c>
      <c r="X181" s="118">
        <v>0</v>
      </c>
      <c r="Y181" s="118">
        <v>0.18</v>
      </c>
      <c r="Z181" s="118">
        <v>2.5</v>
      </c>
      <c r="AA181" s="118">
        <v>0</v>
      </c>
      <c r="AB181" s="118">
        <v>11.21</v>
      </c>
      <c r="AC181" s="118">
        <v>11</v>
      </c>
      <c r="AD181" s="118">
        <v>71</v>
      </c>
      <c r="AE181" s="118"/>
      <c r="AF181" s="118"/>
      <c r="AG181" s="118"/>
      <c r="AH181" s="118"/>
      <c r="AI181" s="118">
        <v>31</v>
      </c>
      <c r="AJ181" s="118">
        <v>0.05</v>
      </c>
      <c r="AK181" s="118">
        <v>0.1</v>
      </c>
      <c r="AL181" s="118">
        <v>10</v>
      </c>
      <c r="AM181" s="118">
        <v>0.02</v>
      </c>
      <c r="AN181" s="118">
        <v>14</v>
      </c>
      <c r="AO181" s="118">
        <v>181</v>
      </c>
      <c r="AP181" s="118">
        <v>0.19</v>
      </c>
      <c r="AQ181" s="118">
        <v>7.0000000000000007E-2</v>
      </c>
      <c r="AR181" s="118"/>
      <c r="AS181" s="118"/>
      <c r="AT181" s="118"/>
      <c r="AU181" s="118"/>
      <c r="AV181" s="124"/>
      <c r="AW181" s="124"/>
      <c r="AX181" s="124"/>
      <c r="AY181" s="124"/>
      <c r="AZ181" s="124"/>
      <c r="BA181" s="124"/>
      <c r="BB181" s="124"/>
      <c r="BC181" s="124"/>
      <c r="BD181" s="124"/>
      <c r="BE181" s="124"/>
      <c r="BF181" s="124"/>
      <c r="BG181" s="124"/>
      <c r="BH181" s="124"/>
      <c r="BI181" s="124"/>
      <c r="BJ181" s="124"/>
      <c r="BK181" s="124"/>
      <c r="BL181" s="124"/>
      <c r="BM181" s="124"/>
      <c r="BN181" s="118">
        <v>54.73</v>
      </c>
      <c r="BO181" s="118"/>
      <c r="BP181" s="118"/>
      <c r="BQ181" s="118">
        <v>8.4</v>
      </c>
      <c r="BR181" s="154" t="s">
        <v>85</v>
      </c>
      <c r="BS181" s="154" t="s">
        <v>85</v>
      </c>
      <c r="BT181" s="154" t="s">
        <v>85</v>
      </c>
      <c r="BU181" s="154">
        <v>29.46</v>
      </c>
      <c r="BV181" s="154" t="s">
        <v>85</v>
      </c>
      <c r="BW181" s="154">
        <v>14.99</v>
      </c>
      <c r="BX181" s="154" t="s">
        <v>85</v>
      </c>
      <c r="BY181" s="154" t="s">
        <v>85</v>
      </c>
      <c r="BZ181" s="154">
        <v>36.520000000000003</v>
      </c>
      <c r="CA181" s="154">
        <v>11.11</v>
      </c>
      <c r="CB181" s="154"/>
      <c r="CC181" s="154" t="s">
        <v>85</v>
      </c>
      <c r="CD181" s="154">
        <v>5.3</v>
      </c>
      <c r="CE181" s="154" t="s">
        <v>85</v>
      </c>
      <c r="CF181" s="154" t="s">
        <v>85</v>
      </c>
      <c r="CG181" s="205">
        <v>1</v>
      </c>
    </row>
    <row r="182" spans="1:85" ht="15">
      <c r="A182" s="122">
        <v>32014</v>
      </c>
      <c r="B182" s="122" t="s">
        <v>791</v>
      </c>
      <c r="C182" s="122" t="s">
        <v>792</v>
      </c>
      <c r="D182" s="122" t="s">
        <v>793</v>
      </c>
      <c r="E182" s="122" t="s">
        <v>1108</v>
      </c>
      <c r="F182" s="122" t="s">
        <v>1386</v>
      </c>
      <c r="G182" s="163" t="s">
        <v>1387</v>
      </c>
      <c r="H182" s="122">
        <v>14</v>
      </c>
      <c r="I182" s="122" t="s">
        <v>291</v>
      </c>
      <c r="J182" s="118">
        <v>62</v>
      </c>
      <c r="K182" s="118">
        <v>83.28</v>
      </c>
      <c r="L182" s="118">
        <v>0.34</v>
      </c>
      <c r="M182" s="118">
        <v>0.19</v>
      </c>
      <c r="N182" s="118">
        <v>13.55</v>
      </c>
      <c r="O182" s="118">
        <v>2.4</v>
      </c>
      <c r="P182" s="118">
        <v>0.09</v>
      </c>
      <c r="Q182" s="118">
        <v>0.03</v>
      </c>
      <c r="R182" s="118">
        <v>0.1</v>
      </c>
      <c r="S182" s="118">
        <v>0.1</v>
      </c>
      <c r="T182" s="118">
        <v>0.04</v>
      </c>
      <c r="U182" s="118">
        <v>3</v>
      </c>
      <c r="V182" s="118">
        <v>0</v>
      </c>
      <c r="W182" s="118">
        <v>4.03</v>
      </c>
      <c r="X182" s="118">
        <v>1.96</v>
      </c>
      <c r="Y182" s="118">
        <v>0.18</v>
      </c>
      <c r="Z182" s="118">
        <v>3.65</v>
      </c>
      <c r="AA182" s="118">
        <v>0</v>
      </c>
      <c r="AB182" s="118">
        <v>2.71</v>
      </c>
      <c r="AC182" s="118">
        <v>0</v>
      </c>
      <c r="AD182" s="118">
        <v>27</v>
      </c>
      <c r="AE182" s="118"/>
      <c r="AF182" s="118"/>
      <c r="AG182" s="118"/>
      <c r="AH182" s="118"/>
      <c r="AI182" s="118">
        <v>6</v>
      </c>
      <c r="AJ182" s="118">
        <v>0.03</v>
      </c>
      <c r="AK182" s="118">
        <v>0.12</v>
      </c>
      <c r="AL182" s="118">
        <v>5</v>
      </c>
      <c r="AM182" s="118">
        <v>0.05</v>
      </c>
      <c r="AN182" s="118">
        <v>11</v>
      </c>
      <c r="AO182" s="118">
        <v>107</v>
      </c>
      <c r="AP182" s="118">
        <v>0.47</v>
      </c>
      <c r="AQ182" s="118">
        <v>0.04</v>
      </c>
      <c r="AR182" s="118">
        <v>0.14000000000000001</v>
      </c>
      <c r="AS182" s="118">
        <v>0.05</v>
      </c>
      <c r="AT182" s="118">
        <v>0.24</v>
      </c>
      <c r="AU182" s="118"/>
      <c r="AV182" s="124">
        <v>8.5100000000000002E-3</v>
      </c>
      <c r="AW182" s="124">
        <v>1.4320000000000001E-2</v>
      </c>
      <c r="AX182" s="124">
        <v>1.9399999999999997E-2</v>
      </c>
      <c r="AY182" s="124">
        <v>1.048E-2</v>
      </c>
      <c r="AZ182" s="124">
        <v>4.5500000000000002E-3</v>
      </c>
      <c r="BA182" s="124">
        <v>2.49E-3</v>
      </c>
      <c r="BB182" s="124">
        <v>1.282E-2</v>
      </c>
      <c r="BC182" s="124">
        <v>1.4369999999999999E-2</v>
      </c>
      <c r="BD182" s="124">
        <v>2.9100000000000003E-3</v>
      </c>
      <c r="BE182" s="124">
        <v>1.3460000000000001E-2</v>
      </c>
      <c r="BF182" s="124">
        <v>2.5899999999999999E-2</v>
      </c>
      <c r="BG182" s="124">
        <v>1.1220000000000001E-2</v>
      </c>
      <c r="BH182" s="124">
        <v>7.9189999999999997E-2</v>
      </c>
      <c r="BI182" s="124">
        <v>3.2850000000000004E-2</v>
      </c>
      <c r="BJ182" s="124">
        <v>1.5519999999999999E-2</v>
      </c>
      <c r="BK182" s="124">
        <v>1.308E-2</v>
      </c>
      <c r="BL182" s="124">
        <v>1.9390000000000001E-2</v>
      </c>
      <c r="BM182" s="124">
        <v>8.3499999999999998E-3</v>
      </c>
      <c r="BN182" s="118">
        <v>35.81</v>
      </c>
      <c r="BO182" s="118">
        <v>0.55000000000000004</v>
      </c>
      <c r="BP182" s="118">
        <v>10</v>
      </c>
      <c r="BQ182" s="118">
        <v>3.4</v>
      </c>
      <c r="BR182" s="154" t="s">
        <v>85</v>
      </c>
      <c r="BS182" s="154" t="s">
        <v>85</v>
      </c>
      <c r="BT182" s="154" t="s">
        <v>85</v>
      </c>
      <c r="BU182" s="154">
        <v>103</v>
      </c>
      <c r="BV182" s="154" t="s">
        <v>85</v>
      </c>
      <c r="BW182" s="154">
        <v>51.13</v>
      </c>
      <c r="BX182" s="154" t="s">
        <v>85</v>
      </c>
      <c r="BY182" s="154" t="s">
        <v>85</v>
      </c>
      <c r="BZ182" s="154">
        <v>249</v>
      </c>
      <c r="CA182" s="154">
        <v>32.630000000000003</v>
      </c>
      <c r="CB182" s="154"/>
      <c r="CC182" s="154" t="s">
        <v>85</v>
      </c>
      <c r="CD182" s="154">
        <v>28.51</v>
      </c>
      <c r="CE182" s="154" t="s">
        <v>85</v>
      </c>
      <c r="CF182" s="154" t="s">
        <v>85</v>
      </c>
      <c r="CG182" s="205">
        <v>4</v>
      </c>
    </row>
    <row r="183" spans="1:85" ht="15">
      <c r="A183" s="122">
        <v>32015</v>
      </c>
      <c r="B183" s="122" t="s">
        <v>795</v>
      </c>
      <c r="C183" s="122" t="s">
        <v>796</v>
      </c>
      <c r="D183" s="122" t="s">
        <v>797</v>
      </c>
      <c r="E183" s="122" t="s">
        <v>1108</v>
      </c>
      <c r="F183" s="122" t="s">
        <v>1388</v>
      </c>
      <c r="G183" s="163" t="s">
        <v>1389</v>
      </c>
      <c r="H183" s="122">
        <v>14</v>
      </c>
      <c r="I183" s="122" t="s">
        <v>291</v>
      </c>
      <c r="J183" s="118">
        <v>85</v>
      </c>
      <c r="K183" s="118">
        <v>76.06</v>
      </c>
      <c r="L183" s="118">
        <v>1.82</v>
      </c>
      <c r="M183" s="118">
        <v>0.26</v>
      </c>
      <c r="N183" s="118">
        <v>16.559999999999999</v>
      </c>
      <c r="O183" s="118">
        <v>4.4000000000000004</v>
      </c>
      <c r="P183" s="118">
        <v>7.0000000000000007E-2</v>
      </c>
      <c r="Q183" s="118">
        <v>0.14000000000000001</v>
      </c>
      <c r="R183" s="118">
        <v>0.8</v>
      </c>
      <c r="S183" s="118">
        <v>0.19</v>
      </c>
      <c r="T183" s="118">
        <v>0.2</v>
      </c>
      <c r="U183" s="118">
        <v>14</v>
      </c>
      <c r="V183" s="118"/>
      <c r="W183" s="118">
        <v>37.950000000000003</v>
      </c>
      <c r="X183" s="118">
        <v>0.15</v>
      </c>
      <c r="Y183" s="118">
        <v>0.19</v>
      </c>
      <c r="Z183" s="118">
        <v>58</v>
      </c>
      <c r="AA183" s="118">
        <v>0</v>
      </c>
      <c r="AB183" s="118">
        <v>0.33</v>
      </c>
      <c r="AC183" s="118">
        <v>0</v>
      </c>
      <c r="AD183" s="118">
        <v>4</v>
      </c>
      <c r="AE183" s="118">
        <v>12.45</v>
      </c>
      <c r="AF183" s="118"/>
      <c r="AG183" s="118"/>
      <c r="AH183" s="118">
        <v>1.8</v>
      </c>
      <c r="AI183" s="118">
        <v>17.149999999999999</v>
      </c>
      <c r="AJ183" s="118">
        <v>0.09</v>
      </c>
      <c r="AK183" s="118">
        <v>1.02</v>
      </c>
      <c r="AL183" s="118">
        <v>25</v>
      </c>
      <c r="AM183" s="118">
        <v>0.15</v>
      </c>
      <c r="AN183" s="118">
        <v>47</v>
      </c>
      <c r="AO183" s="118">
        <v>366.1</v>
      </c>
      <c r="AP183" s="118"/>
      <c r="AQ183" s="118">
        <v>0.33</v>
      </c>
      <c r="AR183" s="118">
        <v>0.14000000000000001</v>
      </c>
      <c r="AS183" s="118">
        <v>0.04</v>
      </c>
      <c r="AT183" s="118">
        <v>0.13</v>
      </c>
      <c r="AU183" s="118"/>
      <c r="AV183" s="124">
        <v>8.5050000000000001E-2</v>
      </c>
      <c r="AW183" s="124">
        <v>3.6609999999999997E-2</v>
      </c>
      <c r="AX183" s="124">
        <v>7.9060000000000005E-2</v>
      </c>
      <c r="AY183" s="124">
        <v>6.9010000000000002E-2</v>
      </c>
      <c r="AZ183" s="124">
        <v>1.6039999999999999E-2</v>
      </c>
      <c r="BA183" s="124">
        <v>7.7800000000000005E-3</v>
      </c>
      <c r="BB183" s="124">
        <v>6.7390000000000005E-2</v>
      </c>
      <c r="BC183" s="124">
        <v>7.0790000000000006E-2</v>
      </c>
      <c r="BD183" s="124">
        <v>1.393E-2</v>
      </c>
      <c r="BE183" s="124">
        <v>7.8730000000000008E-2</v>
      </c>
      <c r="BF183" s="124">
        <v>0.1147</v>
      </c>
      <c r="BG183" s="124">
        <v>6.2689999999999996E-2</v>
      </c>
      <c r="BH183" s="124">
        <v>0.29677999999999999</v>
      </c>
      <c r="BI183" s="124">
        <v>0.28058</v>
      </c>
      <c r="BJ183" s="124">
        <v>7.8730000000000008E-2</v>
      </c>
      <c r="BK183" s="124">
        <v>7.8079999999999997E-2</v>
      </c>
      <c r="BL183" s="124">
        <v>8.294E-2</v>
      </c>
      <c r="BM183" s="124">
        <v>3.1910000000000001E-2</v>
      </c>
      <c r="BN183" s="118">
        <v>13.91</v>
      </c>
      <c r="BO183" s="118">
        <v>15.22</v>
      </c>
      <c r="BP183" s="118">
        <v>30</v>
      </c>
      <c r="BQ183" s="118"/>
      <c r="BR183" s="154" t="s">
        <v>85</v>
      </c>
      <c r="BS183" s="154" t="s">
        <v>85</v>
      </c>
      <c r="BT183" s="154" t="s">
        <v>85</v>
      </c>
      <c r="BU183" s="154">
        <v>90.45</v>
      </c>
      <c r="BV183" s="154" t="s">
        <v>85</v>
      </c>
      <c r="BW183" s="154">
        <v>34.85</v>
      </c>
      <c r="BX183" s="154" t="s">
        <v>85</v>
      </c>
      <c r="BY183" s="154" t="s">
        <v>85</v>
      </c>
      <c r="BZ183" s="154">
        <v>78.56</v>
      </c>
      <c r="CA183" s="154">
        <v>53.47</v>
      </c>
      <c r="CB183" s="154"/>
      <c r="CC183" s="154" t="s">
        <v>85</v>
      </c>
      <c r="CD183" s="154">
        <v>22.69</v>
      </c>
      <c r="CE183" s="154" t="s">
        <v>85</v>
      </c>
      <c r="CF183" s="154" t="s">
        <v>85</v>
      </c>
      <c r="CG183" s="205" t="s">
        <v>1165</v>
      </c>
    </row>
    <row r="184" spans="1:85" ht="15">
      <c r="A184" s="122">
        <v>32016</v>
      </c>
      <c r="B184" s="122" t="s">
        <v>799</v>
      </c>
      <c r="C184" s="122" t="s">
        <v>800</v>
      </c>
      <c r="D184" s="122" t="s">
        <v>801</v>
      </c>
      <c r="E184" s="122" t="s">
        <v>1108</v>
      </c>
      <c r="F184" s="122" t="s">
        <v>1390</v>
      </c>
      <c r="G184" s="163" t="s">
        <v>1391</v>
      </c>
      <c r="H184" s="122">
        <v>14</v>
      </c>
      <c r="I184" s="122" t="s">
        <v>291</v>
      </c>
      <c r="J184" s="118">
        <v>40</v>
      </c>
      <c r="K184" s="118">
        <v>89.5</v>
      </c>
      <c r="L184" s="118">
        <v>0.7</v>
      </c>
      <c r="M184" s="118">
        <v>0.3</v>
      </c>
      <c r="N184" s="118">
        <v>8</v>
      </c>
      <c r="O184" s="118">
        <v>1.2</v>
      </c>
      <c r="P184" s="118">
        <v>0.01</v>
      </c>
      <c r="Q184" s="118">
        <v>0.05</v>
      </c>
      <c r="R184" s="118">
        <v>0.4</v>
      </c>
      <c r="S184" s="118"/>
      <c r="T184" s="118"/>
      <c r="U184" s="118"/>
      <c r="V184" s="118"/>
      <c r="W184" s="118">
        <v>22.3</v>
      </c>
      <c r="X184" s="118">
        <v>0</v>
      </c>
      <c r="Y184" s="118">
        <v>0.04</v>
      </c>
      <c r="Z184" s="118">
        <v>7.94</v>
      </c>
      <c r="AA184" s="118">
        <v>0</v>
      </c>
      <c r="AB184" s="118"/>
      <c r="AC184" s="118"/>
      <c r="AD184" s="118"/>
      <c r="AE184" s="118"/>
      <c r="AF184" s="118"/>
      <c r="AG184" s="118"/>
      <c r="AH184" s="118"/>
      <c r="AI184" s="118">
        <v>9.0500000000000007</v>
      </c>
      <c r="AJ184" s="118">
        <v>0.02</v>
      </c>
      <c r="AK184" s="118">
        <v>0.32</v>
      </c>
      <c r="AL184" s="118">
        <v>4</v>
      </c>
      <c r="AM184" s="118">
        <v>0.04</v>
      </c>
      <c r="AN184" s="118">
        <v>30</v>
      </c>
      <c r="AO184" s="118">
        <v>104.2</v>
      </c>
      <c r="AP184" s="118"/>
      <c r="AQ184" s="118">
        <v>0.08</v>
      </c>
      <c r="AR184" s="118">
        <v>7.0000000000000007E-2</v>
      </c>
      <c r="AS184" s="118">
        <v>0.03</v>
      </c>
      <c r="AT184" s="118">
        <v>0.05</v>
      </c>
      <c r="AU184" s="118"/>
      <c r="AV184" s="124"/>
      <c r="AW184" s="124"/>
      <c r="AX184" s="124"/>
      <c r="AY184" s="124"/>
      <c r="AZ184" s="124"/>
      <c r="BA184" s="124"/>
      <c r="BB184" s="124"/>
      <c r="BC184" s="124"/>
      <c r="BD184" s="124"/>
      <c r="BE184" s="124"/>
      <c r="BF184" s="124"/>
      <c r="BG184" s="124"/>
      <c r="BH184" s="124"/>
      <c r="BI184" s="124"/>
      <c r="BJ184" s="124"/>
      <c r="BK184" s="124"/>
      <c r="BL184" s="124"/>
      <c r="BM184" s="124"/>
      <c r="BN184" s="118">
        <v>68.47</v>
      </c>
      <c r="BO184" s="118">
        <v>8.65</v>
      </c>
      <c r="BP184" s="118"/>
      <c r="BQ184" s="118"/>
      <c r="BR184" s="154" t="s">
        <v>85</v>
      </c>
      <c r="BS184" s="154" t="s">
        <v>85</v>
      </c>
      <c r="BT184" s="154" t="s">
        <v>85</v>
      </c>
      <c r="BU184" s="154">
        <v>43.42</v>
      </c>
      <c r="BV184" s="154" t="s">
        <v>85</v>
      </c>
      <c r="BW184" s="154">
        <v>17.559999999999999</v>
      </c>
      <c r="BX184" s="154" t="s">
        <v>85</v>
      </c>
      <c r="BY184" s="154" t="s">
        <v>85</v>
      </c>
      <c r="BZ184" s="154">
        <v>42.4</v>
      </c>
      <c r="CA184" s="154">
        <v>6.37</v>
      </c>
      <c r="CB184" s="154"/>
      <c r="CC184" s="154" t="s">
        <v>85</v>
      </c>
      <c r="CD184" s="154">
        <v>27.67</v>
      </c>
      <c r="CE184" s="154" t="s">
        <v>85</v>
      </c>
      <c r="CF184" s="154" t="s">
        <v>85</v>
      </c>
      <c r="CG184" s="205" t="s">
        <v>1165</v>
      </c>
    </row>
    <row r="185" spans="1:85" ht="15">
      <c r="A185" s="122">
        <v>31004</v>
      </c>
      <c r="B185" s="122" t="s">
        <v>803</v>
      </c>
      <c r="C185" s="122" t="s">
        <v>804</v>
      </c>
      <c r="D185" s="122" t="s">
        <v>805</v>
      </c>
      <c r="E185" s="122" t="s">
        <v>1108</v>
      </c>
      <c r="F185" s="122" t="s">
        <v>1392</v>
      </c>
      <c r="G185" s="163" t="s">
        <v>1393</v>
      </c>
      <c r="H185" s="122">
        <v>14</v>
      </c>
      <c r="I185" s="122" t="s">
        <v>291</v>
      </c>
      <c r="J185" s="118">
        <v>38</v>
      </c>
      <c r="K185" s="118">
        <v>89.92</v>
      </c>
      <c r="L185" s="118">
        <v>0.45</v>
      </c>
      <c r="M185" s="118">
        <v>0.34</v>
      </c>
      <c r="N185" s="118">
        <v>7.69</v>
      </c>
      <c r="O185" s="118">
        <v>1</v>
      </c>
      <c r="P185" s="118">
        <v>0.06</v>
      </c>
      <c r="Q185" s="118">
        <v>0.04</v>
      </c>
      <c r="R185" s="118">
        <v>0.2</v>
      </c>
      <c r="S185" s="118">
        <v>0.05</v>
      </c>
      <c r="T185" s="118">
        <v>0.04</v>
      </c>
      <c r="U185" s="118">
        <v>26</v>
      </c>
      <c r="V185" s="118">
        <v>0</v>
      </c>
      <c r="W185" s="118">
        <v>121.67</v>
      </c>
      <c r="X185" s="118">
        <v>0.76</v>
      </c>
      <c r="Y185" s="118">
        <v>0.24</v>
      </c>
      <c r="Z185" s="118">
        <v>4.88</v>
      </c>
      <c r="AA185" s="118">
        <v>0</v>
      </c>
      <c r="AB185" s="118">
        <v>3.3</v>
      </c>
      <c r="AC185" s="118">
        <v>21.88</v>
      </c>
      <c r="AD185" s="118">
        <v>28.62</v>
      </c>
      <c r="AE185" s="118">
        <v>22.5</v>
      </c>
      <c r="AF185" s="118"/>
      <c r="AG185" s="118">
        <v>10.43</v>
      </c>
      <c r="AH185" s="118">
        <v>5.9</v>
      </c>
      <c r="AI185" s="118">
        <v>35.58</v>
      </c>
      <c r="AJ185" s="118">
        <v>0.06</v>
      </c>
      <c r="AK185" s="118">
        <v>0.21</v>
      </c>
      <c r="AL185" s="118">
        <v>15</v>
      </c>
      <c r="AM185" s="118">
        <v>0.01</v>
      </c>
      <c r="AN185" s="118">
        <v>21</v>
      </c>
      <c r="AO185" s="118">
        <v>235.45</v>
      </c>
      <c r="AP185" s="118"/>
      <c r="AQ185" s="118">
        <v>0.06</v>
      </c>
      <c r="AR185" s="118">
        <v>0.12</v>
      </c>
      <c r="AS185" s="118">
        <v>0.04</v>
      </c>
      <c r="AT185" s="118">
        <v>0.19</v>
      </c>
      <c r="AU185" s="118"/>
      <c r="AV185" s="124">
        <v>1.1970000000000001E-2</v>
      </c>
      <c r="AW185" s="124">
        <v>1.9109999999999999E-2</v>
      </c>
      <c r="AX185" s="124">
        <v>3.1890000000000002E-2</v>
      </c>
      <c r="AY185" s="124">
        <v>2.5700000000000001E-2</v>
      </c>
      <c r="AZ185" s="124">
        <v>5.9199999999999999E-3</v>
      </c>
      <c r="BA185" s="124">
        <v>0.55079999999999996</v>
      </c>
      <c r="BB185" s="124">
        <v>1.6660000000000001E-2</v>
      </c>
      <c r="BC185" s="124">
        <v>2.1690000000000001E-2</v>
      </c>
      <c r="BD185" s="124">
        <v>3.2599999999999999E-3</v>
      </c>
      <c r="BE185" s="124">
        <v>2.8760000000000001E-2</v>
      </c>
      <c r="BF185" s="124">
        <v>5.1819999999999998E-2</v>
      </c>
      <c r="BG185" s="124">
        <v>3.5290000000000002E-2</v>
      </c>
      <c r="BH185" s="124">
        <v>0.18836000000000003</v>
      </c>
      <c r="BI185" s="124">
        <v>8.3979999999999999E-2</v>
      </c>
      <c r="BJ185" s="124">
        <v>1.8630000000000001E-2</v>
      </c>
      <c r="BK185" s="124">
        <v>6.3990000000000005E-2</v>
      </c>
      <c r="BL185" s="124">
        <v>3.2500000000000001E-2</v>
      </c>
      <c r="BM185" s="124">
        <v>1.244E-2</v>
      </c>
      <c r="BN185" s="118">
        <v>25.35</v>
      </c>
      <c r="BO185" s="118">
        <v>20.36</v>
      </c>
      <c r="BP185" s="118"/>
      <c r="BQ185" s="118"/>
      <c r="BR185" s="154" t="s">
        <v>85</v>
      </c>
      <c r="BS185" s="154" t="s">
        <v>85</v>
      </c>
      <c r="BT185" s="154" t="s">
        <v>85</v>
      </c>
      <c r="BU185" s="154">
        <v>88.03</v>
      </c>
      <c r="BV185" s="154" t="s">
        <v>85</v>
      </c>
      <c r="BW185" s="154">
        <v>32.299999999999997</v>
      </c>
      <c r="BX185" s="154" t="s">
        <v>85</v>
      </c>
      <c r="BY185" s="154" t="s">
        <v>85</v>
      </c>
      <c r="BZ185" s="154">
        <v>134</v>
      </c>
      <c r="CA185" s="154">
        <v>53.21</v>
      </c>
      <c r="CB185" s="154"/>
      <c r="CC185" s="154" t="s">
        <v>85</v>
      </c>
      <c r="CD185" s="154">
        <v>25.94</v>
      </c>
      <c r="CE185" s="154" t="s">
        <v>85</v>
      </c>
      <c r="CF185" s="154" t="s">
        <v>85</v>
      </c>
      <c r="CG185" s="205" t="s">
        <v>1165</v>
      </c>
    </row>
    <row r="186" spans="1:85" ht="15">
      <c r="A186" s="122">
        <v>31014</v>
      </c>
      <c r="B186" s="122" t="s">
        <v>807</v>
      </c>
      <c r="C186" s="122" t="s">
        <v>808</v>
      </c>
      <c r="D186" s="122" t="s">
        <v>289</v>
      </c>
      <c r="E186" s="122" t="s">
        <v>1108</v>
      </c>
      <c r="F186" s="122" t="s">
        <v>1394</v>
      </c>
      <c r="G186" s="163" t="s">
        <v>1395</v>
      </c>
      <c r="H186" s="122">
        <v>14</v>
      </c>
      <c r="I186" s="122" t="s">
        <v>291</v>
      </c>
      <c r="J186" s="118">
        <v>30</v>
      </c>
      <c r="K186" s="118">
        <v>90.62</v>
      </c>
      <c r="L186" s="118">
        <v>0.78</v>
      </c>
      <c r="M186" s="118">
        <v>0.08</v>
      </c>
      <c r="N186" s="118">
        <v>5.71</v>
      </c>
      <c r="O186" s="118">
        <v>1.5</v>
      </c>
      <c r="P186" s="118">
        <v>0.03</v>
      </c>
      <c r="Q186" s="118">
        <v>0.02</v>
      </c>
      <c r="R186" s="118">
        <v>0.2</v>
      </c>
      <c r="S186" s="118">
        <v>0.24</v>
      </c>
      <c r="T186" s="118">
        <v>0.03</v>
      </c>
      <c r="U186" s="118">
        <v>29.79</v>
      </c>
      <c r="V186" s="118">
        <v>0</v>
      </c>
      <c r="W186" s="118">
        <v>18.57</v>
      </c>
      <c r="X186" s="118">
        <v>7.81</v>
      </c>
      <c r="Y186" s="118">
        <v>7.0000000000000007E-2</v>
      </c>
      <c r="Z186" s="118">
        <v>19.7</v>
      </c>
      <c r="AA186" s="118">
        <v>0</v>
      </c>
      <c r="AB186" s="118">
        <v>0.57999999999999996</v>
      </c>
      <c r="AC186" s="118"/>
      <c r="AD186" s="118">
        <v>7</v>
      </c>
      <c r="AE186" s="118">
        <v>266</v>
      </c>
      <c r="AF186" s="118"/>
      <c r="AG186" s="118"/>
      <c r="AH186" s="118">
        <v>7.88</v>
      </c>
      <c r="AI186" s="118">
        <v>14.59</v>
      </c>
      <c r="AJ186" s="118">
        <v>0.02</v>
      </c>
      <c r="AK186" s="118">
        <v>0.6</v>
      </c>
      <c r="AL186" s="118">
        <v>56</v>
      </c>
      <c r="AM186" s="118">
        <v>0.37</v>
      </c>
      <c r="AN186" s="118">
        <v>15.37</v>
      </c>
      <c r="AO186" s="118">
        <v>129.07</v>
      </c>
      <c r="AP186" s="118"/>
      <c r="AQ186" s="118">
        <v>0.22</v>
      </c>
      <c r="AR186" s="118">
        <v>7.0000000000000007E-2</v>
      </c>
      <c r="AS186" s="118">
        <v>0.04</v>
      </c>
      <c r="AT186" s="118">
        <v>0.08</v>
      </c>
      <c r="AU186" s="118"/>
      <c r="AV186" s="124">
        <v>4.8499999999999993E-3</v>
      </c>
      <c r="AW186" s="124">
        <v>7.8499999999999993E-3</v>
      </c>
      <c r="AX186" s="124">
        <v>1.61E-2</v>
      </c>
      <c r="AY186" s="124">
        <v>1.9100000000000002E-2</v>
      </c>
      <c r="AZ186" s="124">
        <v>3.15E-3</v>
      </c>
      <c r="BA186" s="124">
        <v>1.8850000000000002E-2</v>
      </c>
      <c r="BB186" s="124">
        <v>1.9550000000000001E-2</v>
      </c>
      <c r="BC186" s="124">
        <v>1.4250000000000001E-2</v>
      </c>
      <c r="BD186" s="124">
        <v>5.0000000000000001E-3</v>
      </c>
      <c r="BE186" s="124">
        <v>1.5800000000000002E-2</v>
      </c>
      <c r="BF186" s="124">
        <v>2.5350000000000001E-2</v>
      </c>
      <c r="BG186" s="124">
        <v>1.54E-2</v>
      </c>
      <c r="BH186" s="124">
        <v>5.9499999999999997E-2</v>
      </c>
      <c r="BI186" s="124">
        <v>7.1349999999999997E-2</v>
      </c>
      <c r="BJ186" s="124">
        <v>2.4649999999999998E-2</v>
      </c>
      <c r="BK186" s="124">
        <v>1.495E-2</v>
      </c>
      <c r="BL186" s="124">
        <v>1.78E-2</v>
      </c>
      <c r="BM186" s="124">
        <v>2.1899999999999999E-2</v>
      </c>
      <c r="BN186" s="118">
        <v>11.21</v>
      </c>
      <c r="BO186" s="118">
        <v>22.08</v>
      </c>
      <c r="BP186" s="118"/>
      <c r="BQ186" s="154">
        <v>6.1</v>
      </c>
      <c r="BR186" s="154" t="s">
        <v>85</v>
      </c>
      <c r="BS186" s="154" t="s">
        <v>85</v>
      </c>
      <c r="BT186" s="154">
        <v>1.35</v>
      </c>
      <c r="BU186" s="154">
        <v>52.81</v>
      </c>
      <c r="BV186" s="154" t="s">
        <v>85</v>
      </c>
      <c r="BW186" s="154">
        <v>44.53</v>
      </c>
      <c r="BX186" s="154" t="s">
        <v>85</v>
      </c>
      <c r="BY186" s="154" t="s">
        <v>85</v>
      </c>
      <c r="BZ186" s="154">
        <v>66.040000000000006</v>
      </c>
      <c r="CA186" s="154">
        <v>9.6</v>
      </c>
      <c r="CB186" s="154"/>
      <c r="CC186" s="154" t="s">
        <v>85</v>
      </c>
      <c r="CD186" s="154">
        <v>14.99</v>
      </c>
      <c r="CE186" s="154" t="s">
        <v>85</v>
      </c>
      <c r="CF186" s="154" t="s">
        <v>85</v>
      </c>
      <c r="CG186" s="205" t="s">
        <v>1075</v>
      </c>
    </row>
    <row r="187" spans="1:85" ht="15">
      <c r="A187" s="122">
        <v>31005</v>
      </c>
      <c r="B187" s="122" t="s">
        <v>809</v>
      </c>
      <c r="C187" s="122" t="s">
        <v>810</v>
      </c>
      <c r="D187" s="122" t="s">
        <v>289</v>
      </c>
      <c r="E187" s="122" t="s">
        <v>1108</v>
      </c>
      <c r="F187" s="122" t="s">
        <v>1396</v>
      </c>
      <c r="G187" s="163" t="s">
        <v>1397</v>
      </c>
      <c r="H187" s="122">
        <v>12</v>
      </c>
      <c r="I187" s="122" t="s">
        <v>713</v>
      </c>
      <c r="J187" s="118">
        <v>33</v>
      </c>
      <c r="K187" s="118">
        <v>90.47</v>
      </c>
      <c r="L187" s="118">
        <v>0.61</v>
      </c>
      <c r="M187" s="118">
        <v>0.15</v>
      </c>
      <c r="N187" s="118">
        <v>6.46</v>
      </c>
      <c r="O187" s="118">
        <v>1.7</v>
      </c>
      <c r="P187" s="118">
        <v>0.08</v>
      </c>
      <c r="Q187" s="118">
        <v>0.03</v>
      </c>
      <c r="R187" s="118">
        <v>0.34</v>
      </c>
      <c r="S187" s="118">
        <v>0.44</v>
      </c>
      <c r="T187" s="118">
        <v>0.02</v>
      </c>
      <c r="U187" s="118">
        <v>58</v>
      </c>
      <c r="V187" s="118">
        <v>0</v>
      </c>
      <c r="W187" s="118">
        <v>61.8</v>
      </c>
      <c r="X187" s="118">
        <v>12.81</v>
      </c>
      <c r="Y187" s="118">
        <v>0.3</v>
      </c>
      <c r="Z187" s="118">
        <v>2.59</v>
      </c>
      <c r="AA187" s="118">
        <v>0</v>
      </c>
      <c r="AB187" s="118">
        <v>60.11</v>
      </c>
      <c r="AC187" s="118">
        <v>2</v>
      </c>
      <c r="AD187" s="118">
        <v>425.77</v>
      </c>
      <c r="AE187" s="118">
        <v>5.43</v>
      </c>
      <c r="AF187" s="118">
        <v>833</v>
      </c>
      <c r="AG187" s="118">
        <v>648</v>
      </c>
      <c r="AH187" s="118">
        <v>280</v>
      </c>
      <c r="AI187" s="118">
        <v>28.68</v>
      </c>
      <c r="AJ187" s="118">
        <v>0.03</v>
      </c>
      <c r="AK187" s="118">
        <v>0.35</v>
      </c>
      <c r="AL187" s="118">
        <v>10.31</v>
      </c>
      <c r="AM187" s="118">
        <v>0.03</v>
      </c>
      <c r="AN187" s="118">
        <v>11.02</v>
      </c>
      <c r="AO187" s="118">
        <v>182.14</v>
      </c>
      <c r="AP187" s="118">
        <v>12.78</v>
      </c>
      <c r="AQ187" s="118">
        <v>0.17</v>
      </c>
      <c r="AR187" s="118">
        <v>0.06</v>
      </c>
      <c r="AS187" s="118">
        <v>0.03</v>
      </c>
      <c r="AT187" s="118">
        <v>0.05</v>
      </c>
      <c r="AU187" s="118"/>
      <c r="AV187" s="124">
        <v>3.65E-3</v>
      </c>
      <c r="AW187" s="124">
        <v>9.5299999999999985E-3</v>
      </c>
      <c r="AX187" s="124">
        <v>1.8609999999999998E-2</v>
      </c>
      <c r="AY187" s="124">
        <v>2.0619999999999999E-2</v>
      </c>
      <c r="AZ187" s="124">
        <v>2.8599999999999997E-3</v>
      </c>
      <c r="BA187" s="124">
        <v>3.0699999999999998E-3</v>
      </c>
      <c r="BB187" s="124">
        <v>8.1099999999999992E-3</v>
      </c>
      <c r="BC187" s="124">
        <v>1.3730000000000001E-2</v>
      </c>
      <c r="BD187" s="124">
        <v>6.9699999999999996E-3</v>
      </c>
      <c r="BE187" s="124">
        <v>1.651E-2</v>
      </c>
      <c r="BF187" s="124">
        <v>1.7770000000000001E-2</v>
      </c>
      <c r="BG187" s="124">
        <v>1.0880000000000001E-2</v>
      </c>
      <c r="BH187" s="124">
        <v>6.4760000000000012E-2</v>
      </c>
      <c r="BI187" s="124">
        <v>5.7329999999999999E-2</v>
      </c>
      <c r="BJ187" s="124">
        <v>2.222E-2</v>
      </c>
      <c r="BK187" s="124">
        <v>1.9109999999999999E-2</v>
      </c>
      <c r="BL187" s="124">
        <v>1.9739999999999997E-2</v>
      </c>
      <c r="BM187" s="124">
        <v>1.1970000000000001E-2</v>
      </c>
      <c r="BN187" s="118">
        <v>17.88</v>
      </c>
      <c r="BO187" s="118">
        <v>23</v>
      </c>
      <c r="BP187" s="118">
        <v>1</v>
      </c>
      <c r="BQ187" s="154">
        <v>6.1</v>
      </c>
      <c r="BR187" s="154" t="s">
        <v>85</v>
      </c>
      <c r="BS187" s="154" t="s">
        <v>85</v>
      </c>
      <c r="BT187" s="154">
        <v>5.52</v>
      </c>
      <c r="BU187" s="154">
        <v>45.26</v>
      </c>
      <c r="BV187" s="154" t="s">
        <v>85</v>
      </c>
      <c r="BW187" s="154">
        <v>16.829999999999998</v>
      </c>
      <c r="BX187" s="154" t="s">
        <v>85</v>
      </c>
      <c r="BY187" s="154" t="s">
        <v>85</v>
      </c>
      <c r="BZ187" s="154">
        <v>10.33</v>
      </c>
      <c r="CA187" s="154">
        <v>37.909999999999997</v>
      </c>
      <c r="CB187" s="154"/>
      <c r="CC187" s="154" t="s">
        <v>85</v>
      </c>
      <c r="CD187" s="154">
        <v>15.8</v>
      </c>
      <c r="CE187" s="154" t="s">
        <v>85</v>
      </c>
      <c r="CF187" s="154" t="s">
        <v>85</v>
      </c>
      <c r="CG187" s="205"/>
    </row>
    <row r="188" spans="1:85" ht="15">
      <c r="A188" s="122">
        <v>31006</v>
      </c>
      <c r="B188" s="122" t="s">
        <v>812</v>
      </c>
      <c r="C188" s="122" t="s">
        <v>813</v>
      </c>
      <c r="D188" s="122" t="s">
        <v>814</v>
      </c>
      <c r="E188" s="122" t="s">
        <v>1108</v>
      </c>
      <c r="F188" s="122" t="s">
        <v>1398</v>
      </c>
      <c r="G188" s="163" t="s">
        <v>1399</v>
      </c>
      <c r="H188" s="122">
        <v>14</v>
      </c>
      <c r="I188" s="122" t="s">
        <v>291</v>
      </c>
      <c r="J188" s="118">
        <v>63</v>
      </c>
      <c r="K188" s="118">
        <v>81.430000000000007</v>
      </c>
      <c r="L188" s="118">
        <v>1.01</v>
      </c>
      <c r="M188" s="118">
        <v>0.5</v>
      </c>
      <c r="N188" s="118">
        <v>10.93</v>
      </c>
      <c r="O188" s="118">
        <v>5.4</v>
      </c>
      <c r="P188" s="118">
        <v>0.21</v>
      </c>
      <c r="Q188" s="118">
        <v>0.09</v>
      </c>
      <c r="R188" s="118">
        <v>1.08</v>
      </c>
      <c r="S188" s="118">
        <v>0.24</v>
      </c>
      <c r="T188" s="118">
        <v>0.11</v>
      </c>
      <c r="U188" s="118">
        <v>49</v>
      </c>
      <c r="V188" s="118">
        <v>0</v>
      </c>
      <c r="W188" s="118">
        <v>228.3</v>
      </c>
      <c r="X188" s="118">
        <v>1.3</v>
      </c>
      <c r="Y188" s="118">
        <v>0.73</v>
      </c>
      <c r="Z188" s="118">
        <v>3.68</v>
      </c>
      <c r="AA188" s="118">
        <v>0</v>
      </c>
      <c r="AB188" s="118">
        <v>32.5</v>
      </c>
      <c r="AC188" s="118">
        <v>0</v>
      </c>
      <c r="AD188" s="118">
        <v>340</v>
      </c>
      <c r="AE188" s="118">
        <v>55</v>
      </c>
      <c r="AF188" s="118"/>
      <c r="AG188" s="118"/>
      <c r="AH188" s="118">
        <v>7.43</v>
      </c>
      <c r="AI188" s="118">
        <v>17.48</v>
      </c>
      <c r="AJ188" s="118">
        <v>0.15</v>
      </c>
      <c r="AK188" s="118">
        <v>0.66</v>
      </c>
      <c r="AL188" s="118">
        <v>25.1</v>
      </c>
      <c r="AM188" s="118">
        <v>0.22</v>
      </c>
      <c r="AN188" s="118">
        <v>17.62</v>
      </c>
      <c r="AO188" s="118">
        <v>261.3</v>
      </c>
      <c r="AP188" s="118">
        <v>1.84</v>
      </c>
      <c r="AQ188" s="118">
        <v>0.31</v>
      </c>
      <c r="AR188" s="118">
        <v>0.04</v>
      </c>
      <c r="AS188" s="118">
        <v>0.02</v>
      </c>
      <c r="AT188" s="118">
        <v>0.13</v>
      </c>
      <c r="AU188" s="118"/>
      <c r="AV188" s="124">
        <v>2.5510000000000001E-2</v>
      </c>
      <c r="AW188" s="124">
        <v>5.2729999999999999E-2</v>
      </c>
      <c r="AX188" s="124">
        <v>8.4030000000000007E-2</v>
      </c>
      <c r="AY188" s="124">
        <v>3.4909999999999997E-2</v>
      </c>
      <c r="AZ188" s="124">
        <v>1.2160000000000001E-2</v>
      </c>
      <c r="BA188" s="124">
        <v>1.308E-2</v>
      </c>
      <c r="BB188" s="124">
        <v>1.9E-2</v>
      </c>
      <c r="BC188" s="124">
        <v>4.5499999999999999E-2</v>
      </c>
      <c r="BD188" s="124">
        <v>1.052E-2</v>
      </c>
      <c r="BE188" s="124">
        <v>4.3590000000000004E-2</v>
      </c>
      <c r="BF188" s="124">
        <v>8.4030000000000007E-2</v>
      </c>
      <c r="BG188" s="124">
        <v>4.267E-2</v>
      </c>
      <c r="BH188" s="124">
        <v>0.25569999999999998</v>
      </c>
      <c r="BI188" s="124">
        <v>0.20573</v>
      </c>
      <c r="BJ188" s="124">
        <v>8.6129999999999998E-2</v>
      </c>
      <c r="BK188" s="124">
        <v>7.3840000000000003E-2</v>
      </c>
      <c r="BL188" s="124">
        <v>5.253E-2</v>
      </c>
      <c r="BM188" s="124">
        <v>3.4779999999999998E-2</v>
      </c>
      <c r="BN188" s="118">
        <v>96.93</v>
      </c>
      <c r="BO188" s="118">
        <v>50.63</v>
      </c>
      <c r="BP188" s="118">
        <v>14</v>
      </c>
      <c r="BQ188" s="154">
        <v>7.6</v>
      </c>
      <c r="BR188" s="154" t="s">
        <v>85</v>
      </c>
      <c r="BS188" s="154" t="s">
        <v>85</v>
      </c>
      <c r="BT188" s="154">
        <v>0.7</v>
      </c>
      <c r="BU188" s="154">
        <v>28.95</v>
      </c>
      <c r="BV188" s="154" t="s">
        <v>85</v>
      </c>
      <c r="BW188" s="154">
        <v>35.08</v>
      </c>
      <c r="BX188" s="154">
        <v>0.64</v>
      </c>
      <c r="BY188" s="154" t="s">
        <v>85</v>
      </c>
      <c r="BZ188" s="154">
        <v>165</v>
      </c>
      <c r="CA188" s="154">
        <v>11.08</v>
      </c>
      <c r="CB188" s="154"/>
      <c r="CC188" s="154" t="s">
        <v>85</v>
      </c>
      <c r="CD188" s="154">
        <v>1.7</v>
      </c>
      <c r="CE188" s="154" t="s">
        <v>85</v>
      </c>
      <c r="CF188" s="154" t="s">
        <v>85</v>
      </c>
      <c r="CG188" s="205" t="s">
        <v>1165</v>
      </c>
    </row>
    <row r="189" spans="1:85" ht="15">
      <c r="A189" s="122">
        <v>32017</v>
      </c>
      <c r="B189" s="122" t="s">
        <v>816</v>
      </c>
      <c r="C189" s="122" t="s">
        <v>817</v>
      </c>
      <c r="D189" s="122" t="s">
        <v>818</v>
      </c>
      <c r="E189" s="122" t="s">
        <v>1108</v>
      </c>
      <c r="F189" s="122" t="s">
        <v>1400</v>
      </c>
      <c r="G189" s="163" t="s">
        <v>1401</v>
      </c>
      <c r="H189" s="122">
        <v>19</v>
      </c>
      <c r="I189" s="122" t="s">
        <v>138</v>
      </c>
      <c r="J189" s="118">
        <v>33</v>
      </c>
      <c r="K189" s="118">
        <v>91.7</v>
      </c>
      <c r="L189" s="118">
        <v>0.7</v>
      </c>
      <c r="M189" s="118">
        <v>0</v>
      </c>
      <c r="N189" s="118">
        <v>7.5</v>
      </c>
      <c r="O189" s="118">
        <v>0</v>
      </c>
      <c r="P189" s="118">
        <v>0.04</v>
      </c>
      <c r="Q189" s="118">
        <v>0.04</v>
      </c>
      <c r="R189" s="118">
        <v>0.14000000000000001</v>
      </c>
      <c r="S189" s="118">
        <v>0.23</v>
      </c>
      <c r="T189" s="118">
        <v>0.4</v>
      </c>
      <c r="U189" s="118">
        <v>44.53</v>
      </c>
      <c r="V189" s="118"/>
      <c r="W189" s="118">
        <v>6.73</v>
      </c>
      <c r="X189" s="118">
        <v>0.41</v>
      </c>
      <c r="Y189" s="118">
        <v>0.02</v>
      </c>
      <c r="Z189" s="118"/>
      <c r="AA189" s="118">
        <v>0</v>
      </c>
      <c r="AB189" s="118">
        <v>0</v>
      </c>
      <c r="AC189" s="118">
        <v>0</v>
      </c>
      <c r="AD189" s="118">
        <v>7.87</v>
      </c>
      <c r="AE189" s="118">
        <v>8.36</v>
      </c>
      <c r="AF189" s="118"/>
      <c r="AG189" s="118"/>
      <c r="AH189" s="118"/>
      <c r="AI189" s="118">
        <v>8</v>
      </c>
      <c r="AJ189" s="118">
        <v>0.06</v>
      </c>
      <c r="AK189" s="118">
        <v>1.1000000000000001</v>
      </c>
      <c r="AL189" s="118">
        <v>10.31</v>
      </c>
      <c r="AM189" s="118">
        <v>0.72</v>
      </c>
      <c r="AN189" s="118">
        <v>6.19</v>
      </c>
      <c r="AO189" s="118">
        <v>24.92</v>
      </c>
      <c r="AP189" s="118"/>
      <c r="AQ189" s="118">
        <v>0.01</v>
      </c>
      <c r="AR189" s="118">
        <v>0.14000000000000001</v>
      </c>
      <c r="AS189" s="118">
        <v>0.03</v>
      </c>
      <c r="AT189" s="118">
        <v>0.17</v>
      </c>
      <c r="AU189" s="118"/>
      <c r="AV189" s="124">
        <v>2.8599999999999997E-3</v>
      </c>
      <c r="AW189" s="124">
        <v>6.0999999999999995E-3</v>
      </c>
      <c r="AX189" s="124">
        <v>5.6799999999999993E-3</v>
      </c>
      <c r="AY189" s="124">
        <v>4.0499999999999998E-3</v>
      </c>
      <c r="AZ189" s="124">
        <v>6.4000000000000005E-4</v>
      </c>
      <c r="BA189" s="124">
        <v>8.3000000000000001E-4</v>
      </c>
      <c r="BB189" s="124">
        <v>8.1799999999999998E-3</v>
      </c>
      <c r="BC189" s="124">
        <v>4.8300000000000001E-3</v>
      </c>
      <c r="BD189" s="124">
        <v>1.1999999999999999E-3</v>
      </c>
      <c r="BE189" s="124">
        <v>6.7000000000000002E-3</v>
      </c>
      <c r="BF189" s="124">
        <v>8.3499999999999998E-3</v>
      </c>
      <c r="BG189" s="124">
        <v>5.4900000000000001E-3</v>
      </c>
      <c r="BH189" s="124">
        <v>4.8780000000000004E-2</v>
      </c>
      <c r="BI189" s="124">
        <v>1.856E-2</v>
      </c>
      <c r="BJ189" s="124">
        <v>4.3200000000000001E-3</v>
      </c>
      <c r="BK189" s="124">
        <v>3.9399999999999999E-3</v>
      </c>
      <c r="BL189" s="124">
        <v>5.6799999999999993E-3</v>
      </c>
      <c r="BM189" s="124">
        <v>3.7599999999999999E-3</v>
      </c>
      <c r="BN189" s="118">
        <v>127</v>
      </c>
      <c r="BO189" s="118"/>
      <c r="BP189" s="118"/>
      <c r="BQ189" s="118"/>
      <c r="BR189" s="154" t="s">
        <v>85</v>
      </c>
      <c r="BS189" s="154" t="s">
        <v>85</v>
      </c>
      <c r="BT189" s="154" t="s">
        <v>85</v>
      </c>
      <c r="BU189" s="154">
        <v>119</v>
      </c>
      <c r="BV189" s="154" t="s">
        <v>85</v>
      </c>
      <c r="BW189" s="154">
        <v>29.7</v>
      </c>
      <c r="BX189" s="154" t="s">
        <v>85</v>
      </c>
      <c r="BY189" s="154" t="s">
        <v>85</v>
      </c>
      <c r="BZ189" s="154">
        <v>145</v>
      </c>
      <c r="CA189" s="154">
        <v>28.34</v>
      </c>
      <c r="CB189" s="154"/>
      <c r="CC189" s="154" t="s">
        <v>85</v>
      </c>
      <c r="CD189" s="154">
        <v>91.79</v>
      </c>
      <c r="CE189" s="154" t="s">
        <v>85</v>
      </c>
      <c r="CF189" s="154" t="s">
        <v>85</v>
      </c>
      <c r="CG189" s="205"/>
    </row>
    <row r="190" spans="1:85" ht="15">
      <c r="A190" s="122">
        <v>32018</v>
      </c>
      <c r="B190" s="122" t="s">
        <v>820</v>
      </c>
      <c r="C190" s="122" t="s">
        <v>821</v>
      </c>
      <c r="D190" s="122" t="s">
        <v>822</v>
      </c>
      <c r="E190" s="122" t="s">
        <v>76</v>
      </c>
      <c r="F190" s="122" t="s">
        <v>1402</v>
      </c>
      <c r="G190" s="163" t="s">
        <v>823</v>
      </c>
      <c r="H190" s="122">
        <v>14</v>
      </c>
      <c r="I190" s="122" t="s">
        <v>291</v>
      </c>
      <c r="J190" s="118">
        <v>39</v>
      </c>
      <c r="K190" s="118">
        <v>88.23</v>
      </c>
      <c r="L190" s="118">
        <v>0.87</v>
      </c>
      <c r="M190" s="118">
        <v>0.48</v>
      </c>
      <c r="N190" s="118">
        <v>6.12</v>
      </c>
      <c r="O190" s="118">
        <v>3.5</v>
      </c>
      <c r="P190" s="118">
        <v>0.09</v>
      </c>
      <c r="Q190" s="118">
        <v>0.02</v>
      </c>
      <c r="R190" s="118">
        <v>0.2</v>
      </c>
      <c r="S190" s="118">
        <v>0.31</v>
      </c>
      <c r="T190" s="118">
        <v>0.04</v>
      </c>
      <c r="U190" s="118"/>
      <c r="V190" s="118">
        <v>0</v>
      </c>
      <c r="W190" s="118">
        <v>74.12</v>
      </c>
      <c r="X190" s="118">
        <v>0.82</v>
      </c>
      <c r="Y190" s="118">
        <v>0.04</v>
      </c>
      <c r="Z190" s="118"/>
      <c r="AA190" s="118">
        <v>0</v>
      </c>
      <c r="AB190" s="118">
        <v>92.7</v>
      </c>
      <c r="AC190" s="118"/>
      <c r="AD190" s="118">
        <v>1110</v>
      </c>
      <c r="AE190" s="118">
        <v>18.489999999999998</v>
      </c>
      <c r="AF190" s="118"/>
      <c r="AG190" s="118"/>
      <c r="AH190" s="118">
        <v>5.68</v>
      </c>
      <c r="AI190" s="118">
        <v>22.76</v>
      </c>
      <c r="AJ190" s="118">
        <v>7.0000000000000007E-2</v>
      </c>
      <c r="AK190" s="118">
        <v>0.84</v>
      </c>
      <c r="AL190" s="118">
        <v>36.659999999999997</v>
      </c>
      <c r="AM190" s="118"/>
      <c r="AN190" s="118">
        <v>15.82</v>
      </c>
      <c r="AO190" s="118">
        <v>172.33</v>
      </c>
      <c r="AP190" s="118"/>
      <c r="AQ190" s="118">
        <v>0.21</v>
      </c>
      <c r="AR190" s="118">
        <v>7.0000000000000007E-2</v>
      </c>
      <c r="AS190" s="118">
        <v>0.03</v>
      </c>
      <c r="AT190" s="118">
        <v>0.05</v>
      </c>
      <c r="AU190" s="118"/>
      <c r="AV190" s="124">
        <v>1.9519999999999999E-2</v>
      </c>
      <c r="AW190" s="124">
        <v>4.2720000000000001E-2</v>
      </c>
      <c r="AX190" s="124">
        <v>6.9860000000000005E-2</v>
      </c>
      <c r="AY190" s="124">
        <v>1.6320000000000001E-2</v>
      </c>
      <c r="AZ190" s="124">
        <v>1.5169999999999999E-2</v>
      </c>
      <c r="BA190" s="124">
        <v>7.6299999999999996E-3</v>
      </c>
      <c r="BB190" s="124">
        <v>4.6170000000000003E-2</v>
      </c>
      <c r="BC190" s="124">
        <v>4.3619999999999999E-2</v>
      </c>
      <c r="BD190" s="124">
        <v>6.8099999999999992E-3</v>
      </c>
      <c r="BE190" s="124">
        <v>5.7320000000000003E-2</v>
      </c>
      <c r="BF190" s="124">
        <v>5.7729999999999997E-2</v>
      </c>
      <c r="BG190" s="124">
        <v>1.2630000000000001E-2</v>
      </c>
      <c r="BH190" s="124">
        <v>9.8319999999999991E-2</v>
      </c>
      <c r="BI190" s="124">
        <v>0.12479999999999999</v>
      </c>
      <c r="BJ190" s="124">
        <v>5.4039999999999998E-2</v>
      </c>
      <c r="BK190" s="124">
        <v>4.9939999999999998E-2</v>
      </c>
      <c r="BL190" s="124">
        <v>4.5429999999999998E-2</v>
      </c>
      <c r="BM190" s="124">
        <v>2.649E-2</v>
      </c>
      <c r="BN190" s="118"/>
      <c r="BO190" s="118">
        <v>8</v>
      </c>
      <c r="BP190" s="118">
        <v>89</v>
      </c>
      <c r="BQ190" s="205"/>
      <c r="BR190" s="205"/>
      <c r="BS190" s="205"/>
      <c r="BT190" s="205"/>
      <c r="BU190" s="205"/>
      <c r="BV190" s="205"/>
      <c r="BW190" s="205"/>
      <c r="BX190" s="205"/>
      <c r="BY190" s="205"/>
      <c r="BZ190" s="205"/>
      <c r="CA190" s="205"/>
      <c r="CB190" s="205"/>
      <c r="CC190" s="205"/>
      <c r="CD190" s="205"/>
      <c r="CE190" s="205"/>
      <c r="CF190" s="205"/>
      <c r="CG190" s="205"/>
    </row>
    <row r="191" spans="1:85" ht="15">
      <c r="A191" s="122">
        <v>32019</v>
      </c>
      <c r="B191" s="122" t="s">
        <v>824</v>
      </c>
      <c r="C191" s="122" t="s">
        <v>825</v>
      </c>
      <c r="D191" s="122" t="s">
        <v>826</v>
      </c>
      <c r="E191" s="122" t="s">
        <v>103</v>
      </c>
      <c r="F191" s="122">
        <v>168202</v>
      </c>
      <c r="G191" s="163" t="s">
        <v>1403</v>
      </c>
      <c r="H191" s="122">
        <v>14</v>
      </c>
      <c r="I191" s="122" t="s">
        <v>291</v>
      </c>
      <c r="J191" s="118">
        <v>57</v>
      </c>
      <c r="K191" s="118">
        <v>85.8</v>
      </c>
      <c r="L191" s="118">
        <v>0.28000000000000003</v>
      </c>
      <c r="M191" s="118">
        <v>0.15</v>
      </c>
      <c r="N191" s="118">
        <v>13.6</v>
      </c>
      <c r="O191" s="118">
        <v>2.4</v>
      </c>
      <c r="P191" s="118">
        <v>1.7999999999999999E-2</v>
      </c>
      <c r="Q191" s="118">
        <v>2.5999999999999999E-2</v>
      </c>
      <c r="R191" s="118">
        <v>9.4E-2</v>
      </c>
      <c r="S191" s="118">
        <v>7.3999999999999996E-2</v>
      </c>
      <c r="T191" s="118">
        <v>5.0999999999999997E-2</v>
      </c>
      <c r="U191" s="118">
        <v>3</v>
      </c>
      <c r="V191" s="118"/>
      <c r="W191" s="118"/>
      <c r="X191" s="118"/>
      <c r="Y191" s="118">
        <v>0.18</v>
      </c>
      <c r="Z191" s="118">
        <v>1.8</v>
      </c>
      <c r="AA191" s="118"/>
      <c r="AB191" s="118">
        <v>3</v>
      </c>
      <c r="AC191" s="118">
        <v>0</v>
      </c>
      <c r="AD191" s="118">
        <v>25</v>
      </c>
      <c r="AE191" s="118">
        <v>28</v>
      </c>
      <c r="AF191" s="118">
        <v>0</v>
      </c>
      <c r="AG191" s="118">
        <v>12</v>
      </c>
      <c r="AH191" s="118"/>
      <c r="AI191" s="118">
        <v>6</v>
      </c>
      <c r="AJ191" s="118">
        <v>0.03</v>
      </c>
      <c r="AK191" s="118">
        <v>0.13</v>
      </c>
      <c r="AL191" s="118">
        <v>5</v>
      </c>
      <c r="AM191" s="118">
        <v>3.5000000000000003E-2</v>
      </c>
      <c r="AN191" s="118">
        <v>10</v>
      </c>
      <c r="AO191" s="118">
        <v>100</v>
      </c>
      <c r="AP191" s="118">
        <v>0</v>
      </c>
      <c r="AQ191" s="118">
        <v>0.04</v>
      </c>
      <c r="AR191" s="118"/>
      <c r="AS191" s="118"/>
      <c r="AT191" s="118"/>
      <c r="AU191" s="118"/>
      <c r="AV191" s="118">
        <v>5.0000000000000001E-3</v>
      </c>
      <c r="AW191" s="118">
        <v>6.0000000000000001E-3</v>
      </c>
      <c r="AX191" s="118">
        <v>1.4E-2</v>
      </c>
      <c r="AY191" s="118">
        <v>1.2999999999999999E-2</v>
      </c>
      <c r="AZ191" s="118">
        <v>1E-3</v>
      </c>
      <c r="BA191" s="118">
        <v>1E-3</v>
      </c>
      <c r="BB191" s="118">
        <v>7.0000000000000001E-3</v>
      </c>
      <c r="BC191" s="118">
        <v>6.0000000000000001E-3</v>
      </c>
      <c r="BD191" s="118">
        <v>1E-3</v>
      </c>
      <c r="BE191" s="118">
        <v>1.2999999999999999E-2</v>
      </c>
      <c r="BF191" s="118">
        <v>1.2E-2</v>
      </c>
      <c r="BG191" s="118">
        <v>6.0000000000000001E-3</v>
      </c>
      <c r="BH191" s="118">
        <v>7.4999999999999997E-2</v>
      </c>
      <c r="BI191" s="118">
        <v>2.5999999999999999E-2</v>
      </c>
      <c r="BJ191" s="118">
        <v>8.9999999999999993E-3</v>
      </c>
      <c r="BK191" s="118">
        <v>6.0000000000000001E-3</v>
      </c>
      <c r="BL191" s="118">
        <v>1.0999999999999999E-2</v>
      </c>
      <c r="BM191" s="118">
        <v>1E-3</v>
      </c>
      <c r="BN191" s="118"/>
      <c r="BO191" s="118"/>
      <c r="BP191" s="118"/>
      <c r="BQ191" s="118">
        <v>3.4</v>
      </c>
      <c r="BR191" s="154" t="s">
        <v>85</v>
      </c>
      <c r="BS191" s="154" t="s">
        <v>85</v>
      </c>
      <c r="BT191" s="154" t="s">
        <v>85</v>
      </c>
      <c r="BU191" s="154">
        <v>103</v>
      </c>
      <c r="BV191" s="154" t="s">
        <v>85</v>
      </c>
      <c r="BW191" s="154">
        <v>51.13</v>
      </c>
      <c r="BX191" s="154" t="s">
        <v>85</v>
      </c>
      <c r="BY191" s="154" t="s">
        <v>85</v>
      </c>
      <c r="BZ191" s="154">
        <v>249</v>
      </c>
      <c r="CA191" s="154">
        <v>32.630000000000003</v>
      </c>
      <c r="CB191" s="154"/>
      <c r="CC191" s="154" t="s">
        <v>85</v>
      </c>
      <c r="CD191" s="154">
        <v>28.51</v>
      </c>
      <c r="CE191" s="154" t="s">
        <v>85</v>
      </c>
      <c r="CF191" s="154" t="s">
        <v>85</v>
      </c>
      <c r="CG191" s="205">
        <v>4</v>
      </c>
    </row>
    <row r="192" spans="1:85" ht="15">
      <c r="A192" s="122">
        <v>32020</v>
      </c>
      <c r="B192" s="122" t="s">
        <v>827</v>
      </c>
      <c r="C192" s="122" t="s">
        <v>828</v>
      </c>
      <c r="D192" s="122" t="s">
        <v>829</v>
      </c>
      <c r="E192" s="122" t="s">
        <v>76</v>
      </c>
      <c r="F192" s="122" t="s">
        <v>1404</v>
      </c>
      <c r="G192" s="163" t="s">
        <v>1405</v>
      </c>
      <c r="H192" s="122">
        <v>14</v>
      </c>
      <c r="I192" s="122" t="s">
        <v>291</v>
      </c>
      <c r="J192" s="118">
        <v>78</v>
      </c>
      <c r="K192" s="118">
        <v>79.69</v>
      </c>
      <c r="L192" s="118">
        <v>0.55000000000000004</v>
      </c>
      <c r="M192" s="118">
        <v>0.39</v>
      </c>
      <c r="N192" s="118">
        <v>17.82</v>
      </c>
      <c r="O192" s="118">
        <v>0.7</v>
      </c>
      <c r="P192" s="118">
        <v>0.04</v>
      </c>
      <c r="Q192" s="118">
        <v>0.02</v>
      </c>
      <c r="R192" s="118">
        <v>0.32</v>
      </c>
      <c r="S192" s="118">
        <v>0.13</v>
      </c>
      <c r="T192" s="118"/>
      <c r="U192" s="118"/>
      <c r="V192" s="118">
        <v>0</v>
      </c>
      <c r="W192" s="118">
        <v>35.130000000000003</v>
      </c>
      <c r="X192" s="118">
        <v>0</v>
      </c>
      <c r="Y192" s="118">
        <v>0.02</v>
      </c>
      <c r="Z192" s="118">
        <v>3.6</v>
      </c>
      <c r="AA192" s="118">
        <v>0</v>
      </c>
      <c r="AB192" s="118">
        <v>208.33</v>
      </c>
      <c r="AC192" s="118"/>
      <c r="AD192" s="118">
        <v>2500</v>
      </c>
      <c r="AE192" s="118">
        <v>5.8</v>
      </c>
      <c r="AF192" s="118"/>
      <c r="AG192" s="118"/>
      <c r="AH192" s="118">
        <v>1.5</v>
      </c>
      <c r="AI192" s="118">
        <v>15.75</v>
      </c>
      <c r="AJ192" s="118">
        <v>0.13</v>
      </c>
      <c r="AK192" s="118">
        <v>1.67</v>
      </c>
      <c r="AL192" s="118">
        <v>14.46</v>
      </c>
      <c r="AM192" s="118"/>
      <c r="AN192" s="118">
        <v>58</v>
      </c>
      <c r="AO192" s="118">
        <v>238.97</v>
      </c>
      <c r="AP192" s="118"/>
      <c r="AQ192" s="118">
        <v>0.27</v>
      </c>
      <c r="AR192" s="118">
        <v>0.03</v>
      </c>
      <c r="AS192" s="118">
        <v>0.04</v>
      </c>
      <c r="AT192" s="118">
        <v>0.08</v>
      </c>
      <c r="AU192" s="118"/>
      <c r="AV192" s="124">
        <v>1.5699999999999999E-2</v>
      </c>
      <c r="AW192" s="124">
        <v>2.0799999999999999E-2</v>
      </c>
      <c r="AX192" s="124">
        <v>1.8699999999999998E-2</v>
      </c>
      <c r="AY192" s="124">
        <v>1.175E-2</v>
      </c>
      <c r="AZ192" s="124">
        <v>4.2500000000000003E-3</v>
      </c>
      <c r="BA192" s="124">
        <v>5.4999999999999997E-3</v>
      </c>
      <c r="BB192" s="124">
        <v>1.3800000000000002E-2</v>
      </c>
      <c r="BC192" s="124">
        <v>2.1600000000000001E-2</v>
      </c>
      <c r="BD192" s="124">
        <v>2.2000000000000001E-3</v>
      </c>
      <c r="BE192" s="124">
        <v>2.155E-2</v>
      </c>
      <c r="BF192" s="124">
        <v>3.4200000000000001E-2</v>
      </c>
      <c r="BG192" s="124">
        <v>1.925E-2</v>
      </c>
      <c r="BH192" s="124">
        <v>6.93E-2</v>
      </c>
      <c r="BI192" s="124">
        <v>8.1599999999999992E-2</v>
      </c>
      <c r="BJ192" s="124">
        <v>2.2800000000000001E-2</v>
      </c>
      <c r="BK192" s="124">
        <v>2.085E-2</v>
      </c>
      <c r="BL192" s="124">
        <v>2.5899999999999999E-2</v>
      </c>
      <c r="BM192" s="124">
        <v>6.2500000000000003E-3</v>
      </c>
      <c r="BN192" s="118">
        <v>28.36</v>
      </c>
      <c r="BO192" s="118">
        <v>2.8</v>
      </c>
      <c r="BP192" s="118"/>
      <c r="BQ192" s="118"/>
      <c r="BR192" s="154" t="s">
        <v>85</v>
      </c>
      <c r="BS192" s="154" t="s">
        <v>85</v>
      </c>
      <c r="BT192" s="154">
        <v>2.4500000000000002</v>
      </c>
      <c r="BU192" s="154">
        <v>22.45</v>
      </c>
      <c r="BV192" s="154" t="s">
        <v>85</v>
      </c>
      <c r="BW192" s="154">
        <v>32.85</v>
      </c>
      <c r="BX192" s="154" t="s">
        <v>85</v>
      </c>
      <c r="BY192" s="154" t="s">
        <v>85</v>
      </c>
      <c r="BZ192" s="154">
        <v>50.64</v>
      </c>
      <c r="CA192" s="154">
        <v>25.78</v>
      </c>
      <c r="CB192" s="154"/>
      <c r="CC192" s="154" t="s">
        <v>85</v>
      </c>
      <c r="CD192" s="154">
        <v>5.98</v>
      </c>
      <c r="CE192" s="154" t="s">
        <v>85</v>
      </c>
      <c r="CF192" s="154" t="s">
        <v>85</v>
      </c>
      <c r="CG192" s="205"/>
    </row>
    <row r="193" spans="1:85">
      <c r="A193" s="122">
        <v>32021</v>
      </c>
      <c r="B193" s="122" t="s">
        <v>831</v>
      </c>
      <c r="C193" s="122" t="s">
        <v>832</v>
      </c>
      <c r="D193" s="122" t="s">
        <v>833</v>
      </c>
      <c r="E193" s="122" t="s">
        <v>76</v>
      </c>
      <c r="F193" s="122">
        <v>80016</v>
      </c>
      <c r="G193" s="163" t="s">
        <v>834</v>
      </c>
      <c r="H193" s="122">
        <v>12</v>
      </c>
      <c r="I193" s="122" t="s">
        <v>713</v>
      </c>
      <c r="J193" s="118">
        <v>51</v>
      </c>
      <c r="K193" s="118">
        <v>86.66</v>
      </c>
      <c r="L193" s="118">
        <v>1.08</v>
      </c>
      <c r="M193" s="118">
        <v>0.85</v>
      </c>
      <c r="N193" s="118">
        <v>8.89</v>
      </c>
      <c r="O193" s="118">
        <v>1.6</v>
      </c>
      <c r="P193" s="118">
        <v>0.28000000000000003</v>
      </c>
      <c r="Q193" s="118">
        <v>0.04</v>
      </c>
      <c r="R193" s="118">
        <v>0.3</v>
      </c>
      <c r="S193" s="118"/>
      <c r="T193" s="118"/>
      <c r="U193" s="118"/>
      <c r="V193" s="118"/>
      <c r="W193" s="118">
        <v>77.010000000000005</v>
      </c>
      <c r="X193" s="118">
        <v>0</v>
      </c>
      <c r="Y193" s="118"/>
      <c r="Z193" s="118"/>
      <c r="AA193" s="118">
        <v>0</v>
      </c>
      <c r="AB193" s="118"/>
      <c r="AC193" s="118"/>
      <c r="AD193" s="118"/>
      <c r="AE193" s="118"/>
      <c r="AF193" s="118"/>
      <c r="AG193" s="118"/>
      <c r="AH193" s="118"/>
      <c r="AI193" s="118">
        <v>56.7</v>
      </c>
      <c r="AJ193" s="118">
        <v>0.11</v>
      </c>
      <c r="AK193" s="118">
        <v>2.8</v>
      </c>
      <c r="AL193" s="118">
        <v>39.5</v>
      </c>
      <c r="AM193" s="118"/>
      <c r="AN193" s="118">
        <v>11</v>
      </c>
      <c r="AO193" s="118">
        <v>174.95</v>
      </c>
      <c r="AP193" s="118"/>
      <c r="AQ193" s="118">
        <v>0.17</v>
      </c>
      <c r="AR193" s="118"/>
      <c r="AS193" s="118"/>
      <c r="AT193" s="118"/>
      <c r="AU193" s="118"/>
      <c r="AV193" s="124"/>
      <c r="AW193" s="124"/>
      <c r="AX193" s="124"/>
      <c r="AY193" s="124"/>
      <c r="AZ193" s="124"/>
      <c r="BA193" s="124"/>
      <c r="BB193" s="124"/>
      <c r="BC193" s="124"/>
      <c r="BD193" s="124"/>
      <c r="BE193" s="124"/>
      <c r="BF193" s="124"/>
      <c r="BG193" s="124"/>
      <c r="BH193" s="124"/>
      <c r="BI193" s="124"/>
      <c r="BJ193" s="124"/>
      <c r="BK193" s="124"/>
      <c r="BL193" s="124"/>
      <c r="BM193" s="124"/>
      <c r="BN193" s="118"/>
      <c r="BO193" s="118"/>
      <c r="BP193" s="118"/>
      <c r="BQ193" s="118"/>
      <c r="BR193" s="205"/>
      <c r="BS193" s="205"/>
      <c r="BT193" s="205"/>
      <c r="BU193" s="205"/>
      <c r="BV193" s="205"/>
      <c r="BW193" s="205"/>
      <c r="BX193" s="205"/>
      <c r="BY193" s="205"/>
      <c r="BZ193" s="205"/>
      <c r="CA193" s="205"/>
      <c r="CB193" s="205"/>
      <c r="CC193" s="205"/>
      <c r="CD193" s="205"/>
      <c r="CE193" s="205"/>
      <c r="CF193" s="205"/>
      <c r="CG193" s="205"/>
    </row>
    <row r="194" spans="1:85" ht="15">
      <c r="A194" s="122">
        <v>32022</v>
      </c>
      <c r="B194" s="122" t="s">
        <v>835</v>
      </c>
      <c r="C194" s="122" t="s">
        <v>836</v>
      </c>
      <c r="D194" s="122" t="s">
        <v>702</v>
      </c>
      <c r="E194" s="122" t="s">
        <v>76</v>
      </c>
      <c r="F194" s="122" t="s">
        <v>1341</v>
      </c>
      <c r="G194" s="163" t="s">
        <v>1342</v>
      </c>
      <c r="H194" s="122">
        <v>14</v>
      </c>
      <c r="I194" s="122" t="s">
        <v>291</v>
      </c>
      <c r="J194" s="118">
        <v>41</v>
      </c>
      <c r="K194" s="118">
        <v>88.7</v>
      </c>
      <c r="L194" s="118">
        <v>0.54</v>
      </c>
      <c r="M194" s="118">
        <v>0.72</v>
      </c>
      <c r="N194" s="118">
        <v>6.71</v>
      </c>
      <c r="O194" s="118">
        <v>2.8</v>
      </c>
      <c r="P194" s="118">
        <v>0.12</v>
      </c>
      <c r="Q194" s="118">
        <v>0.04</v>
      </c>
      <c r="R194" s="118">
        <v>0.37</v>
      </c>
      <c r="S194" s="118">
        <v>0.26</v>
      </c>
      <c r="T194" s="118">
        <v>0.02</v>
      </c>
      <c r="U194" s="118">
        <v>12</v>
      </c>
      <c r="V194" s="118">
        <v>0</v>
      </c>
      <c r="W194" s="118">
        <v>49.4</v>
      </c>
      <c r="X194" s="118">
        <v>0.96</v>
      </c>
      <c r="Y194" s="118">
        <v>0.15</v>
      </c>
      <c r="Z194" s="118">
        <v>2</v>
      </c>
      <c r="AA194" s="118">
        <v>0</v>
      </c>
      <c r="AB194" s="118">
        <v>6.68</v>
      </c>
      <c r="AC194" s="118">
        <v>52</v>
      </c>
      <c r="AD194" s="118">
        <v>54.17</v>
      </c>
      <c r="AE194" s="118">
        <v>26.8</v>
      </c>
      <c r="AF194" s="118"/>
      <c r="AG194" s="118"/>
      <c r="AH194" s="118">
        <v>2.6</v>
      </c>
      <c r="AI194" s="118">
        <v>9.5</v>
      </c>
      <c r="AJ194" s="118">
        <v>0.12</v>
      </c>
      <c r="AK194" s="118">
        <v>0.82</v>
      </c>
      <c r="AL194" s="118">
        <v>19</v>
      </c>
      <c r="AM194" s="118">
        <v>0.06</v>
      </c>
      <c r="AN194" s="118">
        <v>23</v>
      </c>
      <c r="AO194" s="118">
        <v>127.8</v>
      </c>
      <c r="AP194" s="118">
        <v>0.56000000000000005</v>
      </c>
      <c r="AQ194" s="118">
        <v>0.38</v>
      </c>
      <c r="AR194" s="118">
        <v>0.02</v>
      </c>
      <c r="AS194" s="118">
        <v>0.03</v>
      </c>
      <c r="AT194" s="118">
        <v>0.19</v>
      </c>
      <c r="AU194" s="118"/>
      <c r="AV194" s="124">
        <v>2.0539999999999999E-2</v>
      </c>
      <c r="AW194" s="124">
        <v>2.2120000000000001E-2</v>
      </c>
      <c r="AX194" s="124">
        <v>4.4789999999999996E-2</v>
      </c>
      <c r="AY194" s="124">
        <v>4.1869999999999997E-2</v>
      </c>
      <c r="AZ194" s="124">
        <v>7.1900000000000002E-3</v>
      </c>
      <c r="BA194" s="124">
        <v>5.8499999999999993E-3</v>
      </c>
      <c r="BB194" s="124">
        <v>3.2149999999999998E-2</v>
      </c>
      <c r="BC194" s="124">
        <v>3.073E-2</v>
      </c>
      <c r="BD194" s="124">
        <v>6.8700000000000002E-3</v>
      </c>
      <c r="BE194" s="124">
        <v>3.3259999999999998E-2</v>
      </c>
      <c r="BF194" s="124">
        <v>4.8189999999999997E-2</v>
      </c>
      <c r="BG194" s="124">
        <v>4.2419999999999999E-2</v>
      </c>
      <c r="BH194" s="124">
        <v>0.13746</v>
      </c>
      <c r="BI194" s="124">
        <v>0.14655000000000001</v>
      </c>
      <c r="BJ194" s="124">
        <v>3.5159999999999997E-2</v>
      </c>
      <c r="BK194" s="124">
        <v>2.647E-2</v>
      </c>
      <c r="BL194" s="124">
        <v>3.6889999999999999E-2</v>
      </c>
      <c r="BM194" s="124">
        <v>3.073E-2</v>
      </c>
      <c r="BN194" s="118">
        <v>21.69</v>
      </c>
      <c r="BO194" s="118">
        <v>3.8</v>
      </c>
      <c r="BP194" s="118"/>
      <c r="BQ194" s="118">
        <v>7.6</v>
      </c>
      <c r="BR194" s="154" t="s">
        <v>85</v>
      </c>
      <c r="BS194" s="154" t="s">
        <v>85</v>
      </c>
      <c r="BT194" s="154" t="s">
        <v>85</v>
      </c>
      <c r="BU194" s="154">
        <v>10.23</v>
      </c>
      <c r="BV194" s="154" t="s">
        <v>85</v>
      </c>
      <c r="BW194" s="154">
        <v>30.12</v>
      </c>
      <c r="BX194" s="154" t="s">
        <v>85</v>
      </c>
      <c r="BY194" s="154" t="s">
        <v>85</v>
      </c>
      <c r="BZ194" s="154">
        <v>151</v>
      </c>
      <c r="CA194" s="154">
        <v>39.9</v>
      </c>
      <c r="CB194" s="154"/>
      <c r="CC194" s="154" t="s">
        <v>85</v>
      </c>
      <c r="CD194" s="154">
        <v>3.14</v>
      </c>
      <c r="CE194" s="154" t="s">
        <v>85</v>
      </c>
      <c r="CF194" s="154" t="s">
        <v>85</v>
      </c>
      <c r="CG194" s="205" t="s">
        <v>1165</v>
      </c>
    </row>
    <row r="195" spans="1:85" ht="15">
      <c r="A195" s="122">
        <v>32023</v>
      </c>
      <c r="B195" s="122" t="s">
        <v>837</v>
      </c>
      <c r="C195" s="122" t="s">
        <v>838</v>
      </c>
      <c r="D195" s="127" t="s">
        <v>839</v>
      </c>
      <c r="E195" s="122" t="s">
        <v>1152</v>
      </c>
      <c r="F195" s="122" t="s">
        <v>1406</v>
      </c>
      <c r="G195" s="163" t="s">
        <v>1407</v>
      </c>
      <c r="H195" s="122">
        <v>14</v>
      </c>
      <c r="I195" s="122" t="s">
        <v>291</v>
      </c>
      <c r="J195" s="118">
        <v>64</v>
      </c>
      <c r="K195" s="118">
        <v>83.7</v>
      </c>
      <c r="L195" s="118">
        <v>0.4</v>
      </c>
      <c r="M195" s="118">
        <v>0.4</v>
      </c>
      <c r="N195" s="118">
        <v>14.6</v>
      </c>
      <c r="O195" s="118">
        <v>0.1</v>
      </c>
      <c r="P195" s="118">
        <v>0.02</v>
      </c>
      <c r="Q195" s="118">
        <v>0.05</v>
      </c>
      <c r="R195" s="118">
        <v>0.2</v>
      </c>
      <c r="S195" s="118"/>
      <c r="T195" s="118"/>
      <c r="U195" s="118"/>
      <c r="V195" s="118"/>
      <c r="W195" s="118">
        <v>6.2</v>
      </c>
      <c r="X195" s="118"/>
      <c r="Y195" s="118"/>
      <c r="Z195" s="118"/>
      <c r="AA195" s="118"/>
      <c r="AB195" s="118"/>
      <c r="AC195" s="118"/>
      <c r="AD195" s="118"/>
      <c r="AE195" s="118"/>
      <c r="AF195" s="118"/>
      <c r="AG195" s="118"/>
      <c r="AH195" s="118"/>
      <c r="AI195" s="118">
        <v>5</v>
      </c>
      <c r="AJ195" s="118"/>
      <c r="AK195" s="118">
        <v>0.2</v>
      </c>
      <c r="AL195" s="118"/>
      <c r="AM195" s="118"/>
      <c r="AN195" s="118">
        <v>13</v>
      </c>
      <c r="AO195" s="118">
        <v>111</v>
      </c>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205"/>
      <c r="BS195" s="205"/>
      <c r="BT195" s="205"/>
      <c r="BU195" s="205"/>
      <c r="BV195" s="205"/>
      <c r="BW195" s="205"/>
      <c r="BX195" s="205"/>
      <c r="BY195" s="205"/>
      <c r="BZ195" s="205"/>
      <c r="CA195" s="205"/>
      <c r="CB195" s="205"/>
      <c r="CC195" s="205"/>
      <c r="CD195" s="205"/>
      <c r="CE195" s="205"/>
      <c r="CF195" s="205"/>
      <c r="CG195" s="205"/>
    </row>
    <row r="196" spans="1:85">
      <c r="A196" s="122">
        <v>32024</v>
      </c>
      <c r="B196" s="122" t="s">
        <v>840</v>
      </c>
      <c r="C196" s="122" t="s">
        <v>841</v>
      </c>
      <c r="D196" s="122" t="s">
        <v>842</v>
      </c>
      <c r="E196" s="122" t="s">
        <v>76</v>
      </c>
      <c r="F196" s="122">
        <v>80020</v>
      </c>
      <c r="G196" s="163" t="s">
        <v>843</v>
      </c>
      <c r="H196" s="122">
        <v>14</v>
      </c>
      <c r="I196" s="122" t="s">
        <v>291</v>
      </c>
      <c r="J196" s="118">
        <v>35</v>
      </c>
      <c r="K196" s="118">
        <v>89.86</v>
      </c>
      <c r="L196" s="118">
        <v>0.67</v>
      </c>
      <c r="M196" s="118">
        <v>0.21</v>
      </c>
      <c r="N196" s="118">
        <v>6.9</v>
      </c>
      <c r="O196" s="118">
        <v>1.6</v>
      </c>
      <c r="P196" s="118">
        <v>0.03</v>
      </c>
      <c r="Q196" s="118">
        <v>0.01</v>
      </c>
      <c r="R196" s="118">
        <v>0.3</v>
      </c>
      <c r="S196" s="118"/>
      <c r="T196" s="118"/>
      <c r="U196" s="118"/>
      <c r="V196" s="118"/>
      <c r="W196" s="118">
        <v>40.22</v>
      </c>
      <c r="X196" s="118">
        <v>0</v>
      </c>
      <c r="Y196" s="118">
        <v>0.19</v>
      </c>
      <c r="Z196" s="118"/>
      <c r="AA196" s="118">
        <v>0</v>
      </c>
      <c r="AB196" s="118">
        <v>1.83</v>
      </c>
      <c r="AC196" s="118"/>
      <c r="AD196" s="118">
        <v>22.1</v>
      </c>
      <c r="AE196" s="118"/>
      <c r="AF196" s="118"/>
      <c r="AG196" s="118"/>
      <c r="AH196" s="118"/>
      <c r="AI196" s="118">
        <v>9.5</v>
      </c>
      <c r="AJ196" s="118">
        <v>0.57999999999999996</v>
      </c>
      <c r="AK196" s="118">
        <v>0.3</v>
      </c>
      <c r="AL196" s="118">
        <v>22.5</v>
      </c>
      <c r="AM196" s="118"/>
      <c r="AN196" s="118">
        <v>18</v>
      </c>
      <c r="AO196" s="118">
        <v>143</v>
      </c>
      <c r="AP196" s="118"/>
      <c r="AQ196" s="118">
        <v>0.39</v>
      </c>
      <c r="AR196" s="118"/>
      <c r="AS196" s="118"/>
      <c r="AT196" s="118"/>
      <c r="AU196" s="118"/>
      <c r="AV196" s="124"/>
      <c r="AW196" s="124"/>
      <c r="AX196" s="124"/>
      <c r="AY196" s="124"/>
      <c r="AZ196" s="124"/>
      <c r="BA196" s="124"/>
      <c r="BB196" s="124"/>
      <c r="BC196" s="124"/>
      <c r="BD196" s="124"/>
      <c r="BE196" s="124"/>
      <c r="BF196" s="124"/>
      <c r="BG196" s="124"/>
      <c r="BH196" s="124"/>
      <c r="BI196" s="124"/>
      <c r="BJ196" s="124"/>
      <c r="BK196" s="124"/>
      <c r="BL196" s="124"/>
      <c r="BM196" s="124"/>
      <c r="BN196" s="118"/>
      <c r="BO196" s="118"/>
      <c r="BP196" s="118"/>
      <c r="BQ196" s="118"/>
      <c r="BR196" s="205"/>
      <c r="BS196" s="205"/>
      <c r="BT196" s="205"/>
      <c r="BU196" s="205"/>
      <c r="BV196" s="205"/>
      <c r="BW196" s="205"/>
      <c r="BX196" s="205"/>
      <c r="BY196" s="205"/>
      <c r="BZ196" s="205"/>
      <c r="CA196" s="205"/>
      <c r="CB196" s="205"/>
      <c r="CC196" s="205"/>
      <c r="CD196" s="205"/>
      <c r="CE196" s="205"/>
      <c r="CF196" s="205"/>
      <c r="CG196" s="205"/>
    </row>
    <row r="197" spans="1:85" ht="15">
      <c r="A197" s="122">
        <v>32025</v>
      </c>
      <c r="B197" s="122" t="s">
        <v>844</v>
      </c>
      <c r="C197" s="122" t="s">
        <v>845</v>
      </c>
      <c r="D197" s="122" t="s">
        <v>846</v>
      </c>
      <c r="E197" s="122" t="s">
        <v>76</v>
      </c>
      <c r="F197" s="122">
        <v>80036</v>
      </c>
      <c r="G197" s="163" t="s">
        <v>847</v>
      </c>
      <c r="H197" s="122">
        <v>14</v>
      </c>
      <c r="I197" s="122" t="s">
        <v>291</v>
      </c>
      <c r="J197" s="118">
        <v>67</v>
      </c>
      <c r="K197" s="118">
        <v>81.150000000000006</v>
      </c>
      <c r="L197" s="118">
        <v>0.66</v>
      </c>
      <c r="M197" s="118">
        <v>0.2</v>
      </c>
      <c r="N197" s="118">
        <v>13.94</v>
      </c>
      <c r="O197" s="118">
        <v>3.6</v>
      </c>
      <c r="P197" s="118">
        <v>0.03</v>
      </c>
      <c r="Q197" s="118">
        <v>0.14000000000000001</v>
      </c>
      <c r="R197" s="118">
        <v>0.13</v>
      </c>
      <c r="S197" s="118"/>
      <c r="T197" s="118">
        <v>0.03</v>
      </c>
      <c r="U197" s="118">
        <v>8</v>
      </c>
      <c r="V197" s="118"/>
      <c r="W197" s="118">
        <v>12.75</v>
      </c>
      <c r="X197" s="118">
        <v>0</v>
      </c>
      <c r="Y197" s="118">
        <v>1.8</v>
      </c>
      <c r="Z197" s="118"/>
      <c r="AA197" s="118">
        <v>0</v>
      </c>
      <c r="AB197" s="118">
        <v>81.38</v>
      </c>
      <c r="AC197" s="118">
        <v>0</v>
      </c>
      <c r="AD197" s="118">
        <v>253</v>
      </c>
      <c r="AE197" s="118"/>
      <c r="AF197" s="118"/>
      <c r="AG197" s="118"/>
      <c r="AH197" s="118"/>
      <c r="AI197" s="118">
        <v>23.83</v>
      </c>
      <c r="AJ197" s="118">
        <v>0.14000000000000001</v>
      </c>
      <c r="AK197" s="118">
        <v>0.18</v>
      </c>
      <c r="AL197" s="118">
        <v>14.67</v>
      </c>
      <c r="AM197" s="118"/>
      <c r="AN197" s="118">
        <v>17</v>
      </c>
      <c r="AO197" s="118">
        <v>180.33</v>
      </c>
      <c r="AP197" s="118"/>
      <c r="AQ197" s="118">
        <v>7.0000000000000007E-2</v>
      </c>
      <c r="AR197" s="118"/>
      <c r="AS197" s="118"/>
      <c r="AT197" s="118"/>
      <c r="AU197" s="118"/>
      <c r="AV197" s="124"/>
      <c r="AW197" s="124"/>
      <c r="AX197" s="124"/>
      <c r="AY197" s="124"/>
      <c r="AZ197" s="124"/>
      <c r="BA197" s="124"/>
      <c r="BB197" s="124"/>
      <c r="BC197" s="124"/>
      <c r="BD197" s="124"/>
      <c r="BE197" s="124"/>
      <c r="BF197" s="124"/>
      <c r="BG197" s="124"/>
      <c r="BH197" s="124"/>
      <c r="BI197" s="124"/>
      <c r="BJ197" s="124"/>
      <c r="BK197" s="124"/>
      <c r="BL197" s="124"/>
      <c r="BM197" s="124"/>
      <c r="BN197" s="118"/>
      <c r="BO197" s="118"/>
      <c r="BP197" s="118"/>
      <c r="BQ197" s="154">
        <v>7.6</v>
      </c>
      <c r="BR197" s="154">
        <v>0</v>
      </c>
      <c r="BS197" s="154">
        <v>0</v>
      </c>
      <c r="BT197" s="154">
        <v>1</v>
      </c>
      <c r="BU197" s="154">
        <v>16</v>
      </c>
      <c r="BV197" s="154">
        <v>0</v>
      </c>
      <c r="BW197" s="154">
        <v>37</v>
      </c>
      <c r="BX197" s="154">
        <v>0</v>
      </c>
      <c r="BY197" s="154">
        <v>0</v>
      </c>
      <c r="BZ197" s="154">
        <v>39</v>
      </c>
      <c r="CA197" s="154">
        <v>4</v>
      </c>
      <c r="CB197" s="154">
        <v>0</v>
      </c>
      <c r="CC197" s="154">
        <v>0</v>
      </c>
      <c r="CD197" s="154">
        <v>3</v>
      </c>
      <c r="CE197" s="154">
        <v>0</v>
      </c>
      <c r="CF197" s="154">
        <v>0</v>
      </c>
      <c r="CG197" s="205" t="s">
        <v>1165</v>
      </c>
    </row>
    <row r="198" spans="1:85" ht="15">
      <c r="A198" s="122">
        <v>32026</v>
      </c>
      <c r="B198" s="122" t="s">
        <v>848</v>
      </c>
      <c r="C198" s="122" t="s">
        <v>849</v>
      </c>
      <c r="D198" s="122" t="s">
        <v>829</v>
      </c>
      <c r="E198" s="122" t="s">
        <v>76</v>
      </c>
      <c r="F198" s="122">
        <v>80033</v>
      </c>
      <c r="G198" s="163" t="s">
        <v>850</v>
      </c>
      <c r="H198" s="122">
        <v>14</v>
      </c>
      <c r="I198" s="122" t="s">
        <v>291</v>
      </c>
      <c r="J198" s="118">
        <v>31</v>
      </c>
      <c r="K198" s="118">
        <v>91.95</v>
      </c>
      <c r="L198" s="118">
        <v>0.6</v>
      </c>
      <c r="M198" s="118">
        <v>0.1</v>
      </c>
      <c r="N198" s="118">
        <v>6.85</v>
      </c>
      <c r="O198" s="118">
        <v>0.3</v>
      </c>
      <c r="P198" s="118">
        <v>0.01</v>
      </c>
      <c r="Q198" s="118">
        <v>0.01</v>
      </c>
      <c r="R198" s="118">
        <v>0.2</v>
      </c>
      <c r="S198" s="118"/>
      <c r="T198" s="118"/>
      <c r="U198" s="118"/>
      <c r="V198" s="118">
        <v>0</v>
      </c>
      <c r="W198" s="118">
        <v>4</v>
      </c>
      <c r="X198" s="118">
        <v>0</v>
      </c>
      <c r="Y198" s="118"/>
      <c r="Z198" s="118"/>
      <c r="AA198" s="118">
        <v>0</v>
      </c>
      <c r="AB198" s="118">
        <v>0</v>
      </c>
      <c r="AC198" s="118"/>
      <c r="AD198" s="118">
        <v>0</v>
      </c>
      <c r="AE198" s="118"/>
      <c r="AF198" s="118"/>
      <c r="AG198" s="118"/>
      <c r="AH198" s="118"/>
      <c r="AI198" s="118">
        <v>43</v>
      </c>
      <c r="AJ198" s="118"/>
      <c r="AK198" s="118">
        <v>0.5</v>
      </c>
      <c r="AL198" s="118">
        <v>30</v>
      </c>
      <c r="AM198" s="118"/>
      <c r="AN198" s="118">
        <v>20</v>
      </c>
      <c r="AO198" s="118">
        <v>54</v>
      </c>
      <c r="AP198" s="118"/>
      <c r="AQ198" s="118"/>
      <c r="AR198" s="118"/>
      <c r="AS198" s="118"/>
      <c r="AT198" s="118"/>
      <c r="AU198" s="118"/>
      <c r="AV198" s="124"/>
      <c r="AW198" s="124"/>
      <c r="AX198" s="124"/>
      <c r="AY198" s="124"/>
      <c r="AZ198" s="124"/>
      <c r="BA198" s="124"/>
      <c r="BB198" s="124"/>
      <c r="BC198" s="124"/>
      <c r="BD198" s="124"/>
      <c r="BE198" s="124"/>
      <c r="BF198" s="124"/>
      <c r="BG198" s="124"/>
      <c r="BH198" s="124"/>
      <c r="BI198" s="124"/>
      <c r="BJ198" s="124"/>
      <c r="BK198" s="124"/>
      <c r="BL198" s="124"/>
      <c r="BM198" s="124"/>
      <c r="BN198" s="118"/>
      <c r="BO198" s="118"/>
      <c r="BP198" s="118"/>
      <c r="BQ198" s="118"/>
      <c r="BR198" s="205"/>
      <c r="BS198" s="205"/>
      <c r="BT198" s="205"/>
      <c r="BU198" s="205"/>
      <c r="BV198" s="205"/>
      <c r="BW198" s="205"/>
      <c r="BX198" s="205"/>
      <c r="BY198" s="205"/>
      <c r="BZ198" s="205"/>
      <c r="CA198" s="205"/>
      <c r="CB198" s="205"/>
      <c r="CC198" s="205"/>
      <c r="CD198" s="205"/>
      <c r="CE198" s="205"/>
      <c r="CF198" s="205"/>
      <c r="CG198" s="205"/>
    </row>
    <row r="199" spans="1:85" ht="15">
      <c r="A199" s="122">
        <v>32804</v>
      </c>
      <c r="B199" s="122" t="s">
        <v>851</v>
      </c>
      <c r="C199" s="122" t="s">
        <v>852</v>
      </c>
      <c r="D199" s="122" t="s">
        <v>853</v>
      </c>
      <c r="E199" s="122" t="s">
        <v>1108</v>
      </c>
      <c r="F199" s="122" t="s">
        <v>1408</v>
      </c>
      <c r="G199" s="163" t="s">
        <v>1409</v>
      </c>
      <c r="H199" s="122">
        <v>14</v>
      </c>
      <c r="I199" s="122" t="s">
        <v>291</v>
      </c>
      <c r="J199" s="118">
        <v>111</v>
      </c>
      <c r="K199" s="118">
        <v>68.459999999999994</v>
      </c>
      <c r="L199" s="118">
        <v>2.92</v>
      </c>
      <c r="M199" s="118">
        <v>0.25</v>
      </c>
      <c r="N199" s="118">
        <v>20.86</v>
      </c>
      <c r="O199" s="118">
        <v>6.96</v>
      </c>
      <c r="P199" s="118">
        <v>0.03</v>
      </c>
      <c r="Q199" s="118">
        <v>0.02</v>
      </c>
      <c r="R199" s="118">
        <v>1.1000000000000001</v>
      </c>
      <c r="S199" s="118">
        <v>1.62</v>
      </c>
      <c r="T199" s="118"/>
      <c r="U199" s="118"/>
      <c r="V199" s="118"/>
      <c r="W199" s="118">
        <v>11.26</v>
      </c>
      <c r="X199" s="118">
        <v>43.88</v>
      </c>
      <c r="Y199" s="118"/>
      <c r="Z199" s="118">
        <v>6.8</v>
      </c>
      <c r="AA199" s="118">
        <v>0</v>
      </c>
      <c r="AB199" s="118"/>
      <c r="AC199" s="118"/>
      <c r="AD199" s="118">
        <v>2.5</v>
      </c>
      <c r="AE199" s="118">
        <v>36.119999999999997</v>
      </c>
      <c r="AF199" s="118"/>
      <c r="AG199" s="118"/>
      <c r="AH199" s="118">
        <v>2.2000000000000002</v>
      </c>
      <c r="AI199" s="118">
        <v>41.42</v>
      </c>
      <c r="AJ199" s="118">
        <v>0.15</v>
      </c>
      <c r="AK199" s="118">
        <v>0.42</v>
      </c>
      <c r="AL199" s="118">
        <v>13.29</v>
      </c>
      <c r="AM199" s="118">
        <v>0.2</v>
      </c>
      <c r="AN199" s="118">
        <v>50</v>
      </c>
      <c r="AO199" s="118">
        <v>492.84</v>
      </c>
      <c r="AP199" s="118">
        <v>2.3199999999999998</v>
      </c>
      <c r="AQ199" s="118">
        <v>0.26</v>
      </c>
      <c r="AR199" s="118">
        <v>0.19</v>
      </c>
      <c r="AS199" s="118">
        <v>0.11</v>
      </c>
      <c r="AT199" s="118">
        <v>0.15</v>
      </c>
      <c r="AU199" s="118"/>
      <c r="AV199" s="124">
        <v>6.6280000000000006E-2</v>
      </c>
      <c r="AW199" s="124">
        <v>8.6529999999999996E-2</v>
      </c>
      <c r="AX199" s="124">
        <v>0.15412000000000001</v>
      </c>
      <c r="AY199" s="124">
        <v>0.12781999999999999</v>
      </c>
      <c r="AZ199" s="124">
        <v>3.3140000000000003E-2</v>
      </c>
      <c r="BA199" s="124">
        <v>1.7100000000000001E-2</v>
      </c>
      <c r="BB199" s="124">
        <v>0.1265</v>
      </c>
      <c r="BC199" s="124">
        <v>0.10940999999999999</v>
      </c>
      <c r="BD199" s="124">
        <v>2.5770000000000001E-2</v>
      </c>
      <c r="BE199" s="124">
        <v>0.12151000000000001</v>
      </c>
      <c r="BF199" s="124">
        <v>0.12676999999999999</v>
      </c>
      <c r="BG199" s="124">
        <v>0.10152</v>
      </c>
      <c r="BH199" s="124">
        <v>0.47866000000000003</v>
      </c>
      <c r="BI199" s="124">
        <v>0.37504000000000004</v>
      </c>
      <c r="BJ199" s="124">
        <v>0.10152</v>
      </c>
      <c r="BK199" s="124">
        <v>0.13833999999999999</v>
      </c>
      <c r="BL199" s="124">
        <v>0.14202000000000001</v>
      </c>
      <c r="BM199" s="124">
        <v>6.3909999999999995E-2</v>
      </c>
      <c r="BN199" s="118">
        <v>411</v>
      </c>
      <c r="BO199" s="118">
        <v>121</v>
      </c>
      <c r="BP199" s="118"/>
      <c r="BQ199" s="118"/>
      <c r="BR199" s="154" t="s">
        <v>85</v>
      </c>
      <c r="BS199" s="154" t="s">
        <v>85</v>
      </c>
      <c r="BT199" s="154" t="s">
        <v>85</v>
      </c>
      <c r="BU199" s="154">
        <v>657</v>
      </c>
      <c r="BV199" s="154" t="s">
        <v>85</v>
      </c>
      <c r="BW199" s="154">
        <v>559</v>
      </c>
      <c r="BX199" s="154" t="s">
        <v>85</v>
      </c>
      <c r="BY199" s="154" t="s">
        <v>85</v>
      </c>
      <c r="BZ199" s="154">
        <v>799</v>
      </c>
      <c r="CA199" s="154">
        <v>636</v>
      </c>
      <c r="CB199" s="154"/>
      <c r="CC199" s="154" t="s">
        <v>85</v>
      </c>
      <c r="CD199" s="154">
        <v>1.57</v>
      </c>
      <c r="CE199" s="154" t="s">
        <v>85</v>
      </c>
      <c r="CF199" s="154" t="s">
        <v>85</v>
      </c>
      <c r="CG199" s="205"/>
    </row>
    <row r="200" spans="1:85">
      <c r="A200" s="122">
        <v>31008</v>
      </c>
      <c r="B200" s="122" t="s">
        <v>855</v>
      </c>
      <c r="C200" s="122" t="s">
        <v>856</v>
      </c>
      <c r="D200" s="122" t="s">
        <v>857</v>
      </c>
      <c r="E200" s="122" t="s">
        <v>76</v>
      </c>
      <c r="F200" s="122">
        <v>80028</v>
      </c>
      <c r="G200" s="163" t="s">
        <v>858</v>
      </c>
      <c r="H200" s="122">
        <v>14</v>
      </c>
      <c r="I200" s="122" t="s">
        <v>291</v>
      </c>
      <c r="J200" s="118">
        <v>103</v>
      </c>
      <c r="K200" s="118">
        <v>72.33</v>
      </c>
      <c r="L200" s="118">
        <v>1.23</v>
      </c>
      <c r="M200" s="118">
        <v>0.71</v>
      </c>
      <c r="N200" s="118">
        <v>21.12</v>
      </c>
      <c r="O200" s="118">
        <v>3.63</v>
      </c>
      <c r="P200" s="118">
        <v>0.03</v>
      </c>
      <c r="Q200" s="118">
        <v>0.23</v>
      </c>
      <c r="R200" s="118">
        <v>0.46</v>
      </c>
      <c r="S200" s="118"/>
      <c r="T200" s="118"/>
      <c r="U200" s="118"/>
      <c r="V200" s="118"/>
      <c r="W200" s="118">
        <v>65.58</v>
      </c>
      <c r="X200" s="118">
        <v>0</v>
      </c>
      <c r="Y200" s="118"/>
      <c r="Z200" s="118"/>
      <c r="AA200" s="118">
        <v>0</v>
      </c>
      <c r="AB200" s="118">
        <v>309.85000000000002</v>
      </c>
      <c r="AC200" s="118"/>
      <c r="AD200" s="118">
        <v>3720</v>
      </c>
      <c r="AE200" s="118"/>
      <c r="AF200" s="118"/>
      <c r="AG200" s="118"/>
      <c r="AH200" s="118"/>
      <c r="AI200" s="118">
        <v>56.84</v>
      </c>
      <c r="AJ200" s="118">
        <v>1.05</v>
      </c>
      <c r="AK200" s="118">
        <v>0.78</v>
      </c>
      <c r="AL200" s="118">
        <v>23.69</v>
      </c>
      <c r="AM200" s="118"/>
      <c r="AN200" s="118">
        <v>22.69</v>
      </c>
      <c r="AO200" s="118">
        <v>348.33</v>
      </c>
      <c r="AP200" s="118"/>
      <c r="AQ200" s="118">
        <v>1.68</v>
      </c>
      <c r="AR200" s="118"/>
      <c r="AS200" s="118"/>
      <c r="AT200" s="118"/>
      <c r="AU200" s="118"/>
      <c r="AV200" s="124"/>
      <c r="AW200" s="124"/>
      <c r="AX200" s="124"/>
      <c r="AY200" s="124"/>
      <c r="AZ200" s="124"/>
      <c r="BA200" s="124"/>
      <c r="BB200" s="124"/>
      <c r="BC200" s="124"/>
      <c r="BD200" s="124"/>
      <c r="BE200" s="124"/>
      <c r="BF200" s="124"/>
      <c r="BG200" s="124"/>
      <c r="BH200" s="124"/>
      <c r="BI200" s="124"/>
      <c r="BJ200" s="124"/>
      <c r="BK200" s="124"/>
      <c r="BL200" s="124"/>
      <c r="BM200" s="124"/>
      <c r="BN200" s="118"/>
      <c r="BO200" s="118">
        <v>26</v>
      </c>
      <c r="BP200" s="118"/>
      <c r="BQ200" s="118"/>
      <c r="BR200" s="205"/>
      <c r="BS200" s="205"/>
      <c r="BT200" s="205"/>
      <c r="BU200" s="205"/>
      <c r="BV200" s="205"/>
      <c r="BW200" s="205"/>
      <c r="BX200" s="205"/>
      <c r="BY200" s="205"/>
      <c r="BZ200" s="205"/>
      <c r="CA200" s="205"/>
      <c r="CB200" s="205"/>
      <c r="CC200" s="205"/>
      <c r="CD200" s="205"/>
      <c r="CE200" s="205"/>
      <c r="CF200" s="205"/>
      <c r="CG200" s="205"/>
    </row>
    <row r="201" spans="1:85" ht="15">
      <c r="A201" s="122">
        <v>31009</v>
      </c>
      <c r="B201" s="122" t="s">
        <v>859</v>
      </c>
      <c r="C201" s="122" t="s">
        <v>860</v>
      </c>
      <c r="D201" s="122" t="s">
        <v>861</v>
      </c>
      <c r="E201" s="122" t="s">
        <v>1108</v>
      </c>
      <c r="F201" s="122" t="s">
        <v>1410</v>
      </c>
      <c r="G201" s="163" t="s">
        <v>1411</v>
      </c>
      <c r="H201" s="122">
        <v>14</v>
      </c>
      <c r="I201" s="122" t="s">
        <v>291</v>
      </c>
      <c r="J201" s="118">
        <v>17</v>
      </c>
      <c r="K201" s="118">
        <v>94.96</v>
      </c>
      <c r="L201" s="118">
        <v>0.31</v>
      </c>
      <c r="M201" s="118">
        <v>0.23</v>
      </c>
      <c r="N201" s="118">
        <v>3.14</v>
      </c>
      <c r="O201" s="118">
        <v>0.8</v>
      </c>
      <c r="P201" s="118">
        <v>0.11</v>
      </c>
      <c r="Q201" s="118">
        <v>0.08</v>
      </c>
      <c r="R201" s="118">
        <v>0.47</v>
      </c>
      <c r="S201" s="118"/>
      <c r="T201" s="118">
        <v>0.06</v>
      </c>
      <c r="U201" s="118">
        <v>21.33</v>
      </c>
      <c r="V201" s="118">
        <v>0</v>
      </c>
      <c r="W201" s="118">
        <v>33.93</v>
      </c>
      <c r="X201" s="118">
        <v>0</v>
      </c>
      <c r="Y201" s="118">
        <v>7.0000000000000007E-2</v>
      </c>
      <c r="Z201" s="118">
        <v>5.7</v>
      </c>
      <c r="AA201" s="118">
        <v>0</v>
      </c>
      <c r="AB201" s="118">
        <v>104.74</v>
      </c>
      <c r="AC201" s="118">
        <v>0</v>
      </c>
      <c r="AD201" s="118">
        <v>1260</v>
      </c>
      <c r="AE201" s="118"/>
      <c r="AF201" s="118"/>
      <c r="AG201" s="118"/>
      <c r="AH201" s="118"/>
      <c r="AI201" s="118">
        <v>17.23</v>
      </c>
      <c r="AJ201" s="118">
        <v>0.06</v>
      </c>
      <c r="AK201" s="118">
        <v>0.25</v>
      </c>
      <c r="AL201" s="118">
        <v>21</v>
      </c>
      <c r="AM201" s="118">
        <v>0.04</v>
      </c>
      <c r="AN201" s="118">
        <v>14</v>
      </c>
      <c r="AO201" s="118">
        <v>211</v>
      </c>
      <c r="AP201" s="118">
        <v>0.88</v>
      </c>
      <c r="AQ201" s="118">
        <v>0.06</v>
      </c>
      <c r="AR201" s="118"/>
      <c r="AS201" s="118"/>
      <c r="AT201" s="118"/>
      <c r="AU201" s="118"/>
      <c r="AV201" s="124"/>
      <c r="AW201" s="124"/>
      <c r="AX201" s="124"/>
      <c r="AY201" s="124"/>
      <c r="AZ201" s="124"/>
      <c r="BA201" s="124"/>
      <c r="BB201" s="124"/>
      <c r="BC201" s="124"/>
      <c r="BD201" s="124"/>
      <c r="BE201" s="124"/>
      <c r="BF201" s="124"/>
      <c r="BG201" s="124"/>
      <c r="BH201" s="124"/>
      <c r="BI201" s="124"/>
      <c r="BJ201" s="124"/>
      <c r="BK201" s="124"/>
      <c r="BL201" s="124"/>
      <c r="BM201" s="124"/>
      <c r="BN201" s="118">
        <v>4.95</v>
      </c>
      <c r="BO201" s="118">
        <v>20</v>
      </c>
      <c r="BP201" s="118">
        <v>2</v>
      </c>
      <c r="BQ201" s="118"/>
      <c r="BR201" s="154" t="s">
        <v>85</v>
      </c>
      <c r="BS201" s="154" t="s">
        <v>85</v>
      </c>
      <c r="BT201" s="154" t="s">
        <v>85</v>
      </c>
      <c r="BU201" s="154">
        <v>76.84</v>
      </c>
      <c r="BV201" s="154" t="s">
        <v>85</v>
      </c>
      <c r="BW201" s="154">
        <v>17.86</v>
      </c>
      <c r="BX201" s="154" t="s">
        <v>85</v>
      </c>
      <c r="BY201" s="154" t="s">
        <v>85</v>
      </c>
      <c r="BZ201" s="154">
        <v>97.34</v>
      </c>
      <c r="CA201" s="154">
        <v>61.33</v>
      </c>
      <c r="CB201" s="154"/>
      <c r="CC201" s="154" t="s">
        <v>85</v>
      </c>
      <c r="CD201" s="154">
        <v>7.66</v>
      </c>
      <c r="CE201" s="154" t="s">
        <v>85</v>
      </c>
      <c r="CF201" s="154" t="s">
        <v>85</v>
      </c>
      <c r="CG201" s="205" t="s">
        <v>1165</v>
      </c>
    </row>
    <row r="202" spans="1:85">
      <c r="A202" s="122">
        <v>31010</v>
      </c>
      <c r="B202" s="122" t="s">
        <v>863</v>
      </c>
      <c r="C202" s="122" t="s">
        <v>864</v>
      </c>
      <c r="D202" s="122" t="s">
        <v>865</v>
      </c>
      <c r="E202" s="122" t="s">
        <v>103</v>
      </c>
      <c r="F202" s="121" t="s">
        <v>866</v>
      </c>
      <c r="G202" s="163" t="s">
        <v>867</v>
      </c>
      <c r="H202" s="122">
        <v>14</v>
      </c>
      <c r="I202" s="122" t="s">
        <v>291</v>
      </c>
      <c r="J202" s="118">
        <v>83</v>
      </c>
      <c r="K202" s="118">
        <v>78</v>
      </c>
      <c r="L202" s="118">
        <v>0.44</v>
      </c>
      <c r="M202" s="118">
        <v>1.1000000000000001</v>
      </c>
      <c r="N202" s="118">
        <v>20</v>
      </c>
      <c r="O202" s="118">
        <v>5.3</v>
      </c>
      <c r="P202" s="118">
        <v>0</v>
      </c>
      <c r="Q202" s="118">
        <v>0.02</v>
      </c>
      <c r="R202" s="118">
        <v>0.2</v>
      </c>
      <c r="S202" s="118">
        <v>0.252</v>
      </c>
      <c r="T202" s="118">
        <v>3.6999999999999998E-2</v>
      </c>
      <c r="U202" s="118">
        <v>14</v>
      </c>
      <c r="V202" s="118">
        <v>0</v>
      </c>
      <c r="W202" s="118">
        <v>14.7</v>
      </c>
      <c r="X202" s="118"/>
      <c r="Y202" s="118"/>
      <c r="Z202" s="118"/>
      <c r="AA202" s="118">
        <v>0</v>
      </c>
      <c r="AB202" s="118">
        <v>3</v>
      </c>
      <c r="AC202" s="118"/>
      <c r="AD202" s="118"/>
      <c r="AE202" s="118"/>
      <c r="AF202" s="118"/>
      <c r="AG202" s="118">
        <v>0</v>
      </c>
      <c r="AH202" s="118"/>
      <c r="AI202" s="118">
        <v>21</v>
      </c>
      <c r="AJ202" s="118">
        <v>8.5999999999999993E-2</v>
      </c>
      <c r="AK202" s="118">
        <v>0.8</v>
      </c>
      <c r="AL202" s="118">
        <v>12</v>
      </c>
      <c r="AM202" s="118"/>
      <c r="AN202" s="118">
        <v>12</v>
      </c>
      <c r="AO202" s="118">
        <v>193</v>
      </c>
      <c r="AP202" s="118">
        <v>0.6</v>
      </c>
      <c r="AQ202" s="118">
        <v>0.1</v>
      </c>
      <c r="AR202" s="118">
        <v>0.19400000000000001</v>
      </c>
      <c r="AS202" s="118">
        <v>0.52100000000000002</v>
      </c>
      <c r="AT202" s="118">
        <v>1.0999999999999999E-2</v>
      </c>
      <c r="AU202" s="118">
        <v>0</v>
      </c>
      <c r="AV202" s="118">
        <v>1.6E-2</v>
      </c>
      <c r="AW202" s="118">
        <v>1.4999999999999999E-2</v>
      </c>
      <c r="AX202" s="118">
        <v>2.4E-2</v>
      </c>
      <c r="AY202" s="118">
        <v>3.9E-2</v>
      </c>
      <c r="AZ202" s="118">
        <v>3.0000000000000001E-3</v>
      </c>
      <c r="BA202" s="118"/>
      <c r="BB202" s="118">
        <v>1.2999999999999999E-2</v>
      </c>
      <c r="BC202" s="118">
        <v>1.2E-2</v>
      </c>
      <c r="BD202" s="118">
        <v>5.0000000000000001E-3</v>
      </c>
      <c r="BE202" s="118">
        <v>1.6E-2</v>
      </c>
      <c r="BF202" s="118">
        <v>1.4E-2</v>
      </c>
      <c r="BG202" s="118">
        <v>1.7000000000000001E-2</v>
      </c>
      <c r="BH202" s="118">
        <v>3.2000000000000001E-2</v>
      </c>
      <c r="BI202" s="118">
        <v>3.7999999999999999E-2</v>
      </c>
      <c r="BJ202" s="118">
        <v>1.7000000000000001E-2</v>
      </c>
      <c r="BK202" s="118">
        <v>3.5999999999999997E-2</v>
      </c>
      <c r="BL202" s="118">
        <v>1.7999999999999999E-2</v>
      </c>
      <c r="BM202" s="118">
        <v>1.4E-2</v>
      </c>
      <c r="BN202" s="118"/>
      <c r="BO202" s="118"/>
      <c r="BP202" s="118"/>
      <c r="BQ202" s="118"/>
      <c r="BR202" s="205"/>
      <c r="BS202" s="205"/>
      <c r="BT202" s="205"/>
      <c r="BU202" s="205"/>
      <c r="BV202" s="205"/>
      <c r="BW202" s="205"/>
      <c r="BX202" s="205"/>
      <c r="BY202" s="205"/>
      <c r="BZ202" s="205"/>
      <c r="CA202" s="205"/>
      <c r="CB202" s="205"/>
      <c r="CC202" s="205"/>
      <c r="CD202" s="205"/>
      <c r="CE202" s="205"/>
      <c r="CF202" s="205"/>
      <c r="CG202" s="205" t="s">
        <v>1165</v>
      </c>
    </row>
    <row r="203" spans="1:85" ht="15">
      <c r="A203" s="122">
        <v>31011</v>
      </c>
      <c r="B203" s="122" t="s">
        <v>868</v>
      </c>
      <c r="C203" s="122" t="s">
        <v>869</v>
      </c>
      <c r="D203" s="122" t="s">
        <v>870</v>
      </c>
      <c r="E203" s="122" t="s">
        <v>1412</v>
      </c>
      <c r="F203" s="122" t="s">
        <v>1413</v>
      </c>
      <c r="G203" s="163" t="s">
        <v>1414</v>
      </c>
      <c r="H203" s="122">
        <v>14</v>
      </c>
      <c r="I203" s="122" t="s">
        <v>291</v>
      </c>
      <c r="J203" s="118">
        <v>53</v>
      </c>
      <c r="K203" s="118">
        <v>87.05</v>
      </c>
      <c r="L203" s="118">
        <v>1.6</v>
      </c>
      <c r="M203" s="118">
        <v>0.15</v>
      </c>
      <c r="N203" s="118">
        <v>10.55</v>
      </c>
      <c r="O203" s="118">
        <v>1.1000000000000001</v>
      </c>
      <c r="P203" s="118"/>
      <c r="Q203" s="118"/>
      <c r="R203" s="118"/>
      <c r="S203" s="118"/>
      <c r="T203" s="118"/>
      <c r="U203" s="118"/>
      <c r="V203" s="118"/>
      <c r="W203" s="118">
        <v>2.6</v>
      </c>
      <c r="X203" s="118"/>
      <c r="Y203" s="118"/>
      <c r="Z203" s="118"/>
      <c r="AA203" s="118"/>
      <c r="AB203" s="118"/>
      <c r="AC203" s="118"/>
      <c r="AD203" s="118"/>
      <c r="AE203" s="118"/>
      <c r="AF203" s="118"/>
      <c r="AG203" s="118"/>
      <c r="AH203" s="118"/>
      <c r="AI203" s="118">
        <v>8</v>
      </c>
      <c r="AJ203" s="118">
        <v>0</v>
      </c>
      <c r="AK203" s="118">
        <v>0.2</v>
      </c>
      <c r="AL203" s="118">
        <v>27</v>
      </c>
      <c r="AM203" s="118">
        <v>0</v>
      </c>
      <c r="AN203" s="118">
        <v>25</v>
      </c>
      <c r="AO203" s="118">
        <v>182</v>
      </c>
      <c r="AP203" s="118">
        <v>3</v>
      </c>
      <c r="AQ203" s="118">
        <v>0.45</v>
      </c>
      <c r="AR203" s="118">
        <v>0.05</v>
      </c>
      <c r="AS203" s="118">
        <v>0</v>
      </c>
      <c r="AT203" s="118">
        <v>0</v>
      </c>
      <c r="AU203" s="118">
        <v>0</v>
      </c>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v>6.8</v>
      </c>
      <c r="BR203" s="154">
        <v>0</v>
      </c>
      <c r="BS203" s="154">
        <v>1</v>
      </c>
      <c r="BT203" s="154">
        <v>1</v>
      </c>
      <c r="BU203" s="154">
        <v>45</v>
      </c>
      <c r="BV203" s="154">
        <v>4</v>
      </c>
      <c r="BW203" s="154">
        <v>16</v>
      </c>
      <c r="BX203" s="154">
        <v>0</v>
      </c>
      <c r="BY203" s="154">
        <v>0</v>
      </c>
      <c r="BZ203" s="154">
        <v>38</v>
      </c>
      <c r="CA203" s="154">
        <v>16</v>
      </c>
      <c r="CB203" s="154">
        <v>0</v>
      </c>
      <c r="CC203" s="154">
        <v>0</v>
      </c>
      <c r="CD203" s="154">
        <v>4</v>
      </c>
      <c r="CE203" s="154">
        <v>0</v>
      </c>
      <c r="CF203" s="154">
        <v>0</v>
      </c>
      <c r="CG203" s="205"/>
    </row>
    <row r="204" spans="1:85" ht="15">
      <c r="A204" s="122">
        <v>32028</v>
      </c>
      <c r="B204" s="122" t="s">
        <v>871</v>
      </c>
      <c r="C204" s="122" t="s">
        <v>872</v>
      </c>
      <c r="D204" s="122" t="s">
        <v>873</v>
      </c>
      <c r="E204" s="122" t="s">
        <v>1108</v>
      </c>
      <c r="F204" s="122" t="s">
        <v>1415</v>
      </c>
      <c r="G204" s="163" t="s">
        <v>1416</v>
      </c>
      <c r="H204" s="122">
        <v>14</v>
      </c>
      <c r="I204" s="122" t="s">
        <v>291</v>
      </c>
      <c r="J204" s="118">
        <v>24.62</v>
      </c>
      <c r="K204" s="118">
        <v>92.03</v>
      </c>
      <c r="L204" s="118">
        <v>0.97</v>
      </c>
      <c r="M204" s="118">
        <v>0.56000000000000005</v>
      </c>
      <c r="N204" s="118">
        <v>3.4</v>
      </c>
      <c r="O204" s="118">
        <v>2.5</v>
      </c>
      <c r="P204" s="118">
        <v>0.06</v>
      </c>
      <c r="Q204" s="118">
        <v>0.01</v>
      </c>
      <c r="R204" s="118">
        <v>0.48</v>
      </c>
      <c r="S204" s="118">
        <v>0.18</v>
      </c>
      <c r="T204" s="118">
        <v>0.09</v>
      </c>
      <c r="U204" s="118">
        <v>8.91</v>
      </c>
      <c r="V204" s="118"/>
      <c r="W204" s="118">
        <v>50.2</v>
      </c>
      <c r="X204" s="118">
        <v>3.95</v>
      </c>
      <c r="Y204" s="118">
        <v>0.26</v>
      </c>
      <c r="Z204" s="118">
        <v>19.809999999999999</v>
      </c>
      <c r="AA204" s="118">
        <v>0</v>
      </c>
      <c r="AB204" s="118">
        <v>2</v>
      </c>
      <c r="AC204" s="118"/>
      <c r="AD204" s="118">
        <v>2.19</v>
      </c>
      <c r="AE204" s="118">
        <v>19.3</v>
      </c>
      <c r="AF204" s="118"/>
      <c r="AG204" s="118"/>
      <c r="AH204" s="118">
        <v>1.45</v>
      </c>
      <c r="AI204" s="118">
        <v>15.28</v>
      </c>
      <c r="AJ204" s="118">
        <v>0.7</v>
      </c>
      <c r="AK204" s="118">
        <v>0.36</v>
      </c>
      <c r="AL204" s="118">
        <v>15.53</v>
      </c>
      <c r="AM204" s="118">
        <v>0.43</v>
      </c>
      <c r="AN204" s="118">
        <v>26.31</v>
      </c>
      <c r="AO204" s="118">
        <v>140</v>
      </c>
      <c r="AP204" s="118">
        <v>0.3</v>
      </c>
      <c r="AQ204" s="118">
        <v>0.14000000000000001</v>
      </c>
      <c r="AR204" s="118">
        <v>0.66</v>
      </c>
      <c r="AS204" s="118">
        <v>0.78</v>
      </c>
      <c r="AT204" s="118">
        <v>0.28999999999999998</v>
      </c>
      <c r="AU204" s="118"/>
      <c r="AV204" s="124">
        <v>2.4829999999999998E-2</v>
      </c>
      <c r="AW204" s="124">
        <v>3.5020000000000003E-2</v>
      </c>
      <c r="AX204" s="124">
        <v>5.4420000000000003E-2</v>
      </c>
      <c r="AY204" s="124">
        <v>3.0460000000000001E-2</v>
      </c>
      <c r="AZ204" s="124">
        <v>8.3400000000000002E-3</v>
      </c>
      <c r="BA204" s="124">
        <v>6.4999999999999997E-3</v>
      </c>
      <c r="BB204" s="124">
        <v>2.4250000000000001E-2</v>
      </c>
      <c r="BC204" s="124">
        <v>4.19E-2</v>
      </c>
      <c r="BD204" s="124">
        <v>9.0200000000000002E-3</v>
      </c>
      <c r="BE204" s="124">
        <v>4.3749999999999997E-2</v>
      </c>
      <c r="BF204" s="124">
        <v>4.8310000000000006E-2</v>
      </c>
      <c r="BG204" s="124">
        <v>4.3749999999999997E-2</v>
      </c>
      <c r="BH204" s="124">
        <v>0.19109000000000001</v>
      </c>
      <c r="BI204" s="124">
        <v>0.15403999999999998</v>
      </c>
      <c r="BJ204" s="124">
        <v>5.4609999999999999E-2</v>
      </c>
      <c r="BK204" s="124">
        <v>3.3079999999999998E-2</v>
      </c>
      <c r="BL204" s="124">
        <v>3.977E-2</v>
      </c>
      <c r="BM204" s="124">
        <v>2.794E-2</v>
      </c>
      <c r="BN204" s="118">
        <v>135</v>
      </c>
      <c r="BO204" s="118">
        <v>25.07</v>
      </c>
      <c r="BP204" s="118"/>
      <c r="BQ204" s="118"/>
      <c r="BR204" s="154" t="s">
        <v>85</v>
      </c>
      <c r="BS204" s="154" t="s">
        <v>85</v>
      </c>
      <c r="BT204" s="154" t="s">
        <v>85</v>
      </c>
      <c r="BU204" s="154">
        <v>50.68</v>
      </c>
      <c r="BV204" s="154" t="s">
        <v>85</v>
      </c>
      <c r="BW204" s="154">
        <v>77.87</v>
      </c>
      <c r="BX204" s="154" t="s">
        <v>85</v>
      </c>
      <c r="BY204" s="154" t="s">
        <v>85</v>
      </c>
      <c r="BZ204" s="154">
        <v>179</v>
      </c>
      <c r="CA204" s="154">
        <v>112</v>
      </c>
      <c r="CB204" s="154"/>
      <c r="CC204" s="154" t="s">
        <v>85</v>
      </c>
      <c r="CD204" s="154">
        <v>7.31</v>
      </c>
      <c r="CE204" s="154" t="s">
        <v>85</v>
      </c>
      <c r="CF204" s="154" t="s">
        <v>85</v>
      </c>
      <c r="CG204" s="205"/>
    </row>
    <row r="205" spans="1:85">
      <c r="A205" s="122">
        <v>31012</v>
      </c>
      <c r="B205" s="122" t="s">
        <v>874</v>
      </c>
      <c r="C205" s="122" t="s">
        <v>875</v>
      </c>
      <c r="D205" s="122" t="s">
        <v>876</v>
      </c>
      <c r="E205" s="122" t="s">
        <v>1417</v>
      </c>
      <c r="F205" s="122" t="s">
        <v>1418</v>
      </c>
      <c r="G205" s="163" t="s">
        <v>1419</v>
      </c>
      <c r="H205" s="122">
        <v>12</v>
      </c>
      <c r="I205" s="122" t="s">
        <v>713</v>
      </c>
      <c r="J205" s="118">
        <v>250</v>
      </c>
      <c r="K205" s="118"/>
      <c r="L205" s="118">
        <v>0</v>
      </c>
      <c r="M205" s="118">
        <v>0</v>
      </c>
      <c r="N205" s="118">
        <v>65</v>
      </c>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205"/>
      <c r="BS205" s="205"/>
      <c r="BT205" s="205"/>
      <c r="BU205" s="205"/>
      <c r="BV205" s="205"/>
      <c r="BW205" s="205"/>
      <c r="BX205" s="205"/>
      <c r="BY205" s="205"/>
      <c r="BZ205" s="205"/>
      <c r="CA205" s="205"/>
      <c r="CB205" s="205"/>
      <c r="CC205" s="205"/>
      <c r="CD205" s="205"/>
      <c r="CE205" s="205"/>
      <c r="CF205" s="205"/>
      <c r="CG205" s="205"/>
    </row>
    <row r="206" spans="1:85" ht="15">
      <c r="A206" s="122">
        <v>31013</v>
      </c>
      <c r="B206" s="122" t="s">
        <v>877</v>
      </c>
      <c r="C206" s="122" t="s">
        <v>878</v>
      </c>
      <c r="D206" s="122" t="s">
        <v>879</v>
      </c>
      <c r="E206" s="122" t="s">
        <v>82</v>
      </c>
      <c r="F206" s="122" t="s">
        <v>880</v>
      </c>
      <c r="G206" s="163" t="s">
        <v>881</v>
      </c>
      <c r="H206" s="122">
        <v>14</v>
      </c>
      <c r="I206" s="122" t="s">
        <v>291</v>
      </c>
      <c r="J206" s="118">
        <v>33.700000000000003</v>
      </c>
      <c r="K206" s="118">
        <v>86.04</v>
      </c>
      <c r="L206" s="118">
        <v>1.1499999999999999</v>
      </c>
      <c r="M206" s="118">
        <v>1.67</v>
      </c>
      <c r="N206" s="118">
        <v>2.87</v>
      </c>
      <c r="O206" s="118">
        <v>7.25</v>
      </c>
      <c r="P206" s="118">
        <v>0.01</v>
      </c>
      <c r="Q206" s="118">
        <v>0.02</v>
      </c>
      <c r="R206" s="118">
        <v>0.25</v>
      </c>
      <c r="S206" s="118">
        <v>0.67</v>
      </c>
      <c r="T206" s="118">
        <v>0.08</v>
      </c>
      <c r="U206" s="118">
        <v>8.7200000000000006</v>
      </c>
      <c r="V206" s="118"/>
      <c r="W206" s="118">
        <v>135</v>
      </c>
      <c r="X206" s="118">
        <v>1.43</v>
      </c>
      <c r="Y206" s="118">
        <v>0.04</v>
      </c>
      <c r="Z206" s="118">
        <v>2.5</v>
      </c>
      <c r="AA206" s="118"/>
      <c r="AB206" s="125">
        <f>AA206+1/12*(AD206)+1/24*(AC206)+1/24*(AG206)</f>
        <v>1.3033333333333332</v>
      </c>
      <c r="AC206" s="118"/>
      <c r="AD206" s="118">
        <v>15.64</v>
      </c>
      <c r="AE206" s="118">
        <v>6.12</v>
      </c>
      <c r="AF206" s="118"/>
      <c r="AG206" s="118"/>
      <c r="AH206" s="118">
        <v>1.1399999999999999</v>
      </c>
      <c r="AI206" s="118">
        <v>10.81</v>
      </c>
      <c r="AJ206" s="118">
        <v>0.71</v>
      </c>
      <c r="AK206" s="118">
        <v>0.87</v>
      </c>
      <c r="AL206" s="118">
        <v>24.45</v>
      </c>
      <c r="AM206" s="118">
        <v>0.24</v>
      </c>
      <c r="AN206" s="118">
        <v>32.619999999999997</v>
      </c>
      <c r="AO206" s="118">
        <v>351</v>
      </c>
      <c r="AP206" s="118">
        <v>1.57</v>
      </c>
      <c r="AQ206" s="118">
        <v>0.25</v>
      </c>
      <c r="AR206" s="118">
        <v>6.6799999999999998E-2</v>
      </c>
      <c r="AS206" s="118">
        <v>2.41E-2</v>
      </c>
      <c r="AT206" s="118">
        <v>5.2600000000000001E-2</v>
      </c>
      <c r="AU206" s="118"/>
      <c r="AV206" s="118">
        <v>3.08</v>
      </c>
      <c r="AW206" s="118">
        <v>2.86</v>
      </c>
      <c r="AX206" s="118">
        <v>4.8499999999999996</v>
      </c>
      <c r="AY206" s="118">
        <v>1.98</v>
      </c>
      <c r="AZ206" s="118">
        <v>1.25</v>
      </c>
      <c r="BA206" s="118">
        <v>1.18</v>
      </c>
      <c r="BB206" s="118">
        <v>3.86</v>
      </c>
      <c r="BC206" s="118">
        <v>3.66</v>
      </c>
      <c r="BD206" s="118">
        <v>0.85</v>
      </c>
      <c r="BE206" s="118">
        <v>4.62</v>
      </c>
      <c r="BF206" s="118">
        <v>5.62</v>
      </c>
      <c r="BG206" s="118">
        <v>4.21</v>
      </c>
      <c r="BH206" s="118">
        <v>15.38</v>
      </c>
      <c r="BI206" s="118">
        <v>15.62</v>
      </c>
      <c r="BJ206" s="118">
        <v>3.85</v>
      </c>
      <c r="BK206" s="118">
        <v>3.82</v>
      </c>
      <c r="BL206" s="118">
        <v>4.8499999999999996</v>
      </c>
      <c r="BM206" s="118">
        <v>3.12</v>
      </c>
      <c r="BN206" s="118">
        <v>10.65</v>
      </c>
      <c r="BO206" s="118">
        <v>4.92</v>
      </c>
      <c r="BP206" s="118">
        <v>5.88</v>
      </c>
      <c r="BQ206" s="118"/>
      <c r="BR206" s="154" t="s">
        <v>85</v>
      </c>
      <c r="BS206" s="154" t="s">
        <v>85</v>
      </c>
      <c r="BT206" s="154" t="s">
        <v>85</v>
      </c>
      <c r="BU206" s="154">
        <v>42.89</v>
      </c>
      <c r="BV206" s="154" t="s">
        <v>85</v>
      </c>
      <c r="BW206" s="154">
        <v>20.48</v>
      </c>
      <c r="BX206" s="154" t="s">
        <v>85</v>
      </c>
      <c r="BY206" s="154" t="s">
        <v>85</v>
      </c>
      <c r="BZ206" s="154">
        <v>45.12</v>
      </c>
      <c r="CA206" s="154">
        <v>7.48</v>
      </c>
      <c r="CB206" s="154"/>
      <c r="CC206" s="154" t="s">
        <v>85</v>
      </c>
      <c r="CD206" s="154">
        <v>10.98</v>
      </c>
      <c r="CE206" s="154" t="s">
        <v>85</v>
      </c>
      <c r="CF206" s="154" t="s">
        <v>85</v>
      </c>
      <c r="CG206" s="205"/>
    </row>
    <row r="207" spans="1:85" ht="15">
      <c r="A207" s="122">
        <v>32029</v>
      </c>
      <c r="B207" s="122" t="s">
        <v>882</v>
      </c>
      <c r="C207" s="122" t="s">
        <v>883</v>
      </c>
      <c r="D207" s="127" t="s">
        <v>884</v>
      </c>
      <c r="E207" s="122" t="s">
        <v>76</v>
      </c>
      <c r="F207" s="122" t="s">
        <v>1420</v>
      </c>
      <c r="G207" s="163" t="s">
        <v>1421</v>
      </c>
      <c r="H207" s="122">
        <v>14</v>
      </c>
      <c r="I207" s="122" t="s">
        <v>291</v>
      </c>
      <c r="J207" s="118">
        <v>62</v>
      </c>
      <c r="K207" s="118">
        <v>83</v>
      </c>
      <c r="L207" s="118">
        <v>0.6</v>
      </c>
      <c r="M207" s="118">
        <v>0.3</v>
      </c>
      <c r="N207" s="118">
        <v>12.3</v>
      </c>
      <c r="O207" s="118">
        <v>3.6</v>
      </c>
      <c r="P207" s="118">
        <v>0.03</v>
      </c>
      <c r="Q207" s="118">
        <v>0.03</v>
      </c>
      <c r="R207" s="118">
        <v>0.22</v>
      </c>
      <c r="S207" s="118">
        <v>0.05</v>
      </c>
      <c r="T207" s="118">
        <v>0.02</v>
      </c>
      <c r="U207" s="118">
        <v>8</v>
      </c>
      <c r="V207" s="118"/>
      <c r="W207" s="118">
        <v>3.8</v>
      </c>
      <c r="X207" s="118">
        <v>0.22</v>
      </c>
      <c r="Y207" s="118">
        <v>0.12</v>
      </c>
      <c r="Z207" s="118">
        <v>12.57</v>
      </c>
      <c r="AA207" s="118">
        <v>0</v>
      </c>
      <c r="AB207" s="118">
        <v>0</v>
      </c>
      <c r="AC207" s="118">
        <v>0</v>
      </c>
      <c r="AD207" s="118">
        <v>13.16</v>
      </c>
      <c r="AE207" s="118">
        <v>14.7</v>
      </c>
      <c r="AF207" s="118"/>
      <c r="AG207" s="118">
        <v>1.44</v>
      </c>
      <c r="AH207" s="118">
        <v>2.77</v>
      </c>
      <c r="AI207" s="118">
        <v>6</v>
      </c>
      <c r="AJ207" s="118">
        <v>0.06</v>
      </c>
      <c r="AK207" s="118">
        <v>0.5</v>
      </c>
      <c r="AL207" s="118">
        <v>8</v>
      </c>
      <c r="AM207" s="118">
        <v>0.08</v>
      </c>
      <c r="AN207" s="118">
        <v>11</v>
      </c>
      <c r="AO207" s="118">
        <v>131.4</v>
      </c>
      <c r="AP207" s="118"/>
      <c r="AQ207" s="118">
        <v>0.08</v>
      </c>
      <c r="AR207" s="118">
        <v>0.08</v>
      </c>
      <c r="AS207" s="118">
        <v>0.02</v>
      </c>
      <c r="AT207" s="118">
        <v>0.1</v>
      </c>
      <c r="AU207" s="118"/>
      <c r="AV207" s="124">
        <v>5.0000000000000001E-3</v>
      </c>
      <c r="AW207" s="124">
        <v>1.3140000000000001E-2</v>
      </c>
      <c r="AX207" s="124">
        <v>1.7819999999999999E-2</v>
      </c>
      <c r="AY207" s="124">
        <v>8.1700000000000002E-3</v>
      </c>
      <c r="AZ207" s="124">
        <v>3.7799999999999999E-3</v>
      </c>
      <c r="BA207" s="124">
        <v>3.13E-3</v>
      </c>
      <c r="BB207" s="124">
        <v>1.094E-2</v>
      </c>
      <c r="BC207" s="124">
        <v>1.3099999999999999E-2</v>
      </c>
      <c r="BD207" s="124">
        <v>2.0899999999999998E-3</v>
      </c>
      <c r="BE207" s="124">
        <v>1.8359999999999998E-2</v>
      </c>
      <c r="BF207" s="124">
        <v>2.3579999999999997E-2</v>
      </c>
      <c r="BG207" s="124">
        <v>8.9300000000000004E-3</v>
      </c>
      <c r="BH207" s="124">
        <v>9.018000000000001E-2</v>
      </c>
      <c r="BI207" s="124">
        <v>4.2009999999999999E-2</v>
      </c>
      <c r="BJ207" s="124">
        <v>1.5519999999999999E-2</v>
      </c>
      <c r="BK207" s="124">
        <v>1.3099999999999999E-2</v>
      </c>
      <c r="BL207" s="124">
        <v>1.6059999999999998E-2</v>
      </c>
      <c r="BM207" s="124">
        <v>4.9000000000000007E-3</v>
      </c>
      <c r="BN207" s="118">
        <v>10.5</v>
      </c>
      <c r="BO207" s="118">
        <v>4.83</v>
      </c>
      <c r="BP207" s="118"/>
      <c r="BQ207" s="118">
        <v>5.0999999999999996</v>
      </c>
      <c r="BR207" s="154" t="s">
        <v>85</v>
      </c>
      <c r="BS207" s="154" t="s">
        <v>85</v>
      </c>
      <c r="BT207" s="154" t="s">
        <v>85</v>
      </c>
      <c r="BU207" s="154">
        <v>47.91</v>
      </c>
      <c r="BV207" s="154" t="s">
        <v>85</v>
      </c>
      <c r="BW207" s="154">
        <v>24.26</v>
      </c>
      <c r="BX207" s="154" t="s">
        <v>85</v>
      </c>
      <c r="BY207" s="154" t="s">
        <v>85</v>
      </c>
      <c r="BZ207" s="154">
        <v>84.54</v>
      </c>
      <c r="CA207" s="154">
        <v>16.579999999999998</v>
      </c>
      <c r="CB207" s="154"/>
      <c r="CC207" s="154" t="s">
        <v>85</v>
      </c>
      <c r="CD207" s="154">
        <v>8.52</v>
      </c>
      <c r="CE207" s="154" t="s">
        <v>85</v>
      </c>
      <c r="CF207" s="154" t="s">
        <v>85</v>
      </c>
      <c r="CG207" s="205">
        <v>1</v>
      </c>
    </row>
    <row r="208" spans="1:85" ht="15">
      <c r="A208" s="122">
        <v>86001</v>
      </c>
      <c r="B208" s="122" t="s">
        <v>886</v>
      </c>
      <c r="C208" s="122" t="s">
        <v>887</v>
      </c>
      <c r="D208" s="122"/>
      <c r="E208" s="122" t="s">
        <v>76</v>
      </c>
      <c r="F208" s="122" t="s">
        <v>1422</v>
      </c>
      <c r="G208" s="163" t="s">
        <v>1423</v>
      </c>
      <c r="H208" s="122">
        <v>19</v>
      </c>
      <c r="I208" s="122" t="s">
        <v>138</v>
      </c>
      <c r="J208" s="118">
        <v>398</v>
      </c>
      <c r="K208" s="118">
        <v>0.4</v>
      </c>
      <c r="L208" s="118">
        <v>0</v>
      </c>
      <c r="M208" s="118">
        <v>0</v>
      </c>
      <c r="N208" s="118">
        <v>99.5</v>
      </c>
      <c r="O208" s="118">
        <v>0</v>
      </c>
      <c r="P208" s="118">
        <v>0</v>
      </c>
      <c r="Q208" s="118">
        <v>0</v>
      </c>
      <c r="R208" s="118">
        <v>0</v>
      </c>
      <c r="S208" s="118"/>
      <c r="T208" s="118">
        <v>0</v>
      </c>
      <c r="U208" s="118">
        <v>0</v>
      </c>
      <c r="V208" s="118">
        <v>0</v>
      </c>
      <c r="W208" s="118">
        <v>0</v>
      </c>
      <c r="X208" s="118">
        <v>0</v>
      </c>
      <c r="Y208" s="118">
        <v>0</v>
      </c>
      <c r="Z208" s="118">
        <v>0</v>
      </c>
      <c r="AA208" s="118">
        <v>0</v>
      </c>
      <c r="AB208" s="118">
        <v>0</v>
      </c>
      <c r="AC208" s="118">
        <v>0</v>
      </c>
      <c r="AD208" s="118">
        <v>0</v>
      </c>
      <c r="AE208" s="118"/>
      <c r="AF208" s="118"/>
      <c r="AG208" s="118"/>
      <c r="AH208" s="118"/>
      <c r="AI208" s="118">
        <v>12</v>
      </c>
      <c r="AJ208" s="118">
        <v>0.12</v>
      </c>
      <c r="AK208" s="118">
        <v>0.16</v>
      </c>
      <c r="AL208" s="118">
        <v>2</v>
      </c>
      <c r="AM208" s="118">
        <v>4.0000000000000001E-3</v>
      </c>
      <c r="AN208" s="118">
        <v>1</v>
      </c>
      <c r="AO208" s="118">
        <v>5</v>
      </c>
      <c r="AP208" s="118">
        <v>0.6</v>
      </c>
      <c r="AQ208" s="118">
        <v>0.1</v>
      </c>
      <c r="AR208" s="118">
        <v>0.14000000000000001</v>
      </c>
      <c r="AS208" s="118"/>
      <c r="AT208" s="118"/>
      <c r="AU208" s="118"/>
      <c r="AV208" s="124"/>
      <c r="AW208" s="124"/>
      <c r="AX208" s="124"/>
      <c r="AY208" s="124"/>
      <c r="AZ208" s="124"/>
      <c r="BA208" s="124"/>
      <c r="BB208" s="124"/>
      <c r="BC208" s="124"/>
      <c r="BD208" s="124"/>
      <c r="BE208" s="124"/>
      <c r="BF208" s="124"/>
      <c r="BG208" s="124"/>
      <c r="BH208" s="124"/>
      <c r="BI208" s="124"/>
      <c r="BJ208" s="124"/>
      <c r="BK208" s="124"/>
      <c r="BL208" s="124"/>
      <c r="BM208" s="124"/>
      <c r="BN208" s="118"/>
      <c r="BO208" s="118"/>
      <c r="BP208" s="118"/>
      <c r="BQ208" s="118">
        <v>0</v>
      </c>
      <c r="BR208" s="154" t="s">
        <v>85</v>
      </c>
      <c r="BS208" s="154" t="s">
        <v>85</v>
      </c>
      <c r="BT208" s="154" t="s">
        <v>85</v>
      </c>
      <c r="BU208" s="154">
        <v>45</v>
      </c>
      <c r="BV208" s="154" t="s">
        <v>85</v>
      </c>
      <c r="BW208" s="154">
        <v>21.67</v>
      </c>
      <c r="BX208" s="154" t="s">
        <v>85</v>
      </c>
      <c r="BY208" s="154" t="s">
        <v>85</v>
      </c>
      <c r="BZ208" s="154">
        <v>33.1</v>
      </c>
      <c r="CA208" s="154" t="s">
        <v>85</v>
      </c>
      <c r="CB208" s="154"/>
      <c r="CC208" s="154" t="s">
        <v>85</v>
      </c>
      <c r="CD208" s="154">
        <v>18.440000000000001</v>
      </c>
      <c r="CE208" s="154" t="s">
        <v>85</v>
      </c>
      <c r="CF208" s="154" t="s">
        <v>85</v>
      </c>
      <c r="CG208" s="205" t="s">
        <v>1075</v>
      </c>
    </row>
    <row r="209" spans="1:85">
      <c r="A209" s="122">
        <v>13008</v>
      </c>
      <c r="B209" s="122" t="s">
        <v>889</v>
      </c>
      <c r="C209" s="122" t="s">
        <v>890</v>
      </c>
      <c r="D209" s="122" t="s">
        <v>70</v>
      </c>
      <c r="E209" s="122" t="s">
        <v>103</v>
      </c>
      <c r="F209" s="122">
        <v>16157</v>
      </c>
      <c r="G209" s="163" t="s">
        <v>891</v>
      </c>
      <c r="H209" s="122">
        <v>3</v>
      </c>
      <c r="I209" s="122" t="s">
        <v>72</v>
      </c>
      <c r="J209" s="118">
        <v>387</v>
      </c>
      <c r="K209" s="118">
        <v>10.3</v>
      </c>
      <c r="L209" s="118">
        <v>22.4</v>
      </c>
      <c r="M209" s="118">
        <v>6.69</v>
      </c>
      <c r="N209" s="118">
        <v>57.8</v>
      </c>
      <c r="O209" s="118">
        <v>10.8</v>
      </c>
      <c r="P209" s="118">
        <v>0.48599999999999999</v>
      </c>
      <c r="Q209" s="118">
        <v>0.106</v>
      </c>
      <c r="R209" s="118">
        <v>1.76</v>
      </c>
      <c r="S209" s="118">
        <v>0.60599999999999998</v>
      </c>
      <c r="T209" s="118">
        <v>0.49199999999999999</v>
      </c>
      <c r="U209" s="118">
        <v>437</v>
      </c>
      <c r="V209" s="118">
        <v>0</v>
      </c>
      <c r="W209" s="118">
        <v>0</v>
      </c>
      <c r="X209" s="118">
        <v>0</v>
      </c>
      <c r="Y209" s="118">
        <v>0.83</v>
      </c>
      <c r="Z209" s="118">
        <v>9.1</v>
      </c>
      <c r="AA209" s="118">
        <v>0</v>
      </c>
      <c r="AB209" s="118">
        <v>2</v>
      </c>
      <c r="AC209" s="118">
        <v>0</v>
      </c>
      <c r="AD209" s="118">
        <v>25</v>
      </c>
      <c r="AE209" s="118">
        <v>0</v>
      </c>
      <c r="AF209" s="118">
        <v>0</v>
      </c>
      <c r="AG209" s="118">
        <v>0</v>
      </c>
      <c r="AH209" s="118">
        <v>0</v>
      </c>
      <c r="AI209" s="118">
        <v>45</v>
      </c>
      <c r="AJ209" s="118">
        <v>0.91200000000000003</v>
      </c>
      <c r="AK209" s="118">
        <v>4.8600000000000003</v>
      </c>
      <c r="AL209" s="118">
        <v>166</v>
      </c>
      <c r="AM209" s="118">
        <v>1.6</v>
      </c>
      <c r="AN209" s="118">
        <v>318</v>
      </c>
      <c r="AO209" s="118">
        <v>846</v>
      </c>
      <c r="AP209" s="118">
        <v>8.3000000000000007</v>
      </c>
      <c r="AQ209" s="118">
        <v>2.81</v>
      </c>
      <c r="AR209" s="118">
        <v>0.69299999999999995</v>
      </c>
      <c r="AS209" s="118">
        <v>1.5</v>
      </c>
      <c r="AT209" s="118">
        <v>2.98</v>
      </c>
      <c r="AU209" s="118">
        <v>0</v>
      </c>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205"/>
      <c r="BS209" s="205"/>
      <c r="BT209" s="205"/>
      <c r="BU209" s="205"/>
      <c r="BV209" s="205"/>
      <c r="BW209" s="205"/>
      <c r="BX209" s="205"/>
      <c r="BY209" s="205"/>
      <c r="BZ209" s="205"/>
      <c r="CA209" s="205"/>
      <c r="CB209" s="205"/>
      <c r="CC209" s="205"/>
      <c r="CD209" s="205"/>
      <c r="CE209" s="205"/>
      <c r="CF209" s="205"/>
      <c r="CG209" s="205"/>
    </row>
    <row r="210" spans="1:85" ht="15">
      <c r="A210" s="122">
        <v>12013</v>
      </c>
      <c r="B210" s="122" t="s">
        <v>892</v>
      </c>
      <c r="C210" s="122" t="s">
        <v>893</v>
      </c>
      <c r="D210" s="122"/>
      <c r="E210" s="122" t="s">
        <v>1108</v>
      </c>
      <c r="F210" s="122" t="s">
        <v>1424</v>
      </c>
      <c r="G210" s="163" t="s">
        <v>1425</v>
      </c>
      <c r="H210" s="122">
        <v>1</v>
      </c>
      <c r="I210" s="122" t="s">
        <v>150</v>
      </c>
      <c r="J210" s="118">
        <v>347</v>
      </c>
      <c r="K210" s="118">
        <v>11.7</v>
      </c>
      <c r="L210" s="118">
        <v>8.91</v>
      </c>
      <c r="M210" s="118">
        <v>0.62</v>
      </c>
      <c r="N210" s="118">
        <v>74.87</v>
      </c>
      <c r="O210" s="118">
        <v>3.2</v>
      </c>
      <c r="P210" s="118">
        <v>0.19</v>
      </c>
      <c r="Q210" s="118">
        <v>0.05</v>
      </c>
      <c r="R210" s="118">
        <v>1.8</v>
      </c>
      <c r="S210" s="118">
        <v>0.52</v>
      </c>
      <c r="T210" s="118">
        <v>0.14000000000000001</v>
      </c>
      <c r="U210" s="118">
        <v>18</v>
      </c>
      <c r="V210" s="118">
        <v>0</v>
      </c>
      <c r="W210" s="118">
        <v>0</v>
      </c>
      <c r="X210" s="118">
        <v>4.05</v>
      </c>
      <c r="Y210" s="118">
        <v>0.11</v>
      </c>
      <c r="Z210" s="118">
        <v>1</v>
      </c>
      <c r="AA210" s="118">
        <v>0</v>
      </c>
      <c r="AB210" s="118">
        <v>0</v>
      </c>
      <c r="AC210" s="118">
        <v>0</v>
      </c>
      <c r="AD210" s="118">
        <v>1.68</v>
      </c>
      <c r="AE210" s="118"/>
      <c r="AF210" s="118"/>
      <c r="AG210" s="118"/>
      <c r="AH210" s="118"/>
      <c r="AI210" s="118">
        <v>22</v>
      </c>
      <c r="AJ210" s="118">
        <v>0.28999999999999998</v>
      </c>
      <c r="AK210" s="118">
        <v>2</v>
      </c>
      <c r="AL210" s="118">
        <v>42</v>
      </c>
      <c r="AM210" s="118">
        <v>0.67</v>
      </c>
      <c r="AN210" s="118">
        <v>92</v>
      </c>
      <c r="AO210" s="118">
        <v>140</v>
      </c>
      <c r="AP210" s="118">
        <v>15.33</v>
      </c>
      <c r="AQ210" s="118">
        <v>1.38</v>
      </c>
      <c r="AR210" s="118">
        <v>0.06</v>
      </c>
      <c r="AS210" s="118">
        <v>0.04</v>
      </c>
      <c r="AT210" s="118">
        <v>0.22</v>
      </c>
      <c r="AU210" s="118"/>
      <c r="AV210" s="124">
        <v>0.17072000000000001</v>
      </c>
      <c r="AW210" s="124">
        <v>0.15131999999999998</v>
      </c>
      <c r="AX210" s="124">
        <v>0.50731000000000004</v>
      </c>
      <c r="AY210" s="124">
        <v>0.17751</v>
      </c>
      <c r="AZ210" s="124">
        <v>0.11348999999999999</v>
      </c>
      <c r="BA210" s="124">
        <v>0.17751</v>
      </c>
      <c r="BB210" s="124">
        <v>0.4753</v>
      </c>
      <c r="BC210" s="124">
        <v>0.21922</v>
      </c>
      <c r="BD210" s="124">
        <v>0.10379000000000001</v>
      </c>
      <c r="BE210" s="124">
        <v>0.34338000000000002</v>
      </c>
      <c r="BF210" s="124">
        <v>0.34823000000000004</v>
      </c>
      <c r="BG210" s="124">
        <v>0.28905999999999998</v>
      </c>
      <c r="BH210" s="124">
        <v>0.52283000000000002</v>
      </c>
      <c r="BI210" s="124">
        <v>3.10012</v>
      </c>
      <c r="BJ210" s="124">
        <v>0.44037999999999999</v>
      </c>
      <c r="BK210" s="124">
        <v>0.95933000000000002</v>
      </c>
      <c r="BL210" s="124">
        <v>0.51700999999999997</v>
      </c>
      <c r="BM210" s="124">
        <v>0.21146000000000001</v>
      </c>
      <c r="BN210" s="118">
        <v>5.55</v>
      </c>
      <c r="BO210" s="118">
        <v>168</v>
      </c>
      <c r="BP210" s="118"/>
      <c r="BQ210" s="118">
        <v>64.2</v>
      </c>
      <c r="BR210" s="154" t="s">
        <v>85</v>
      </c>
      <c r="BS210" s="154" t="s">
        <v>85</v>
      </c>
      <c r="BT210" s="154" t="s">
        <v>85</v>
      </c>
      <c r="BU210" s="154">
        <v>59.43</v>
      </c>
      <c r="BV210" s="154" t="s">
        <v>85</v>
      </c>
      <c r="BW210" s="154">
        <v>36.06</v>
      </c>
      <c r="BX210" s="154" t="s">
        <v>85</v>
      </c>
      <c r="BY210" s="154" t="s">
        <v>85</v>
      </c>
      <c r="BZ210" s="154">
        <v>209</v>
      </c>
      <c r="CA210" s="154">
        <v>11.26</v>
      </c>
      <c r="CB210" s="154"/>
      <c r="CC210" s="154" t="s">
        <v>85</v>
      </c>
      <c r="CD210" s="154">
        <v>5.15</v>
      </c>
      <c r="CE210" s="154" t="s">
        <v>85</v>
      </c>
      <c r="CF210" s="154" t="s">
        <v>85</v>
      </c>
      <c r="CG210" s="205"/>
    </row>
    <row r="211" spans="1:85" ht="15">
      <c r="A211" s="122">
        <v>86002</v>
      </c>
      <c r="B211" s="122" t="s">
        <v>895</v>
      </c>
      <c r="C211" s="122" t="s">
        <v>896</v>
      </c>
      <c r="D211" s="122" t="s">
        <v>897</v>
      </c>
      <c r="E211" s="122" t="s">
        <v>76</v>
      </c>
      <c r="F211" s="122" t="s">
        <v>1426</v>
      </c>
      <c r="G211" s="163" t="s">
        <v>1427</v>
      </c>
      <c r="H211" s="122">
        <v>19</v>
      </c>
      <c r="I211" s="122" t="s">
        <v>138</v>
      </c>
      <c r="J211" s="118">
        <v>385</v>
      </c>
      <c r="K211" s="118">
        <v>3.4</v>
      </c>
      <c r="L211" s="118">
        <v>0.5</v>
      </c>
      <c r="M211" s="118">
        <v>0.1</v>
      </c>
      <c r="N211" s="118">
        <v>95.4</v>
      </c>
      <c r="O211" s="118">
        <v>0</v>
      </c>
      <c r="P211" s="118">
        <v>0.04</v>
      </c>
      <c r="Q211" s="118">
        <v>0.04</v>
      </c>
      <c r="R211" s="118">
        <v>0.02</v>
      </c>
      <c r="S211" s="118"/>
      <c r="T211" s="118">
        <v>0.71</v>
      </c>
      <c r="U211" s="118">
        <v>14.4</v>
      </c>
      <c r="V211" s="118"/>
      <c r="W211" s="118">
        <v>0</v>
      </c>
      <c r="X211" s="118">
        <v>0.47</v>
      </c>
      <c r="Y211" s="118">
        <v>0.04</v>
      </c>
      <c r="Z211" s="118"/>
      <c r="AA211" s="118">
        <v>0</v>
      </c>
      <c r="AB211" s="118">
        <v>0</v>
      </c>
      <c r="AC211" s="118"/>
      <c r="AD211" s="118"/>
      <c r="AE211" s="118"/>
      <c r="AF211" s="118"/>
      <c r="AG211" s="118"/>
      <c r="AH211" s="118"/>
      <c r="AI211" s="118">
        <v>92</v>
      </c>
      <c r="AJ211" s="118">
        <v>0.75</v>
      </c>
      <c r="AK211" s="118">
        <v>1.6</v>
      </c>
      <c r="AL211" s="118">
        <v>120</v>
      </c>
      <c r="AM211" s="118">
        <v>0.72</v>
      </c>
      <c r="AN211" s="118">
        <v>72</v>
      </c>
      <c r="AO211" s="118">
        <v>290</v>
      </c>
      <c r="AP211" s="118"/>
      <c r="AQ211" s="118">
        <v>0.1</v>
      </c>
      <c r="AR211" s="118">
        <v>7.0000000000000007E-2</v>
      </c>
      <c r="AS211" s="118">
        <v>0.02</v>
      </c>
      <c r="AT211" s="118">
        <v>0.03</v>
      </c>
      <c r="AU211" s="118"/>
      <c r="AV211" s="124">
        <v>3.0339999999999999E-2</v>
      </c>
      <c r="AW211" s="124">
        <v>4.2000000000000003E-2</v>
      </c>
      <c r="AX211" s="124">
        <v>5.4950000000000006E-2</v>
      </c>
      <c r="AY211" s="124">
        <v>5.0509999999999999E-2</v>
      </c>
      <c r="AZ211" s="124">
        <v>8.1400000000000014E-3</v>
      </c>
      <c r="BA211" s="124">
        <v>9.0699999999999999E-3</v>
      </c>
      <c r="BB211" s="124">
        <v>8.9169999999999999E-2</v>
      </c>
      <c r="BC211" s="124">
        <v>4.0329999999999998E-2</v>
      </c>
      <c r="BD211" s="124">
        <v>1.0919999999999999E-2</v>
      </c>
      <c r="BE211" s="124">
        <v>6.3829999999999998E-2</v>
      </c>
      <c r="BF211" s="124">
        <v>8.3809999999999996E-2</v>
      </c>
      <c r="BG211" s="124">
        <v>5.5689999999999996E-2</v>
      </c>
      <c r="BH211" s="124">
        <v>0.57794000000000001</v>
      </c>
      <c r="BI211" s="124">
        <v>0.23846999999999999</v>
      </c>
      <c r="BJ211" s="124">
        <v>5.0320000000000004E-2</v>
      </c>
      <c r="BK211" s="124">
        <v>3.1640000000000001E-2</v>
      </c>
      <c r="BL211" s="124">
        <v>6.1789999999999998E-2</v>
      </c>
      <c r="BM211" s="124">
        <v>1.8499999999999999E-2</v>
      </c>
      <c r="BN211" s="118">
        <v>127</v>
      </c>
      <c r="BO211" s="118"/>
      <c r="BP211" s="118"/>
      <c r="BQ211" s="118"/>
      <c r="BR211" s="154" t="s">
        <v>85</v>
      </c>
      <c r="BS211" s="154" t="s">
        <v>85</v>
      </c>
      <c r="BT211" s="154" t="s">
        <v>85</v>
      </c>
      <c r="BU211" s="154">
        <v>45</v>
      </c>
      <c r="BV211" s="154" t="s">
        <v>85</v>
      </c>
      <c r="BW211" s="154">
        <v>21.67</v>
      </c>
      <c r="BX211" s="154" t="s">
        <v>85</v>
      </c>
      <c r="BY211" s="154" t="s">
        <v>85</v>
      </c>
      <c r="BZ211" s="154">
        <v>33.1</v>
      </c>
      <c r="CA211" s="154" t="s">
        <v>85</v>
      </c>
      <c r="CB211" s="154"/>
      <c r="CC211" s="154" t="s">
        <v>85</v>
      </c>
      <c r="CD211" s="154">
        <v>18.440000000000001</v>
      </c>
      <c r="CE211" s="154" t="s">
        <v>85</v>
      </c>
      <c r="CF211" s="154" t="s">
        <v>85</v>
      </c>
      <c r="CG211" s="205"/>
    </row>
    <row r="212" spans="1:85" ht="15">
      <c r="A212" s="122">
        <v>12014</v>
      </c>
      <c r="B212" s="122" t="s">
        <v>899</v>
      </c>
      <c r="C212" s="122" t="s">
        <v>900</v>
      </c>
      <c r="D212" s="122" t="s">
        <v>901</v>
      </c>
      <c r="E212" s="122" t="s">
        <v>1108</v>
      </c>
      <c r="F212" s="122" t="s">
        <v>1428</v>
      </c>
      <c r="G212" s="163" t="s">
        <v>1429</v>
      </c>
      <c r="H212" s="122">
        <v>1</v>
      </c>
      <c r="I212" s="122" t="s">
        <v>150</v>
      </c>
      <c r="J212" s="118">
        <v>346</v>
      </c>
      <c r="K212" s="118">
        <v>12.76</v>
      </c>
      <c r="L212" s="118">
        <v>10.86</v>
      </c>
      <c r="M212" s="118">
        <v>1.35</v>
      </c>
      <c r="N212" s="118">
        <v>70.599999999999994</v>
      </c>
      <c r="O212" s="118">
        <v>3.9</v>
      </c>
      <c r="P212" s="118">
        <v>0.18</v>
      </c>
      <c r="Q212" s="118">
        <v>0.05</v>
      </c>
      <c r="R212" s="118">
        <v>2.16</v>
      </c>
      <c r="S212" s="118">
        <v>0.75</v>
      </c>
      <c r="T212" s="118">
        <v>0.09</v>
      </c>
      <c r="U212" s="118">
        <v>57</v>
      </c>
      <c r="V212" s="118"/>
      <c r="W212" s="118">
        <v>0</v>
      </c>
      <c r="X212" s="118">
        <v>8.14</v>
      </c>
      <c r="Y212" s="118">
        <v>0.1</v>
      </c>
      <c r="Z212" s="118">
        <v>1.2</v>
      </c>
      <c r="AA212" s="118">
        <v>0</v>
      </c>
      <c r="AB212" s="118">
        <v>0</v>
      </c>
      <c r="AC212" s="118"/>
      <c r="AD212" s="118">
        <v>1.6</v>
      </c>
      <c r="AE212" s="118">
        <v>29.94</v>
      </c>
      <c r="AF212" s="118"/>
      <c r="AG212" s="118"/>
      <c r="AH212" s="118">
        <v>1.3</v>
      </c>
      <c r="AI212" s="118">
        <v>16.93</v>
      </c>
      <c r="AJ212" s="118">
        <v>0.25</v>
      </c>
      <c r="AK212" s="118">
        <v>1.07</v>
      </c>
      <c r="AL212" s="118">
        <v>39.5</v>
      </c>
      <c r="AM212" s="118">
        <v>1.98</v>
      </c>
      <c r="AN212" s="118">
        <v>104.7</v>
      </c>
      <c r="AO212" s="118">
        <v>157.66999999999999</v>
      </c>
      <c r="AP212" s="118">
        <v>10.93</v>
      </c>
      <c r="AQ212" s="118">
        <v>2.1800000000000002</v>
      </c>
      <c r="AR212" s="118">
        <v>0.2</v>
      </c>
      <c r="AS212" s="118">
        <v>0.2</v>
      </c>
      <c r="AT212" s="118">
        <v>0.6</v>
      </c>
      <c r="AU212" s="118">
        <v>0</v>
      </c>
      <c r="AV212" s="124">
        <v>0.27083999999999997</v>
      </c>
      <c r="AW212" s="124">
        <v>0.39033000000000001</v>
      </c>
      <c r="AX212" s="124">
        <v>0.76360000000000006</v>
      </c>
      <c r="AY212" s="124">
        <v>0.28905000000000003</v>
      </c>
      <c r="AZ212" s="124">
        <v>0.17867</v>
      </c>
      <c r="BA212" s="124">
        <v>0.20369999999999999</v>
      </c>
      <c r="BB212" s="124">
        <v>0.54283000000000003</v>
      </c>
      <c r="BC212" s="124">
        <v>0.30839999999999995</v>
      </c>
      <c r="BD212" s="124">
        <v>0.11835</v>
      </c>
      <c r="BE212" s="124">
        <v>0.50868999999999998</v>
      </c>
      <c r="BF212" s="124">
        <v>0.39374999999999999</v>
      </c>
      <c r="BG212" s="124">
        <v>0.49389</v>
      </c>
      <c r="BH212" s="124">
        <v>0.56216999999999995</v>
      </c>
      <c r="BI212" s="124">
        <v>3.5334899999999996</v>
      </c>
      <c r="BJ212" s="124">
        <v>0.39829999999999999</v>
      </c>
      <c r="BK212" s="124">
        <v>1.07996</v>
      </c>
      <c r="BL212" s="124">
        <v>0.50527</v>
      </c>
      <c r="BM212" s="124">
        <v>0.34139999999999998</v>
      </c>
      <c r="BN212" s="118">
        <v>6.5</v>
      </c>
      <c r="BO212" s="118">
        <v>367</v>
      </c>
      <c r="BP212" s="118"/>
      <c r="BQ212" s="118"/>
      <c r="BR212" s="154" t="s">
        <v>85</v>
      </c>
      <c r="BS212" s="154" t="s">
        <v>85</v>
      </c>
      <c r="BT212" s="154" t="s">
        <v>85</v>
      </c>
      <c r="BU212" s="154">
        <v>81.63</v>
      </c>
      <c r="BV212" s="154" t="s">
        <v>85</v>
      </c>
      <c r="BW212" s="154">
        <v>67.34</v>
      </c>
      <c r="BX212" s="154" t="s">
        <v>85</v>
      </c>
      <c r="BY212" s="154" t="s">
        <v>85</v>
      </c>
      <c r="BZ212" s="154">
        <v>306</v>
      </c>
      <c r="CA212" s="154">
        <v>19.21</v>
      </c>
      <c r="CB212" s="154"/>
      <c r="CC212" s="154" t="s">
        <v>85</v>
      </c>
      <c r="CD212" s="154">
        <v>7.24</v>
      </c>
      <c r="CE212" s="154" t="s">
        <v>85</v>
      </c>
      <c r="CF212" s="154" t="s">
        <v>85</v>
      </c>
      <c r="CG212" s="205" t="s">
        <v>1075</v>
      </c>
    </row>
    <row r="213" spans="1:85">
      <c r="A213" s="122">
        <v>90001</v>
      </c>
      <c r="B213" s="122" t="s">
        <v>903</v>
      </c>
      <c r="C213" s="122"/>
      <c r="D213" s="122"/>
      <c r="E213" s="122" t="s">
        <v>1417</v>
      </c>
      <c r="F213" s="122">
        <v>604350</v>
      </c>
      <c r="G213" s="163" t="s">
        <v>1430</v>
      </c>
      <c r="H213" s="122">
        <v>21</v>
      </c>
      <c r="I213" s="122" t="s">
        <v>78</v>
      </c>
      <c r="J213" s="118">
        <v>0</v>
      </c>
      <c r="K213" s="118"/>
      <c r="L213" s="118">
        <v>0</v>
      </c>
      <c r="M213" s="118">
        <v>0</v>
      </c>
      <c r="N213" s="118">
        <v>0</v>
      </c>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205"/>
      <c r="BS213" s="205"/>
      <c r="BT213" s="205"/>
      <c r="BU213" s="205"/>
      <c r="BV213" s="205"/>
      <c r="BW213" s="205"/>
      <c r="BX213" s="205"/>
      <c r="BY213" s="205"/>
      <c r="BZ213" s="205"/>
      <c r="CA213" s="205"/>
      <c r="CB213" s="205"/>
      <c r="CC213" s="205"/>
      <c r="CD213" s="205"/>
      <c r="CE213" s="205"/>
      <c r="CF213" s="205"/>
      <c r="CG213" s="205">
        <v>44</v>
      </c>
    </row>
    <row r="214" spans="1:85">
      <c r="A214" s="122">
        <v>90011</v>
      </c>
      <c r="B214" s="122" t="s">
        <v>904</v>
      </c>
      <c r="C214" s="122" t="s">
        <v>905</v>
      </c>
      <c r="D214" s="122"/>
      <c r="E214" s="122" t="s">
        <v>122</v>
      </c>
      <c r="F214" s="122">
        <v>746775</v>
      </c>
      <c r="G214" s="163" t="s">
        <v>906</v>
      </c>
      <c r="H214" s="122">
        <v>21</v>
      </c>
      <c r="I214" s="122" t="s">
        <v>78</v>
      </c>
      <c r="J214" s="118"/>
      <c r="K214" s="118">
        <v>0.42</v>
      </c>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v>50</v>
      </c>
      <c r="AJ214" s="118">
        <v>0</v>
      </c>
      <c r="AK214" s="118">
        <v>0</v>
      </c>
      <c r="AL214" s="118">
        <v>0</v>
      </c>
      <c r="AM214" s="118">
        <v>3.2000000000000001E-2</v>
      </c>
      <c r="AN214" s="118">
        <v>0</v>
      </c>
      <c r="AO214" s="118">
        <v>2</v>
      </c>
      <c r="AP214" s="118"/>
      <c r="AQ214" s="118">
        <v>0</v>
      </c>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205"/>
      <c r="BS214" s="205"/>
      <c r="BT214" s="205"/>
      <c r="BU214" s="205"/>
      <c r="BV214" s="205"/>
      <c r="BW214" s="205"/>
      <c r="BX214" s="205"/>
      <c r="BY214" s="205"/>
      <c r="BZ214" s="205"/>
      <c r="CA214" s="205"/>
      <c r="CB214" s="205"/>
      <c r="CC214" s="205"/>
      <c r="CD214" s="205"/>
      <c r="CE214" s="205"/>
      <c r="CF214" s="205"/>
      <c r="CG214" s="205">
        <v>44</v>
      </c>
    </row>
    <row r="215" spans="1:85">
      <c r="A215" s="122">
        <v>14003</v>
      </c>
      <c r="B215" s="122" t="s">
        <v>913</v>
      </c>
      <c r="C215" s="122" t="s">
        <v>914</v>
      </c>
      <c r="D215" s="122" t="s">
        <v>915</v>
      </c>
      <c r="E215" s="122" t="s">
        <v>1152</v>
      </c>
      <c r="F215" s="122" t="s">
        <v>1431</v>
      </c>
      <c r="G215" s="163" t="s">
        <v>1432</v>
      </c>
      <c r="H215" s="122">
        <v>4</v>
      </c>
      <c r="I215" s="122" t="s">
        <v>202</v>
      </c>
      <c r="J215" s="118">
        <v>343</v>
      </c>
      <c r="K215" s="118">
        <v>14</v>
      </c>
      <c r="L215" s="118">
        <v>0.7</v>
      </c>
      <c r="M215" s="118">
        <v>0.2</v>
      </c>
      <c r="N215" s="118">
        <v>84.7</v>
      </c>
      <c r="O215" s="118"/>
      <c r="P215" s="118">
        <v>0.01</v>
      </c>
      <c r="Q215" s="118"/>
      <c r="R215" s="118"/>
      <c r="S215" s="118"/>
      <c r="T215" s="118"/>
      <c r="U215" s="118"/>
      <c r="V215" s="118"/>
      <c r="W215" s="118"/>
      <c r="X215" s="118"/>
      <c r="Y215" s="118"/>
      <c r="Z215" s="118"/>
      <c r="AA215" s="118"/>
      <c r="AB215" s="118"/>
      <c r="AC215" s="118"/>
      <c r="AD215" s="118"/>
      <c r="AE215" s="118"/>
      <c r="AF215" s="118"/>
      <c r="AG215" s="118"/>
      <c r="AH215" s="118"/>
      <c r="AI215" s="118">
        <v>11</v>
      </c>
      <c r="AJ215" s="118"/>
      <c r="AK215" s="118">
        <v>1.5</v>
      </c>
      <c r="AL215" s="118"/>
      <c r="AM215" s="118"/>
      <c r="AN215" s="118">
        <v>13</v>
      </c>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205"/>
      <c r="BS215" s="205"/>
      <c r="BT215" s="205"/>
      <c r="BU215" s="205"/>
      <c r="BV215" s="205"/>
      <c r="BW215" s="205"/>
      <c r="BX215" s="205"/>
      <c r="BY215" s="205"/>
      <c r="BZ215" s="205"/>
      <c r="CA215" s="205"/>
      <c r="CB215" s="205"/>
      <c r="CC215" s="205"/>
      <c r="CD215" s="205"/>
      <c r="CE215" s="205"/>
      <c r="CF215" s="205"/>
      <c r="CG215" s="205" t="s">
        <v>1165</v>
      </c>
    </row>
    <row r="216" spans="1:85" ht="15">
      <c r="A216" s="122">
        <v>64001</v>
      </c>
      <c r="B216" s="122" t="s">
        <v>919</v>
      </c>
      <c r="C216" s="122" t="s">
        <v>920</v>
      </c>
      <c r="D216" s="122" t="s">
        <v>921</v>
      </c>
      <c r="E216" s="122" t="s">
        <v>76</v>
      </c>
      <c r="F216" s="122" t="s">
        <v>1433</v>
      </c>
      <c r="G216" s="163" t="s">
        <v>1434</v>
      </c>
      <c r="H216" s="122">
        <v>2</v>
      </c>
      <c r="I216" s="122" t="s">
        <v>197</v>
      </c>
      <c r="J216" s="118">
        <v>97</v>
      </c>
      <c r="K216" s="118">
        <v>73.7</v>
      </c>
      <c r="L216" s="118">
        <v>0.9</v>
      </c>
      <c r="M216" s="118">
        <v>0.3</v>
      </c>
      <c r="N216" s="118">
        <v>21.11</v>
      </c>
      <c r="O216" s="118">
        <v>3</v>
      </c>
      <c r="P216" s="118">
        <v>0.08</v>
      </c>
      <c r="Q216" s="118">
        <v>0.06</v>
      </c>
      <c r="R216" s="118">
        <v>0.5</v>
      </c>
      <c r="S216" s="118">
        <v>0.73</v>
      </c>
      <c r="T216" s="118">
        <v>0.21</v>
      </c>
      <c r="U216" s="118">
        <v>11</v>
      </c>
      <c r="V216" s="118">
        <v>0</v>
      </c>
      <c r="W216" s="118">
        <v>23</v>
      </c>
      <c r="X216" s="118">
        <v>1.45</v>
      </c>
      <c r="Y216" s="118">
        <v>0.26</v>
      </c>
      <c r="Z216" s="118">
        <v>3</v>
      </c>
      <c r="AA216" s="118">
        <v>0</v>
      </c>
      <c r="AB216" s="118">
        <v>719.38</v>
      </c>
      <c r="AC216" s="118">
        <v>7</v>
      </c>
      <c r="AD216" s="118">
        <v>8630</v>
      </c>
      <c r="AE216" s="118"/>
      <c r="AF216" s="118"/>
      <c r="AG216" s="118"/>
      <c r="AH216" s="118"/>
      <c r="AI216" s="118">
        <v>30</v>
      </c>
      <c r="AJ216" s="118">
        <v>0.15</v>
      </c>
      <c r="AK216" s="118">
        <v>0.61</v>
      </c>
      <c r="AL216" s="118">
        <v>25</v>
      </c>
      <c r="AM216" s="118">
        <v>0.28000000000000003</v>
      </c>
      <c r="AN216" s="118">
        <v>38</v>
      </c>
      <c r="AO216" s="118">
        <v>214</v>
      </c>
      <c r="AP216" s="118"/>
      <c r="AQ216" s="118">
        <v>0.3</v>
      </c>
      <c r="AR216" s="118"/>
      <c r="AS216" s="118"/>
      <c r="AT216" s="118"/>
      <c r="AU216" s="118"/>
      <c r="AV216" s="124"/>
      <c r="AW216" s="124"/>
      <c r="AX216" s="124"/>
      <c r="AY216" s="124"/>
      <c r="AZ216" s="124"/>
      <c r="BA216" s="124"/>
      <c r="BB216" s="124"/>
      <c r="BC216" s="124"/>
      <c r="BD216" s="124"/>
      <c r="BE216" s="124"/>
      <c r="BF216" s="124"/>
      <c r="BG216" s="124"/>
      <c r="BH216" s="124"/>
      <c r="BI216" s="124"/>
      <c r="BJ216" s="124"/>
      <c r="BK216" s="124"/>
      <c r="BL216" s="124"/>
      <c r="BM216" s="124"/>
      <c r="BN216" s="118">
        <v>6.89</v>
      </c>
      <c r="BO216" s="118">
        <v>58.86</v>
      </c>
      <c r="BP216" s="118"/>
      <c r="BQ216" s="118">
        <v>12.5</v>
      </c>
      <c r="BR216" s="154" t="s">
        <v>85</v>
      </c>
      <c r="BS216" s="154">
        <v>7.39</v>
      </c>
      <c r="BT216" s="154" t="s">
        <v>85</v>
      </c>
      <c r="BU216" s="154">
        <v>48.29</v>
      </c>
      <c r="BV216" s="154" t="s">
        <v>85</v>
      </c>
      <c r="BW216" s="154">
        <v>4.0999999999999996</v>
      </c>
      <c r="BX216" s="154" t="s">
        <v>85</v>
      </c>
      <c r="BY216" s="154" t="s">
        <v>85</v>
      </c>
      <c r="BZ216" s="154">
        <v>96.29</v>
      </c>
      <c r="CA216" s="154">
        <v>19.52</v>
      </c>
      <c r="CB216" s="154"/>
      <c r="CC216" s="154" t="s">
        <v>85</v>
      </c>
      <c r="CD216" s="154">
        <v>4.72</v>
      </c>
      <c r="CE216" s="154" t="s">
        <v>85</v>
      </c>
      <c r="CF216" s="154" t="s">
        <v>85</v>
      </c>
      <c r="CG216" s="205">
        <v>2</v>
      </c>
    </row>
    <row r="217" spans="1:85" ht="15">
      <c r="A217" s="122">
        <v>86004</v>
      </c>
      <c r="B217" s="122" t="s">
        <v>935</v>
      </c>
      <c r="C217" s="122" t="s">
        <v>936</v>
      </c>
      <c r="D217" s="122"/>
      <c r="E217" s="122" t="s">
        <v>76</v>
      </c>
      <c r="F217" s="122" t="s">
        <v>1435</v>
      </c>
      <c r="G217" s="163" t="s">
        <v>935</v>
      </c>
      <c r="H217" s="122">
        <v>21</v>
      </c>
      <c r="I217" s="122" t="s">
        <v>78</v>
      </c>
      <c r="J217" s="118">
        <v>326</v>
      </c>
      <c r="K217" s="118">
        <v>18.149999999999999</v>
      </c>
      <c r="L217" s="118">
        <v>0.33</v>
      </c>
      <c r="M217" s="118">
        <v>0</v>
      </c>
      <c r="N217" s="118">
        <v>81.13</v>
      </c>
      <c r="O217" s="118">
        <v>0.2</v>
      </c>
      <c r="P217" s="118">
        <v>0</v>
      </c>
      <c r="Q217" s="118">
        <v>0.06</v>
      </c>
      <c r="R217" s="118">
        <v>0.14000000000000001</v>
      </c>
      <c r="S217" s="118"/>
      <c r="T217" s="118">
        <v>0.16</v>
      </c>
      <c r="U217" s="118">
        <v>1</v>
      </c>
      <c r="V217" s="118">
        <v>0</v>
      </c>
      <c r="W217" s="118">
        <v>1.4</v>
      </c>
      <c r="X217" s="118">
        <v>0</v>
      </c>
      <c r="Y217" s="118">
        <v>0</v>
      </c>
      <c r="Z217" s="118">
        <v>0</v>
      </c>
      <c r="AA217" s="118">
        <v>0</v>
      </c>
      <c r="AB217" s="118">
        <v>0</v>
      </c>
      <c r="AC217" s="118">
        <v>0</v>
      </c>
      <c r="AD217" s="118">
        <v>0</v>
      </c>
      <c r="AE217" s="118"/>
      <c r="AF217" s="118"/>
      <c r="AG217" s="118"/>
      <c r="AH217" s="118"/>
      <c r="AI217" s="118">
        <v>5.33</v>
      </c>
      <c r="AJ217" s="118">
        <v>0.04</v>
      </c>
      <c r="AK217" s="118">
        <v>0.53</v>
      </c>
      <c r="AL217" s="118">
        <v>2.2999999999999998</v>
      </c>
      <c r="AM217" s="118">
        <v>0.08</v>
      </c>
      <c r="AN217" s="118">
        <v>9.4</v>
      </c>
      <c r="AO217" s="118">
        <v>51.33</v>
      </c>
      <c r="AP217" s="118">
        <v>0.8</v>
      </c>
      <c r="AQ217" s="118">
        <v>0.49</v>
      </c>
      <c r="AR217" s="118"/>
      <c r="AS217" s="118"/>
      <c r="AT217" s="118"/>
      <c r="AU217" s="118"/>
      <c r="AV217" s="124"/>
      <c r="AW217" s="124"/>
      <c r="AX217" s="124"/>
      <c r="AY217" s="124"/>
      <c r="AZ217" s="124"/>
      <c r="BA217" s="124"/>
      <c r="BB217" s="124"/>
      <c r="BC217" s="124"/>
      <c r="BD217" s="124"/>
      <c r="BE217" s="124"/>
      <c r="BF217" s="124"/>
      <c r="BG217" s="124"/>
      <c r="BH217" s="124"/>
      <c r="BI217" s="124"/>
      <c r="BJ217" s="124"/>
      <c r="BK217" s="124"/>
      <c r="BL217" s="124"/>
      <c r="BM217" s="124"/>
      <c r="BN217" s="118"/>
      <c r="BO217" s="118"/>
      <c r="BP217" s="118"/>
      <c r="BQ217" s="118">
        <v>2.2000000000000002</v>
      </c>
      <c r="BR217" s="154">
        <v>0</v>
      </c>
      <c r="BS217" s="154">
        <v>0</v>
      </c>
      <c r="BT217" s="154">
        <v>0</v>
      </c>
      <c r="BU217" s="154">
        <v>0</v>
      </c>
      <c r="BV217" s="154">
        <v>0</v>
      </c>
      <c r="BW217" s="154">
        <v>0</v>
      </c>
      <c r="BX217" s="154">
        <v>0</v>
      </c>
      <c r="BY217" s="154">
        <v>0</v>
      </c>
      <c r="BZ217" s="154">
        <v>0</v>
      </c>
      <c r="CA217" s="154">
        <v>0</v>
      </c>
      <c r="CB217" s="154">
        <v>0</v>
      </c>
      <c r="CC217" s="154">
        <v>0</v>
      </c>
      <c r="CD217" s="154">
        <v>0</v>
      </c>
      <c r="CE217" s="154">
        <v>0</v>
      </c>
      <c r="CF217" s="154">
        <v>0</v>
      </c>
      <c r="CG217" s="205" t="s">
        <v>1075</v>
      </c>
    </row>
    <row r="218" spans="1:85" ht="15">
      <c r="A218" s="122">
        <v>15001</v>
      </c>
      <c r="B218" s="122" t="s">
        <v>937</v>
      </c>
      <c r="C218" s="122" t="s">
        <v>938</v>
      </c>
      <c r="D218" s="122" t="s">
        <v>170</v>
      </c>
      <c r="E218" s="122" t="s">
        <v>76</v>
      </c>
      <c r="F218" s="122" t="s">
        <v>1436</v>
      </c>
      <c r="G218" s="163" t="s">
        <v>1437</v>
      </c>
      <c r="H218" s="122">
        <v>1</v>
      </c>
      <c r="I218" s="122" t="s">
        <v>150</v>
      </c>
      <c r="J218" s="118">
        <v>344</v>
      </c>
      <c r="K218" s="118">
        <v>13.08</v>
      </c>
      <c r="L218" s="118">
        <v>9.94</v>
      </c>
      <c r="M218" s="118">
        <v>3.39</v>
      </c>
      <c r="N218" s="118">
        <v>64.69</v>
      </c>
      <c r="O218" s="118">
        <v>7.3</v>
      </c>
      <c r="P218" s="118">
        <v>0.39</v>
      </c>
      <c r="Q218" s="118">
        <v>0.11</v>
      </c>
      <c r="R218" s="118">
        <v>2</v>
      </c>
      <c r="S218" s="118">
        <v>0.34</v>
      </c>
      <c r="T218" s="118">
        <v>0.62</v>
      </c>
      <c r="U218" s="118">
        <v>20</v>
      </c>
      <c r="V218" s="118">
        <v>0</v>
      </c>
      <c r="W218" s="118">
        <v>0</v>
      </c>
      <c r="X218" s="118">
        <v>33.729999999999997</v>
      </c>
      <c r="Y218" s="118">
        <v>0.49</v>
      </c>
      <c r="Z218" s="118">
        <v>2.5</v>
      </c>
      <c r="AA218" s="118">
        <v>0</v>
      </c>
      <c r="AB218" s="118">
        <v>10.71</v>
      </c>
      <c r="AC218" s="118">
        <v>63</v>
      </c>
      <c r="AD218" s="118">
        <v>97</v>
      </c>
      <c r="AE218" s="118">
        <v>186</v>
      </c>
      <c r="AF218" s="118"/>
      <c r="AG218" s="118"/>
      <c r="AH218" s="118">
        <v>42.4</v>
      </c>
      <c r="AI218" s="118">
        <v>11.53</v>
      </c>
      <c r="AJ218" s="118">
        <v>0.43</v>
      </c>
      <c r="AK218" s="118">
        <v>2.86</v>
      </c>
      <c r="AL218" s="118">
        <v>142.79</v>
      </c>
      <c r="AM218" s="118">
        <v>0.71</v>
      </c>
      <c r="AN218" s="118">
        <v>329.08</v>
      </c>
      <c r="AO218" s="118">
        <v>248.4</v>
      </c>
      <c r="AP218" s="118">
        <v>8.69</v>
      </c>
      <c r="AQ218" s="118">
        <v>3.27</v>
      </c>
      <c r="AR218" s="118">
        <v>0.52</v>
      </c>
      <c r="AS218" s="118">
        <v>0.56000000000000005</v>
      </c>
      <c r="AT218" s="118">
        <v>1.54</v>
      </c>
      <c r="AU218" s="118">
        <v>0</v>
      </c>
      <c r="AV218" s="124">
        <v>0.30299999999999999</v>
      </c>
      <c r="AW218" s="124">
        <v>0.35599999999999998</v>
      </c>
      <c r="AX218" s="124">
        <v>1.2190000000000001</v>
      </c>
      <c r="AY218" s="124">
        <v>0.28000000000000003</v>
      </c>
      <c r="AZ218" s="124">
        <v>0.20799999999999999</v>
      </c>
      <c r="BA218" s="124">
        <v>0.17899999999999999</v>
      </c>
      <c r="BB218" s="124">
        <v>0.48899999999999999</v>
      </c>
      <c r="BC218" s="124">
        <v>0.373</v>
      </c>
      <c r="BD218" s="124">
        <v>7.0999999999999994E-2</v>
      </c>
      <c r="BE218" s="124">
        <v>0.503</v>
      </c>
      <c r="BF218" s="124">
        <v>0.745</v>
      </c>
      <c r="BG218" s="124">
        <v>0.496</v>
      </c>
      <c r="BH218" s="124">
        <v>0.69099999999999995</v>
      </c>
      <c r="BI218" s="124">
        <v>1.8660000000000001</v>
      </c>
      <c r="BJ218" s="124">
        <v>0.40699999999999997</v>
      </c>
      <c r="BK218" s="124">
        <v>0.86699999999999999</v>
      </c>
      <c r="BL218" s="124">
        <v>0.47199999999999998</v>
      </c>
      <c r="BM218" s="124">
        <v>0.40500000000000003</v>
      </c>
      <c r="BN218" s="118">
        <v>32.92</v>
      </c>
      <c r="BO218" s="118">
        <v>646</v>
      </c>
      <c r="BP218" s="118">
        <v>6</v>
      </c>
      <c r="BQ218" s="118"/>
      <c r="BR218" s="154" t="s">
        <v>85</v>
      </c>
      <c r="BS218" s="154" t="s">
        <v>85</v>
      </c>
      <c r="BT218" s="154" t="s">
        <v>85</v>
      </c>
      <c r="BU218" s="154">
        <v>363</v>
      </c>
      <c r="BV218" s="154" t="s">
        <v>85</v>
      </c>
      <c r="BW218" s="154">
        <v>700</v>
      </c>
      <c r="BX218" s="154">
        <v>6.62</v>
      </c>
      <c r="BY218" s="154" t="s">
        <v>85</v>
      </c>
      <c r="BZ218" s="154">
        <v>1565</v>
      </c>
      <c r="CA218" s="154">
        <v>40.76</v>
      </c>
      <c r="CB218" s="154"/>
      <c r="CC218" s="154" t="s">
        <v>85</v>
      </c>
      <c r="CD218" s="154">
        <v>42.45</v>
      </c>
      <c r="CE218" s="154" t="s">
        <v>85</v>
      </c>
      <c r="CF218" s="154" t="s">
        <v>85</v>
      </c>
      <c r="CG218" s="205"/>
    </row>
    <row r="219" spans="1:85" ht="15">
      <c r="A219" s="122">
        <v>21025</v>
      </c>
      <c r="B219" s="122" t="s">
        <v>942</v>
      </c>
      <c r="C219" s="122" t="s">
        <v>943</v>
      </c>
      <c r="D219" s="122" t="s">
        <v>944</v>
      </c>
      <c r="E219" s="122" t="s">
        <v>1152</v>
      </c>
      <c r="F219" s="122" t="s">
        <v>1438</v>
      </c>
      <c r="G219" s="163" t="s">
        <v>944</v>
      </c>
      <c r="H219" s="122">
        <v>10</v>
      </c>
      <c r="I219" s="122" t="s">
        <v>207</v>
      </c>
      <c r="J219" s="118">
        <v>71.02</v>
      </c>
      <c r="K219" s="118">
        <v>82.55</v>
      </c>
      <c r="L219" s="118">
        <v>2.57</v>
      </c>
      <c r="M219" s="118">
        <v>0.6</v>
      </c>
      <c r="N219" s="118">
        <v>9.6</v>
      </c>
      <c r="O219" s="118">
        <v>8.4700000000000006</v>
      </c>
      <c r="P219" s="118"/>
      <c r="Q219" s="118"/>
      <c r="R219" s="118"/>
      <c r="S219" s="118"/>
      <c r="T219" s="118"/>
      <c r="U219" s="118"/>
      <c r="V219" s="118"/>
      <c r="W219" s="118">
        <v>271.39999999999998</v>
      </c>
      <c r="X219" s="118"/>
      <c r="Y219" s="118"/>
      <c r="Z219" s="118"/>
      <c r="AA219" s="118"/>
      <c r="AB219" s="118"/>
      <c r="AC219" s="118"/>
      <c r="AD219" s="118"/>
      <c r="AE219" s="118"/>
      <c r="AF219" s="118"/>
      <c r="AG219" s="118"/>
      <c r="AH219" s="118"/>
      <c r="AI219" s="118">
        <v>200.4</v>
      </c>
      <c r="AJ219" s="118"/>
      <c r="AK219" s="118">
        <v>4.67</v>
      </c>
      <c r="AL219" s="118"/>
      <c r="AM219" s="118"/>
      <c r="AN219" s="118"/>
      <c r="AO219" s="118">
        <v>844.39</v>
      </c>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v>3.15</v>
      </c>
      <c r="BO219" s="118"/>
      <c r="BP219" s="118"/>
      <c r="BQ219" s="205"/>
      <c r="BR219" s="205"/>
      <c r="BS219" s="205"/>
      <c r="BT219" s="205"/>
      <c r="BU219" s="205"/>
      <c r="BV219" s="205"/>
      <c r="BW219" s="205"/>
      <c r="BX219" s="205"/>
      <c r="BY219" s="205"/>
      <c r="BZ219" s="205"/>
      <c r="CA219" s="205"/>
      <c r="CB219" s="205"/>
      <c r="CC219" s="205"/>
      <c r="CD219" s="205"/>
      <c r="CE219" s="205"/>
      <c r="CF219" s="205"/>
      <c r="CG219" s="205"/>
    </row>
    <row r="220" spans="1:85" ht="15">
      <c r="A220" s="122">
        <v>63002</v>
      </c>
      <c r="B220" s="122" t="s">
        <v>947</v>
      </c>
      <c r="C220" s="122" t="s">
        <v>948</v>
      </c>
      <c r="D220" s="122" t="s">
        <v>949</v>
      </c>
      <c r="E220" s="122" t="s">
        <v>76</v>
      </c>
      <c r="F220" s="122" t="s">
        <v>1439</v>
      </c>
      <c r="G220" s="163" t="s">
        <v>1440</v>
      </c>
      <c r="H220" s="122">
        <v>4</v>
      </c>
      <c r="I220" s="122" t="s">
        <v>202</v>
      </c>
      <c r="J220" s="118">
        <v>638.33000000000004</v>
      </c>
      <c r="K220" s="118">
        <v>4.37</v>
      </c>
      <c r="L220" s="118">
        <v>18.41</v>
      </c>
      <c r="M220" s="118">
        <v>58.49</v>
      </c>
      <c r="N220" s="118">
        <v>3.04</v>
      </c>
      <c r="O220" s="118">
        <v>13.06</v>
      </c>
      <c r="P220" s="118">
        <v>0.15</v>
      </c>
      <c r="Q220" s="118">
        <v>0.26</v>
      </c>
      <c r="R220" s="118">
        <v>3.71</v>
      </c>
      <c r="S220" s="118">
        <v>0.73</v>
      </c>
      <c r="T220" s="118">
        <v>0.09</v>
      </c>
      <c r="U220" s="118">
        <v>36.46</v>
      </c>
      <c r="V220" s="118">
        <v>0</v>
      </c>
      <c r="W220" s="118">
        <v>0.74</v>
      </c>
      <c r="X220" s="118">
        <v>1.61</v>
      </c>
      <c r="Y220" s="118">
        <v>25.86</v>
      </c>
      <c r="Z220" s="118">
        <v>8.4</v>
      </c>
      <c r="AA220" s="118"/>
      <c r="AB220" s="118"/>
      <c r="AC220" s="118"/>
      <c r="AD220" s="118"/>
      <c r="AE220" s="118">
        <v>5.03</v>
      </c>
      <c r="AF220" s="118"/>
      <c r="AG220" s="118"/>
      <c r="AH220" s="118">
        <v>1.79</v>
      </c>
      <c r="AI220" s="118">
        <v>228</v>
      </c>
      <c r="AJ220" s="118">
        <v>1.08</v>
      </c>
      <c r="AK220" s="118">
        <v>4.59</v>
      </c>
      <c r="AL220" s="118">
        <v>318</v>
      </c>
      <c r="AM220" s="118">
        <v>2.54</v>
      </c>
      <c r="AN220" s="118">
        <v>446</v>
      </c>
      <c r="AO220" s="118">
        <v>699</v>
      </c>
      <c r="AP220" s="118">
        <v>3.61</v>
      </c>
      <c r="AQ220" s="118">
        <v>3.5</v>
      </c>
      <c r="AR220" s="118">
        <v>4.3600000000000003</v>
      </c>
      <c r="AS220" s="118">
        <v>38.340000000000003</v>
      </c>
      <c r="AT220" s="118">
        <v>13.22</v>
      </c>
      <c r="AU220" s="118"/>
      <c r="AV220" s="124">
        <v>0.40870000000000001</v>
      </c>
      <c r="AW220" s="124">
        <v>0.43816000000000005</v>
      </c>
      <c r="AX220" s="124">
        <v>0.74008000000000007</v>
      </c>
      <c r="AY220" s="124">
        <v>0.41975000000000001</v>
      </c>
      <c r="AZ220" s="124">
        <v>0.22828000000000001</v>
      </c>
      <c r="BA220" s="124">
        <v>0.15464</v>
      </c>
      <c r="BB220" s="124">
        <v>1.0327999999999999</v>
      </c>
      <c r="BC220" s="124">
        <v>0.51915999999999995</v>
      </c>
      <c r="BD220" s="124">
        <v>0.16385</v>
      </c>
      <c r="BE220" s="124">
        <v>0.81925000000000003</v>
      </c>
      <c r="BF220" s="124">
        <v>0.77322000000000002</v>
      </c>
      <c r="BG220" s="124">
        <v>2.0269400000000002</v>
      </c>
      <c r="BH220" s="124">
        <v>2.1668600000000002</v>
      </c>
      <c r="BI220" s="124">
        <v>5.1511199999999997</v>
      </c>
      <c r="BJ220" s="124">
        <v>1.1119600000000001</v>
      </c>
      <c r="BK220" s="124">
        <v>0.74191999999999991</v>
      </c>
      <c r="BL220" s="124">
        <v>0.78610999999999998</v>
      </c>
      <c r="BM220" s="124">
        <v>0.62226000000000004</v>
      </c>
      <c r="BN220" s="118">
        <v>84.94</v>
      </c>
      <c r="BO220" s="118">
        <v>964</v>
      </c>
      <c r="BP220" s="118"/>
      <c r="BQ220" s="118">
        <v>52.1</v>
      </c>
      <c r="BR220" s="154" t="s">
        <v>85</v>
      </c>
      <c r="BS220" s="154" t="s">
        <v>85</v>
      </c>
      <c r="BT220" s="154">
        <v>30.36</v>
      </c>
      <c r="BU220" s="154">
        <v>3553</v>
      </c>
      <c r="BV220" s="154" t="s">
        <v>85</v>
      </c>
      <c r="BW220" s="154">
        <v>38012</v>
      </c>
      <c r="BX220" s="154">
        <v>43.69</v>
      </c>
      <c r="BY220" s="154" t="s">
        <v>85</v>
      </c>
      <c r="BZ220" s="154">
        <v>13183</v>
      </c>
      <c r="CA220" s="154">
        <v>32.04</v>
      </c>
      <c r="CB220" s="154"/>
      <c r="CC220" s="154" t="s">
        <v>85</v>
      </c>
      <c r="CD220" s="154">
        <v>3447</v>
      </c>
      <c r="CE220" s="154" t="s">
        <v>85</v>
      </c>
      <c r="CF220" s="154" t="s">
        <v>85</v>
      </c>
      <c r="CG220" s="205">
        <v>2</v>
      </c>
    </row>
    <row r="221" spans="1:85" ht="15">
      <c r="A221" s="122">
        <v>63003</v>
      </c>
      <c r="B221" s="122" t="s">
        <v>951</v>
      </c>
      <c r="C221" s="122" t="s">
        <v>952</v>
      </c>
      <c r="D221" s="122" t="s">
        <v>953</v>
      </c>
      <c r="E221" s="122" t="s">
        <v>76</v>
      </c>
      <c r="F221" s="122" t="s">
        <v>1441</v>
      </c>
      <c r="G221" s="163" t="s">
        <v>1442</v>
      </c>
      <c r="H221" s="122">
        <v>4</v>
      </c>
      <c r="I221" s="122" t="s">
        <v>202</v>
      </c>
      <c r="J221" s="118">
        <v>595</v>
      </c>
      <c r="K221" s="118">
        <v>5.9</v>
      </c>
      <c r="L221" s="118">
        <v>17.98</v>
      </c>
      <c r="M221" s="118">
        <v>46.9</v>
      </c>
      <c r="N221" s="118">
        <v>23.52</v>
      </c>
      <c r="O221" s="118">
        <v>3.3</v>
      </c>
      <c r="P221" s="118">
        <v>0.63</v>
      </c>
      <c r="Q221" s="118">
        <v>0.19</v>
      </c>
      <c r="R221" s="118">
        <v>1.2</v>
      </c>
      <c r="S221" s="118">
        <v>1.4</v>
      </c>
      <c r="T221" s="118">
        <v>0.42</v>
      </c>
      <c r="U221" s="118">
        <v>25</v>
      </c>
      <c r="V221" s="118">
        <v>0</v>
      </c>
      <c r="W221" s="118">
        <v>0</v>
      </c>
      <c r="X221" s="118">
        <v>3.85</v>
      </c>
      <c r="Y221" s="118">
        <v>0.85</v>
      </c>
      <c r="Z221" s="118">
        <v>1.83</v>
      </c>
      <c r="AA221" s="118">
        <v>0.24</v>
      </c>
      <c r="AB221" s="118">
        <v>0.74</v>
      </c>
      <c r="AC221" s="118">
        <v>0</v>
      </c>
      <c r="AD221" s="118">
        <v>6</v>
      </c>
      <c r="AE221" s="118">
        <v>5.87</v>
      </c>
      <c r="AF221" s="118"/>
      <c r="AG221" s="118"/>
      <c r="AH221" s="118">
        <v>3.21</v>
      </c>
      <c r="AI221" s="118">
        <v>50</v>
      </c>
      <c r="AJ221" s="118">
        <v>2.2000000000000002</v>
      </c>
      <c r="AK221" s="118">
        <v>5</v>
      </c>
      <c r="AL221" s="118">
        <v>292</v>
      </c>
      <c r="AM221" s="118">
        <v>1.78</v>
      </c>
      <c r="AN221" s="118">
        <v>593</v>
      </c>
      <c r="AO221" s="118">
        <v>660</v>
      </c>
      <c r="AP221" s="118">
        <v>13.08</v>
      </c>
      <c r="AQ221" s="118">
        <v>5.78</v>
      </c>
      <c r="AR221" s="118">
        <v>7.82</v>
      </c>
      <c r="AS221" s="118">
        <v>27.91</v>
      </c>
      <c r="AT221" s="118">
        <v>7.48</v>
      </c>
      <c r="AU221" s="118"/>
      <c r="AV221" s="124">
        <v>0.42631000000000002</v>
      </c>
      <c r="AW221" s="124">
        <v>0.72490999999999994</v>
      </c>
      <c r="AX221" s="124">
        <v>1.31836</v>
      </c>
      <c r="AY221" s="124">
        <v>0.90144000000000002</v>
      </c>
      <c r="AZ221" s="124">
        <v>0.25916</v>
      </c>
      <c r="BA221" s="124">
        <v>0.24977000000000002</v>
      </c>
      <c r="BB221" s="124">
        <v>0.91459000000000001</v>
      </c>
      <c r="BC221" s="124">
        <v>0.58594000000000002</v>
      </c>
      <c r="BD221" s="124">
        <v>0.19719</v>
      </c>
      <c r="BE221" s="124">
        <v>0.60659000000000007</v>
      </c>
      <c r="BF221" s="124">
        <v>1.0047300000000001</v>
      </c>
      <c r="BG221" s="124">
        <v>1.8310499999999998</v>
      </c>
      <c r="BH221" s="124">
        <v>1.8498299999999999</v>
      </c>
      <c r="BI221" s="124">
        <v>4.27433</v>
      </c>
      <c r="BJ221" s="124">
        <v>0.98594999999999999</v>
      </c>
      <c r="BK221" s="124">
        <v>0.74557000000000007</v>
      </c>
      <c r="BL221" s="124">
        <v>1.20004</v>
      </c>
      <c r="BM221" s="124">
        <v>0.52772000000000008</v>
      </c>
      <c r="BN221" s="118">
        <v>32.86</v>
      </c>
      <c r="BO221" s="118">
        <v>929</v>
      </c>
      <c r="BP221" s="118">
        <v>318</v>
      </c>
      <c r="BQ221" s="118">
        <v>61</v>
      </c>
      <c r="BR221" s="154" t="s">
        <v>85</v>
      </c>
      <c r="BS221" s="154" t="s">
        <v>85</v>
      </c>
      <c r="BT221" s="154" t="s">
        <v>85</v>
      </c>
      <c r="BU221" s="154">
        <v>4033</v>
      </c>
      <c r="BV221" s="154" t="s">
        <v>85</v>
      </c>
      <c r="BW221" s="154">
        <v>27678</v>
      </c>
      <c r="BX221" s="154">
        <v>66.58</v>
      </c>
      <c r="BY221" s="154" t="s">
        <v>85</v>
      </c>
      <c r="BZ221" s="154">
        <v>7427</v>
      </c>
      <c r="CA221" s="154">
        <v>55.04</v>
      </c>
      <c r="CB221" s="154"/>
      <c r="CC221" s="154" t="s">
        <v>85</v>
      </c>
      <c r="CD221" s="154">
        <v>2230</v>
      </c>
      <c r="CE221" s="154" t="s">
        <v>85</v>
      </c>
      <c r="CF221" s="154" t="s">
        <v>85</v>
      </c>
      <c r="CG221" s="205">
        <v>11</v>
      </c>
    </row>
    <row r="222" spans="1:85" ht="15">
      <c r="A222" s="122">
        <v>90817</v>
      </c>
      <c r="B222" s="122" t="s">
        <v>960</v>
      </c>
      <c r="C222" s="122" t="s">
        <v>961</v>
      </c>
      <c r="D222" s="122" t="s">
        <v>962</v>
      </c>
      <c r="E222" s="122" t="s">
        <v>76</v>
      </c>
      <c r="F222" s="122" t="s">
        <v>1443</v>
      </c>
      <c r="G222" s="163" t="s">
        <v>1444</v>
      </c>
      <c r="H222" s="122">
        <v>21</v>
      </c>
      <c r="I222" s="122" t="s">
        <v>78</v>
      </c>
      <c r="J222" s="118">
        <v>267</v>
      </c>
      <c r="K222" s="118">
        <v>25.2</v>
      </c>
      <c r="L222" s="118">
        <v>5.2</v>
      </c>
      <c r="M222" s="118">
        <v>8.9</v>
      </c>
      <c r="N222" s="118">
        <v>27.37</v>
      </c>
      <c r="O222" s="118">
        <v>28.13</v>
      </c>
      <c r="P222" s="118">
        <v>0.08</v>
      </c>
      <c r="Q222" s="118">
        <v>0.13</v>
      </c>
      <c r="R222" s="118">
        <v>1.29</v>
      </c>
      <c r="S222" s="118">
        <v>0.36</v>
      </c>
      <c r="T222" s="118">
        <v>0.32</v>
      </c>
      <c r="U222" s="118">
        <v>20.75</v>
      </c>
      <c r="V222" s="118">
        <v>0</v>
      </c>
      <c r="W222" s="118">
        <v>0</v>
      </c>
      <c r="X222" s="118">
        <v>45.07</v>
      </c>
      <c r="Y222" s="118">
        <v>6.04</v>
      </c>
      <c r="Z222" s="118">
        <v>161</v>
      </c>
      <c r="AA222" s="118">
        <v>0</v>
      </c>
      <c r="AB222" s="118">
        <v>5.51</v>
      </c>
      <c r="AC222" s="118">
        <v>8.5500000000000007</v>
      </c>
      <c r="AD222" s="118">
        <v>30.81</v>
      </c>
      <c r="AE222" s="118">
        <v>16.899999999999999</v>
      </c>
      <c r="AF222" s="118"/>
      <c r="AG222" s="118"/>
      <c r="AH222" s="118">
        <v>1.55</v>
      </c>
      <c r="AI222" s="118">
        <v>740</v>
      </c>
      <c r="AJ222" s="118">
        <v>0.31</v>
      </c>
      <c r="AK222" s="118">
        <v>4.9000000000000004</v>
      </c>
      <c r="AL222" s="118">
        <v>214.95</v>
      </c>
      <c r="AM222" s="118">
        <v>61.86</v>
      </c>
      <c r="AN222" s="118">
        <v>86.31</v>
      </c>
      <c r="AO222" s="118">
        <v>846.51</v>
      </c>
      <c r="AP222" s="118">
        <v>7.75</v>
      </c>
      <c r="AQ222" s="118">
        <v>1.93</v>
      </c>
      <c r="AR222" s="118">
        <v>2.68</v>
      </c>
      <c r="AS222" s="118">
        <v>0.61</v>
      </c>
      <c r="AT222" s="118">
        <v>3.43</v>
      </c>
      <c r="AU222" s="118"/>
      <c r="AV222" s="124">
        <v>0.13361000000000001</v>
      </c>
      <c r="AW222" s="124">
        <v>0.12481999999999999</v>
      </c>
      <c r="AX222" s="124">
        <v>0.34105000000000002</v>
      </c>
      <c r="AY222" s="124">
        <v>0.38675999999999999</v>
      </c>
      <c r="AZ222" s="124">
        <v>7.3840000000000003E-2</v>
      </c>
      <c r="BA222" s="124">
        <v>4.7469999999999998E-2</v>
      </c>
      <c r="BB222" s="124">
        <v>0.24026</v>
      </c>
      <c r="BC222" s="124">
        <v>0.17521</v>
      </c>
      <c r="BD222" s="124">
        <v>5.2740000000000002E-2</v>
      </c>
      <c r="BE222" s="124">
        <v>0.25257000000000002</v>
      </c>
      <c r="BF222" s="124">
        <v>0.25257000000000002</v>
      </c>
      <c r="BG222" s="124">
        <v>0.37386999999999998</v>
      </c>
      <c r="BH222" s="124">
        <v>0.64519000000000004</v>
      </c>
      <c r="BI222" s="124">
        <v>1.0823399999999999</v>
      </c>
      <c r="BJ222" s="124">
        <v>0.26838999999999996</v>
      </c>
      <c r="BK222" s="124">
        <v>0.22853999999999999</v>
      </c>
      <c r="BL222" s="124">
        <v>0.31175000000000003</v>
      </c>
      <c r="BM222" s="124">
        <v>0.15059999999999998</v>
      </c>
      <c r="BN222" s="118">
        <v>2546</v>
      </c>
      <c r="BO222" s="118">
        <v>349</v>
      </c>
      <c r="BP222" s="118"/>
      <c r="BQ222" s="118"/>
      <c r="BR222" s="154" t="s">
        <v>85</v>
      </c>
      <c r="BS222" s="154" t="s">
        <v>85</v>
      </c>
      <c r="BT222" s="154" t="s">
        <v>85</v>
      </c>
      <c r="BU222" s="154">
        <v>2020</v>
      </c>
      <c r="BV222" s="154" t="s">
        <v>85</v>
      </c>
      <c r="BW222" s="154">
        <v>605</v>
      </c>
      <c r="BX222" s="154" t="s">
        <v>85</v>
      </c>
      <c r="BY222" s="154" t="s">
        <v>85</v>
      </c>
      <c r="BZ222" s="154">
        <v>2737</v>
      </c>
      <c r="CA222" s="154">
        <v>691</v>
      </c>
      <c r="CB222" s="154"/>
      <c r="CC222" s="154" t="s">
        <v>85</v>
      </c>
      <c r="CD222" s="154">
        <v>767</v>
      </c>
      <c r="CE222" s="154" t="s">
        <v>85</v>
      </c>
      <c r="CF222" s="154" t="s">
        <v>85</v>
      </c>
      <c r="CG222" s="205" t="s">
        <v>1165</v>
      </c>
    </row>
    <row r="223" spans="1:85" ht="15">
      <c r="A223" s="122">
        <v>90818</v>
      </c>
      <c r="B223" s="122" t="s">
        <v>964</v>
      </c>
      <c r="C223" s="122" t="s">
        <v>965</v>
      </c>
      <c r="D223" s="122" t="s">
        <v>966</v>
      </c>
      <c r="E223" s="122" t="s">
        <v>76</v>
      </c>
      <c r="F223" s="122" t="s">
        <v>1445</v>
      </c>
      <c r="G223" s="163" t="s">
        <v>1446</v>
      </c>
      <c r="H223" s="122">
        <v>21</v>
      </c>
      <c r="I223" s="122" t="s">
        <v>78</v>
      </c>
      <c r="J223" s="118">
        <v>302</v>
      </c>
      <c r="K223" s="118">
        <v>11.67</v>
      </c>
      <c r="L223" s="118">
        <v>11.84</v>
      </c>
      <c r="M223" s="118">
        <v>3.29</v>
      </c>
      <c r="N223" s="118">
        <v>43.51</v>
      </c>
      <c r="O223" s="118">
        <v>25.3</v>
      </c>
      <c r="P223" s="118">
        <v>0.11</v>
      </c>
      <c r="Q223" s="118">
        <v>0.2</v>
      </c>
      <c r="R223" s="118">
        <v>1.1299999999999999</v>
      </c>
      <c r="S223" s="118">
        <v>0.3</v>
      </c>
      <c r="T223" s="118">
        <v>0.34</v>
      </c>
      <c r="U223" s="118">
        <v>13.5</v>
      </c>
      <c r="V223" s="118">
        <v>0</v>
      </c>
      <c r="W223" s="118">
        <v>0</v>
      </c>
      <c r="X223" s="118">
        <v>25.54</v>
      </c>
      <c r="Y223" s="118">
        <v>0.72</v>
      </c>
      <c r="Z223" s="118">
        <v>171</v>
      </c>
      <c r="AA223" s="118">
        <v>0</v>
      </c>
      <c r="AB223" s="118">
        <v>27.38</v>
      </c>
      <c r="AC223" s="118">
        <v>12</v>
      </c>
      <c r="AD223" s="118">
        <v>310</v>
      </c>
      <c r="AE223" s="118">
        <v>650</v>
      </c>
      <c r="AF223" s="118"/>
      <c r="AG223" s="118">
        <v>165</v>
      </c>
      <c r="AH223" s="118">
        <v>158</v>
      </c>
      <c r="AI223" s="118">
        <v>442.5</v>
      </c>
      <c r="AJ223" s="118">
        <v>1.2</v>
      </c>
      <c r="AK223" s="118">
        <v>16.649999999999999</v>
      </c>
      <c r="AL223" s="118">
        <v>185</v>
      </c>
      <c r="AM223" s="118">
        <v>7.5</v>
      </c>
      <c r="AN223" s="118">
        <v>167</v>
      </c>
      <c r="AO223" s="118">
        <v>1280</v>
      </c>
      <c r="AP223" s="118">
        <v>12.13</v>
      </c>
      <c r="AQ223" s="118">
        <v>1.34</v>
      </c>
      <c r="AR223" s="118">
        <v>0.65</v>
      </c>
      <c r="AS223" s="118">
        <v>0.46</v>
      </c>
      <c r="AT223" s="118">
        <v>1.08</v>
      </c>
      <c r="AU223" s="118"/>
      <c r="AV223" s="124">
        <v>0.12953999999999999</v>
      </c>
      <c r="AW223" s="124">
        <v>0.38962000000000002</v>
      </c>
      <c r="AX223" s="124">
        <v>0.83489999999999998</v>
      </c>
      <c r="AY223" s="124">
        <v>0.22568000000000002</v>
      </c>
      <c r="AZ223" s="124">
        <v>6.0719999999999996E-2</v>
      </c>
      <c r="BA223" s="124">
        <v>0.12751000000000001</v>
      </c>
      <c r="BB223" s="124">
        <v>0.52117999999999998</v>
      </c>
      <c r="BC223" s="124">
        <v>0.26616000000000001</v>
      </c>
      <c r="BD223" s="124">
        <v>5.5659999999999994E-2</v>
      </c>
      <c r="BE223" s="124">
        <v>0.36634</v>
      </c>
      <c r="BF223" s="124">
        <v>0.55153999999999992</v>
      </c>
      <c r="BG223" s="124">
        <v>0.23377000000000001</v>
      </c>
      <c r="BH223" s="124">
        <v>1.22553</v>
      </c>
      <c r="BI223" s="124">
        <v>1.6151500000000001</v>
      </c>
      <c r="BJ223" s="124">
        <v>0.47766000000000003</v>
      </c>
      <c r="BK223" s="124">
        <v>0.66589999999999994</v>
      </c>
      <c r="BL223" s="124">
        <v>0.42099000000000003</v>
      </c>
      <c r="BM223" s="124">
        <v>0.45539999999999997</v>
      </c>
      <c r="BN223" s="118">
        <v>254</v>
      </c>
      <c r="BO223" s="118">
        <v>383</v>
      </c>
      <c r="BP223" s="118"/>
      <c r="BQ223" s="118"/>
      <c r="BR223" s="154" t="s">
        <v>85</v>
      </c>
      <c r="BS223" s="154" t="s">
        <v>85</v>
      </c>
      <c r="BT223" s="154" t="s">
        <v>85</v>
      </c>
      <c r="BU223" s="154">
        <v>548</v>
      </c>
      <c r="BV223" s="154" t="s">
        <v>85</v>
      </c>
      <c r="BW223" s="154">
        <v>463</v>
      </c>
      <c r="BX223" s="154" t="s">
        <v>85</v>
      </c>
      <c r="BY223" s="154" t="s">
        <v>85</v>
      </c>
      <c r="BZ223" s="154">
        <v>818</v>
      </c>
      <c r="CA223" s="154">
        <v>258</v>
      </c>
      <c r="CB223" s="154"/>
      <c r="CC223" s="154" t="s">
        <v>85</v>
      </c>
      <c r="CD223" s="154">
        <v>56.3</v>
      </c>
      <c r="CE223" s="154" t="s">
        <v>85</v>
      </c>
      <c r="CF223" s="154" t="s">
        <v>85</v>
      </c>
      <c r="CG223" s="205" t="s">
        <v>1165</v>
      </c>
    </row>
    <row r="224" spans="1:85" ht="15">
      <c r="A224" s="122">
        <v>76002</v>
      </c>
      <c r="B224" s="122" t="s">
        <v>968</v>
      </c>
      <c r="C224" s="122" t="s">
        <v>969</v>
      </c>
      <c r="D224" s="122" t="s">
        <v>750</v>
      </c>
      <c r="E224" s="122" t="s">
        <v>76</v>
      </c>
      <c r="F224" s="122" t="s">
        <v>1447</v>
      </c>
      <c r="G224" s="163" t="s">
        <v>1448</v>
      </c>
      <c r="H224" s="122">
        <v>22</v>
      </c>
      <c r="I224" s="122" t="s">
        <v>971</v>
      </c>
      <c r="J224" s="118">
        <v>20</v>
      </c>
      <c r="K224" s="118">
        <v>94.52</v>
      </c>
      <c r="L224" s="118">
        <v>0.56000000000000005</v>
      </c>
      <c r="M224" s="118">
        <v>0.28000000000000003</v>
      </c>
      <c r="N224" s="118">
        <v>3.19</v>
      </c>
      <c r="O224" s="118">
        <v>1.1000000000000001</v>
      </c>
      <c r="P224" s="118">
        <v>0.06</v>
      </c>
      <c r="Q224" s="118">
        <v>0.03</v>
      </c>
      <c r="R224" s="118">
        <v>0.09</v>
      </c>
      <c r="S224" s="118">
        <v>0.26</v>
      </c>
      <c r="T224" s="118">
        <v>0.03</v>
      </c>
      <c r="U224" s="118">
        <v>3</v>
      </c>
      <c r="V224" s="118">
        <v>0</v>
      </c>
      <c r="W224" s="118">
        <v>3.29</v>
      </c>
      <c r="X224" s="118">
        <v>0</v>
      </c>
      <c r="Y224" s="118">
        <v>0.45</v>
      </c>
      <c r="Z224" s="118">
        <v>2.69</v>
      </c>
      <c r="AA224" s="118">
        <v>0</v>
      </c>
      <c r="AB224" s="118">
        <v>0</v>
      </c>
      <c r="AC224" s="118">
        <v>0</v>
      </c>
      <c r="AD224" s="118">
        <v>0</v>
      </c>
      <c r="AE224" s="118">
        <v>4.53</v>
      </c>
      <c r="AF224" s="118"/>
      <c r="AG224" s="118"/>
      <c r="AH224" s="118"/>
      <c r="AI224" s="118">
        <v>20.2</v>
      </c>
      <c r="AJ224" s="118">
        <v>0.04</v>
      </c>
      <c r="AK224" s="118">
        <v>0.17</v>
      </c>
      <c r="AL224" s="118">
        <v>24.5</v>
      </c>
      <c r="AM224" s="118">
        <v>0.48</v>
      </c>
      <c r="AN224" s="118">
        <v>17.670000000000002</v>
      </c>
      <c r="AO224" s="118">
        <v>260</v>
      </c>
      <c r="AP224" s="118"/>
      <c r="AQ224" s="118">
        <v>0.1</v>
      </c>
      <c r="AR224" s="118">
        <v>0.09</v>
      </c>
      <c r="AS224" s="118">
        <v>0.02</v>
      </c>
      <c r="AT224" s="118">
        <v>0</v>
      </c>
      <c r="AU224" s="118"/>
      <c r="AV224" s="124">
        <v>4.5500000000000002E-3</v>
      </c>
      <c r="AW224" s="124">
        <v>4.1099999999999999E-3</v>
      </c>
      <c r="AX224" s="124">
        <v>6.11E-3</v>
      </c>
      <c r="AY224" s="124">
        <v>9.980000000000001E-3</v>
      </c>
      <c r="AZ224" s="124">
        <v>1.5300000000000001E-3</v>
      </c>
      <c r="BA224" s="124">
        <v>2.5699999999999998E-3</v>
      </c>
      <c r="BB224" s="124">
        <v>5.0699999999999999E-3</v>
      </c>
      <c r="BC224" s="124">
        <v>6.9900000000000006E-3</v>
      </c>
      <c r="BD224" s="124">
        <v>2.0299999999999997E-3</v>
      </c>
      <c r="BE224" s="124">
        <v>7.8499999999999993E-3</v>
      </c>
      <c r="BF224" s="124">
        <v>5.2729999999999999E-2</v>
      </c>
      <c r="BG224" s="124">
        <v>1.3339999999999999E-2</v>
      </c>
      <c r="BH224" s="124">
        <v>2.811E-2</v>
      </c>
      <c r="BI224" s="124">
        <v>8.0629999999999993E-2</v>
      </c>
      <c r="BJ224" s="124">
        <v>5.1200000000000004E-3</v>
      </c>
      <c r="BK224" s="124">
        <v>1.1050000000000001E-2</v>
      </c>
      <c r="BL224" s="124">
        <v>1.3130000000000001E-2</v>
      </c>
      <c r="BM224" s="124">
        <v>4.0800000000000003E-3</v>
      </c>
      <c r="BN224" s="118">
        <v>19.760000000000002</v>
      </c>
      <c r="BO224" s="118"/>
      <c r="BP224" s="118">
        <v>318</v>
      </c>
      <c r="BQ224" s="118">
        <v>0</v>
      </c>
      <c r="BR224" s="154" t="s">
        <v>85</v>
      </c>
      <c r="BS224" s="154">
        <v>47.14</v>
      </c>
      <c r="BT224" s="154">
        <v>24.62</v>
      </c>
      <c r="BU224" s="154">
        <v>16.18</v>
      </c>
      <c r="BV224" s="154" t="s">
        <v>85</v>
      </c>
      <c r="BW224" s="154">
        <v>10.78</v>
      </c>
      <c r="BX224" s="154" t="s">
        <v>85</v>
      </c>
      <c r="BY224" s="154" t="s">
        <v>85</v>
      </c>
      <c r="BZ224" s="154">
        <v>3.73</v>
      </c>
      <c r="CA224" s="154" t="s">
        <v>85</v>
      </c>
      <c r="CB224" s="154"/>
      <c r="CC224" s="154" t="s">
        <v>85</v>
      </c>
      <c r="CD224" s="154">
        <v>3099</v>
      </c>
      <c r="CE224" s="154" t="s">
        <v>85</v>
      </c>
      <c r="CF224" s="154" t="s">
        <v>85</v>
      </c>
      <c r="CG224" s="205"/>
    </row>
    <row r="225" spans="1:85">
      <c r="A225" s="122">
        <v>73001</v>
      </c>
      <c r="B225" s="122" t="s">
        <v>972</v>
      </c>
      <c r="C225" s="122" t="s">
        <v>973</v>
      </c>
      <c r="D225" s="122"/>
      <c r="E225" s="122" t="s">
        <v>1417</v>
      </c>
      <c r="F225" s="122" t="s">
        <v>1449</v>
      </c>
      <c r="G225" s="163" t="s">
        <v>1450</v>
      </c>
      <c r="H225" s="122">
        <v>14</v>
      </c>
      <c r="I225" s="122" t="s">
        <v>291</v>
      </c>
      <c r="J225" s="118">
        <v>46</v>
      </c>
      <c r="K225" s="118"/>
      <c r="L225" s="118">
        <v>0</v>
      </c>
      <c r="M225" s="118">
        <v>0</v>
      </c>
      <c r="N225" s="118">
        <v>11.7</v>
      </c>
      <c r="O225" s="118"/>
      <c r="P225" s="118"/>
      <c r="Q225" s="118"/>
      <c r="R225" s="118"/>
      <c r="S225" s="118"/>
      <c r="T225" s="118"/>
      <c r="U225" s="118"/>
      <c r="V225" s="118"/>
      <c r="W225" s="118">
        <v>37.5</v>
      </c>
      <c r="X225" s="118"/>
      <c r="Y225" s="118"/>
      <c r="Z225" s="118"/>
      <c r="AA225" s="118"/>
      <c r="AB225" s="118"/>
      <c r="AC225" s="118"/>
      <c r="AD225" s="118"/>
      <c r="AE225" s="118"/>
      <c r="AF225" s="118"/>
      <c r="AG225" s="118"/>
      <c r="AH225" s="118"/>
      <c r="AI225" s="118"/>
      <c r="AJ225" s="118"/>
      <c r="AK225" s="118"/>
      <c r="AL225" s="118"/>
      <c r="AM225" s="118"/>
      <c r="AN225" s="118"/>
      <c r="AO225" s="118">
        <v>112</v>
      </c>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205"/>
      <c r="BS225" s="205"/>
      <c r="BT225" s="205"/>
      <c r="BU225" s="205"/>
      <c r="BV225" s="205"/>
      <c r="BW225" s="205"/>
      <c r="BX225" s="205"/>
      <c r="BY225" s="205"/>
      <c r="BZ225" s="205"/>
      <c r="CA225" s="205"/>
      <c r="CB225" s="205"/>
      <c r="CC225" s="205"/>
      <c r="CD225" s="205"/>
      <c r="CE225" s="205"/>
      <c r="CF225" s="205"/>
      <c r="CG225" s="205"/>
    </row>
    <row r="226" spans="1:85" ht="15">
      <c r="A226" s="122">
        <v>73003</v>
      </c>
      <c r="B226" s="122" t="s">
        <v>974</v>
      </c>
      <c r="C226" s="122" t="s">
        <v>975</v>
      </c>
      <c r="D226" s="122"/>
      <c r="E226" s="122" t="s">
        <v>1347</v>
      </c>
      <c r="F226" s="122">
        <v>64133100</v>
      </c>
      <c r="G226" s="163" t="s">
        <v>1451</v>
      </c>
      <c r="H226" s="122">
        <v>14</v>
      </c>
      <c r="I226" s="122" t="s">
        <v>291</v>
      </c>
      <c r="J226" s="118">
        <v>30</v>
      </c>
      <c r="K226" s="118">
        <v>91.4</v>
      </c>
      <c r="L226" s="118">
        <v>0.61</v>
      </c>
      <c r="M226" s="118">
        <v>0.15</v>
      </c>
      <c r="N226" s="118">
        <v>7.55</v>
      </c>
      <c r="O226" s="118">
        <v>0.4</v>
      </c>
      <c r="P226" s="118">
        <v>3.3000000000000002E-2</v>
      </c>
      <c r="Q226" s="118">
        <v>2.1000000000000001E-2</v>
      </c>
      <c r="R226" s="118">
        <v>0.17799999999999999</v>
      </c>
      <c r="S226" s="118"/>
      <c r="T226" s="118">
        <v>4.4999999999999998E-2</v>
      </c>
      <c r="U226" s="118">
        <v>3</v>
      </c>
      <c r="V226" s="118">
        <v>0</v>
      </c>
      <c r="W226" s="118">
        <v>8.1</v>
      </c>
      <c r="X226" s="118">
        <v>0</v>
      </c>
      <c r="Y226" s="118">
        <v>0.05</v>
      </c>
      <c r="Z226" s="118">
        <v>0.1</v>
      </c>
      <c r="AA226" s="118">
        <v>0</v>
      </c>
      <c r="AB226" s="118">
        <v>28</v>
      </c>
      <c r="AC226" s="118">
        <v>0</v>
      </c>
      <c r="AD226" s="118">
        <v>303</v>
      </c>
      <c r="AE226" s="118"/>
      <c r="AF226" s="118">
        <v>4530</v>
      </c>
      <c r="AG226" s="118">
        <v>78</v>
      </c>
      <c r="AH226" s="118"/>
      <c r="AI226" s="118">
        <v>7</v>
      </c>
      <c r="AJ226" s="118">
        <v>4.2000000000000003E-2</v>
      </c>
      <c r="AK226" s="118">
        <v>0.24</v>
      </c>
      <c r="AL226" s="118">
        <v>10</v>
      </c>
      <c r="AM226" s="118"/>
      <c r="AN226" s="118">
        <v>11</v>
      </c>
      <c r="AO226" s="118">
        <v>112</v>
      </c>
      <c r="AP226" s="118">
        <v>0.4</v>
      </c>
      <c r="AQ226" s="118">
        <v>0.1</v>
      </c>
      <c r="AR226" s="118">
        <v>1.6E-2</v>
      </c>
      <c r="AS226" s="118">
        <v>3.6999999999999998E-2</v>
      </c>
      <c r="AT226" s="118">
        <v>0.05</v>
      </c>
      <c r="AU226" s="118">
        <v>0</v>
      </c>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54">
        <v>4.0999999999999996</v>
      </c>
      <c r="BR226" s="154">
        <v>1</v>
      </c>
      <c r="BS226" s="154">
        <v>1</v>
      </c>
      <c r="BT226" s="154">
        <v>0</v>
      </c>
      <c r="BU226" s="154">
        <v>8</v>
      </c>
      <c r="BV226" s="154">
        <v>0</v>
      </c>
      <c r="BW226" s="154">
        <v>37</v>
      </c>
      <c r="BX226" s="154">
        <v>0</v>
      </c>
      <c r="BY226" s="154">
        <v>0</v>
      </c>
      <c r="BZ226" s="154">
        <v>50</v>
      </c>
      <c r="CA226" s="154">
        <v>0</v>
      </c>
      <c r="CB226" s="154">
        <v>0</v>
      </c>
      <c r="CC226" s="154">
        <v>0</v>
      </c>
      <c r="CD226" s="154">
        <v>6</v>
      </c>
      <c r="CE226" s="154">
        <v>0</v>
      </c>
      <c r="CF226" s="154">
        <v>0</v>
      </c>
      <c r="CG226" s="205"/>
    </row>
    <row r="227" spans="1:85" ht="15">
      <c r="A227" s="122">
        <v>73004</v>
      </c>
      <c r="B227" s="122" t="s">
        <v>976</v>
      </c>
      <c r="C227" s="122" t="s">
        <v>977</v>
      </c>
      <c r="D227" s="122"/>
      <c r="E227" s="122" t="s">
        <v>76</v>
      </c>
      <c r="F227" s="122" t="s">
        <v>1400</v>
      </c>
      <c r="G227" s="163" t="s">
        <v>1452</v>
      </c>
      <c r="H227" s="122">
        <v>22</v>
      </c>
      <c r="I227" s="122" t="s">
        <v>971</v>
      </c>
      <c r="J227" s="118">
        <v>33</v>
      </c>
      <c r="K227" s="118">
        <v>91.7</v>
      </c>
      <c r="L227" s="118">
        <v>0.7</v>
      </c>
      <c r="M227" s="118">
        <v>0</v>
      </c>
      <c r="N227" s="118">
        <v>7.5</v>
      </c>
      <c r="O227" s="118">
        <v>0</v>
      </c>
      <c r="P227" s="118">
        <v>0.04</v>
      </c>
      <c r="Q227" s="118">
        <v>0.04</v>
      </c>
      <c r="R227" s="118">
        <v>0.14000000000000001</v>
      </c>
      <c r="S227" s="118">
        <v>0.23</v>
      </c>
      <c r="T227" s="118">
        <v>0.4</v>
      </c>
      <c r="U227" s="118">
        <v>44.53</v>
      </c>
      <c r="V227" s="118"/>
      <c r="W227" s="118">
        <v>6.73</v>
      </c>
      <c r="X227" s="118">
        <v>0.41</v>
      </c>
      <c r="Y227" s="118">
        <v>0.02</v>
      </c>
      <c r="Z227" s="118"/>
      <c r="AA227" s="118">
        <v>0</v>
      </c>
      <c r="AB227" s="118">
        <v>0</v>
      </c>
      <c r="AC227" s="118">
        <v>0</v>
      </c>
      <c r="AD227" s="118">
        <v>7.87</v>
      </c>
      <c r="AE227" s="118">
        <v>8.36</v>
      </c>
      <c r="AF227" s="118"/>
      <c r="AG227" s="118"/>
      <c r="AH227" s="118"/>
      <c r="AI227" s="118">
        <v>8</v>
      </c>
      <c r="AJ227" s="118">
        <v>0.06</v>
      </c>
      <c r="AK227" s="118">
        <v>1.1000000000000001</v>
      </c>
      <c r="AL227" s="118">
        <v>10.31</v>
      </c>
      <c r="AM227" s="118">
        <v>0.33</v>
      </c>
      <c r="AN227" s="118">
        <v>6.19</v>
      </c>
      <c r="AO227" s="118">
        <v>24.92</v>
      </c>
      <c r="AP227" s="118"/>
      <c r="AQ227" s="118">
        <v>0.01</v>
      </c>
      <c r="AR227" s="118">
        <v>0.14000000000000001</v>
      </c>
      <c r="AS227" s="118">
        <v>0.03</v>
      </c>
      <c r="AT227" s="118">
        <v>0.17</v>
      </c>
      <c r="AU227" s="118"/>
      <c r="AV227" s="124">
        <v>2.8599999999999997E-3</v>
      </c>
      <c r="AW227" s="124">
        <v>6.0999999999999995E-3</v>
      </c>
      <c r="AX227" s="124">
        <v>5.6799999999999993E-3</v>
      </c>
      <c r="AY227" s="124">
        <v>4.0499999999999998E-3</v>
      </c>
      <c r="AZ227" s="124">
        <v>6.4000000000000005E-4</v>
      </c>
      <c r="BA227" s="124">
        <v>8.3000000000000001E-4</v>
      </c>
      <c r="BB227" s="124">
        <v>8.1799999999999998E-3</v>
      </c>
      <c r="BC227" s="124">
        <v>4.8300000000000001E-3</v>
      </c>
      <c r="BD227" s="124">
        <v>1.1999999999999999E-3</v>
      </c>
      <c r="BE227" s="124">
        <v>6.7000000000000002E-3</v>
      </c>
      <c r="BF227" s="124">
        <v>8.3499999999999998E-3</v>
      </c>
      <c r="BG227" s="124">
        <v>5.4900000000000001E-3</v>
      </c>
      <c r="BH227" s="124">
        <v>4.8780000000000004E-2</v>
      </c>
      <c r="BI227" s="124">
        <v>1.856E-2</v>
      </c>
      <c r="BJ227" s="124">
        <v>4.3200000000000001E-3</v>
      </c>
      <c r="BK227" s="124">
        <v>3.9399999999999999E-3</v>
      </c>
      <c r="BL227" s="124">
        <v>5.6799999999999993E-3</v>
      </c>
      <c r="BM227" s="124">
        <v>3.7599999999999999E-3</v>
      </c>
      <c r="BN227" s="118">
        <v>5.25</v>
      </c>
      <c r="BO227" s="118"/>
      <c r="BP227" s="118"/>
      <c r="BQ227" s="154">
        <v>3.5</v>
      </c>
      <c r="BR227" s="154">
        <v>0</v>
      </c>
      <c r="BS227" s="154">
        <v>0</v>
      </c>
      <c r="BT227" s="154">
        <v>0</v>
      </c>
      <c r="BU227" s="154">
        <v>0</v>
      </c>
      <c r="BV227" s="154">
        <v>0</v>
      </c>
      <c r="BW227" s="154">
        <v>0</v>
      </c>
      <c r="BX227" s="154">
        <v>0</v>
      </c>
      <c r="BY227" s="154">
        <v>0</v>
      </c>
      <c r="BZ227" s="154">
        <v>0</v>
      </c>
      <c r="CA227" s="154">
        <v>0</v>
      </c>
      <c r="CB227" s="154">
        <v>0</v>
      </c>
      <c r="CC227" s="154">
        <v>0</v>
      </c>
      <c r="CD227" s="154">
        <v>0</v>
      </c>
      <c r="CE227" s="154">
        <v>0</v>
      </c>
      <c r="CF227" s="154">
        <v>0</v>
      </c>
      <c r="CG227" s="205"/>
    </row>
    <row r="228" spans="1:85">
      <c r="A228" s="122">
        <v>73005</v>
      </c>
      <c r="B228" s="122" t="s">
        <v>978</v>
      </c>
      <c r="C228" s="122" t="s">
        <v>979</v>
      </c>
      <c r="D228" s="122"/>
      <c r="E228" s="122" t="s">
        <v>1152</v>
      </c>
      <c r="F228" s="122" t="s">
        <v>1453</v>
      </c>
      <c r="G228" s="163" t="s">
        <v>1454</v>
      </c>
      <c r="H228" s="122">
        <v>22</v>
      </c>
      <c r="I228" s="122" t="s">
        <v>971</v>
      </c>
      <c r="J228" s="118"/>
      <c r="K228" s="118">
        <v>90.46</v>
      </c>
      <c r="L228" s="118">
        <v>1.4800000000000001E-2</v>
      </c>
      <c r="M228" s="118">
        <v>0.05</v>
      </c>
      <c r="N228" s="118"/>
      <c r="O228" s="118"/>
      <c r="P228" s="118"/>
      <c r="Q228" s="118"/>
      <c r="R228" s="118"/>
      <c r="S228" s="118"/>
      <c r="T228" s="118"/>
      <c r="U228" s="118"/>
      <c r="V228" s="118"/>
      <c r="W228" s="118">
        <v>12.76</v>
      </c>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205"/>
      <c r="BS228" s="205"/>
      <c r="BT228" s="205"/>
      <c r="BU228" s="205"/>
      <c r="BV228" s="205"/>
      <c r="BW228" s="205"/>
      <c r="BX228" s="205"/>
      <c r="BY228" s="205"/>
      <c r="BZ228" s="205"/>
      <c r="CA228" s="205"/>
      <c r="CB228" s="205"/>
      <c r="CC228" s="205"/>
      <c r="CD228" s="205"/>
      <c r="CE228" s="205"/>
      <c r="CF228" s="205"/>
      <c r="CG228" s="205"/>
    </row>
    <row r="229" spans="1:85" ht="15">
      <c r="A229" s="122">
        <v>79201</v>
      </c>
      <c r="B229" s="122" t="s">
        <v>980</v>
      </c>
      <c r="C229" s="122" t="s">
        <v>981</v>
      </c>
      <c r="D229" s="122"/>
      <c r="E229" s="122" t="s">
        <v>76</v>
      </c>
      <c r="F229" s="122" t="s">
        <v>1455</v>
      </c>
      <c r="G229" s="163" t="s">
        <v>1456</v>
      </c>
      <c r="H229" s="122">
        <v>22</v>
      </c>
      <c r="I229" s="122" t="s">
        <v>971</v>
      </c>
      <c r="J229" s="118">
        <v>355</v>
      </c>
      <c r="K229" s="118">
        <v>3.1</v>
      </c>
      <c r="L229" s="118">
        <v>12.2</v>
      </c>
      <c r="M229" s="118">
        <v>0.5</v>
      </c>
      <c r="N229" s="118">
        <v>75.400000000000006</v>
      </c>
      <c r="O229" s="118">
        <v>0</v>
      </c>
      <c r="P229" s="118">
        <v>0.01</v>
      </c>
      <c r="Q229" s="118">
        <v>7.0000000000000007E-2</v>
      </c>
      <c r="R229" s="118">
        <v>28.17</v>
      </c>
      <c r="S229" s="118"/>
      <c r="T229" s="118">
        <v>0.03</v>
      </c>
      <c r="U229" s="118">
        <v>0</v>
      </c>
      <c r="V229" s="118">
        <v>0</v>
      </c>
      <c r="W229" s="118">
        <v>0</v>
      </c>
      <c r="X229" s="118">
        <v>0</v>
      </c>
      <c r="Y229" s="118">
        <v>0</v>
      </c>
      <c r="Z229" s="118">
        <v>1.9</v>
      </c>
      <c r="AA229" s="118">
        <v>0</v>
      </c>
      <c r="AB229" s="118">
        <v>0</v>
      </c>
      <c r="AC229" s="118">
        <v>0</v>
      </c>
      <c r="AD229" s="118">
        <v>0</v>
      </c>
      <c r="AE229" s="118"/>
      <c r="AF229" s="118"/>
      <c r="AG229" s="118"/>
      <c r="AH229" s="118"/>
      <c r="AI229" s="118">
        <v>141</v>
      </c>
      <c r="AJ229" s="118">
        <v>0.14000000000000001</v>
      </c>
      <c r="AK229" s="118">
        <v>4.41</v>
      </c>
      <c r="AL229" s="118">
        <v>327</v>
      </c>
      <c r="AM229" s="118">
        <v>1.71</v>
      </c>
      <c r="AN229" s="118">
        <v>303</v>
      </c>
      <c r="AO229" s="118">
        <v>3540</v>
      </c>
      <c r="AP229" s="118">
        <v>12.6</v>
      </c>
      <c r="AQ229" s="118">
        <v>0.35</v>
      </c>
      <c r="AR229" s="118"/>
      <c r="AS229" s="118"/>
      <c r="AT229" s="118"/>
      <c r="AU229" s="118"/>
      <c r="AV229" s="124"/>
      <c r="AW229" s="124"/>
      <c r="AX229" s="124"/>
      <c r="AY229" s="124"/>
      <c r="AZ229" s="124"/>
      <c r="BA229" s="124"/>
      <c r="BB229" s="124"/>
      <c r="BC229" s="124"/>
      <c r="BD229" s="124"/>
      <c r="BE229" s="124"/>
      <c r="BF229" s="124"/>
      <c r="BG229" s="124"/>
      <c r="BH229" s="124"/>
      <c r="BI229" s="124"/>
      <c r="BJ229" s="124"/>
      <c r="BK229" s="124"/>
      <c r="BL229" s="124"/>
      <c r="BM229" s="124"/>
      <c r="BN229" s="118"/>
      <c r="BO229" s="118"/>
      <c r="BP229" s="118"/>
      <c r="BQ229" s="154">
        <v>2.6</v>
      </c>
      <c r="BR229" s="154">
        <v>0</v>
      </c>
      <c r="BS229" s="154">
        <v>0</v>
      </c>
      <c r="BT229" s="154">
        <v>0</v>
      </c>
      <c r="BU229" s="154">
        <v>2</v>
      </c>
      <c r="BV229" s="154">
        <v>0</v>
      </c>
      <c r="BW229" s="154">
        <v>0</v>
      </c>
      <c r="BX229" s="154">
        <v>0</v>
      </c>
      <c r="BY229" s="154">
        <v>0</v>
      </c>
      <c r="BZ229" s="154">
        <v>1</v>
      </c>
      <c r="CA229" s="154">
        <v>0</v>
      </c>
      <c r="CB229" s="154">
        <v>0</v>
      </c>
      <c r="CC229" s="154">
        <v>0</v>
      </c>
      <c r="CD229" s="154">
        <v>0</v>
      </c>
      <c r="CE229" s="154">
        <v>0</v>
      </c>
      <c r="CF229" s="154">
        <v>0</v>
      </c>
      <c r="CG229" s="205" t="s">
        <v>1075</v>
      </c>
    </row>
    <row r="230" spans="1:85" ht="15">
      <c r="A230" s="122">
        <v>73006</v>
      </c>
      <c r="B230" s="122" t="s">
        <v>983</v>
      </c>
      <c r="C230" s="122" t="s">
        <v>984</v>
      </c>
      <c r="D230" s="122"/>
      <c r="E230" s="122" t="s">
        <v>103</v>
      </c>
      <c r="F230" s="122">
        <v>9442</v>
      </c>
      <c r="G230" s="163" t="s">
        <v>985</v>
      </c>
      <c r="H230" s="122">
        <v>14</v>
      </c>
      <c r="I230" s="122" t="s">
        <v>291</v>
      </c>
      <c r="J230" s="118">
        <v>54</v>
      </c>
      <c r="K230" s="118">
        <v>86</v>
      </c>
      <c r="L230" s="118">
        <v>0.15</v>
      </c>
      <c r="M230" s="118">
        <v>0.28999999999999998</v>
      </c>
      <c r="N230" s="118">
        <v>13.1</v>
      </c>
      <c r="O230" s="118">
        <v>0.1</v>
      </c>
      <c r="P230" s="118">
        <v>1.4999999999999999E-2</v>
      </c>
      <c r="Q230" s="118">
        <v>1.4999999999999999E-2</v>
      </c>
      <c r="R230" s="118">
        <v>0.23300000000000001</v>
      </c>
      <c r="S230" s="118">
        <v>0.28499999999999998</v>
      </c>
      <c r="T230" s="118">
        <v>0.04</v>
      </c>
      <c r="U230" s="118">
        <v>24</v>
      </c>
      <c r="V230" s="118">
        <v>0</v>
      </c>
      <c r="W230" s="118">
        <v>0.1</v>
      </c>
      <c r="X230" s="118">
        <v>0</v>
      </c>
      <c r="Y230" s="118">
        <v>0.38</v>
      </c>
      <c r="Z230" s="118">
        <v>10.4</v>
      </c>
      <c r="AA230" s="118">
        <v>0</v>
      </c>
      <c r="AB230" s="118">
        <v>0</v>
      </c>
      <c r="AC230" s="118">
        <v>0</v>
      </c>
      <c r="AD230" s="118">
        <v>0</v>
      </c>
      <c r="AE230" s="118">
        <v>0</v>
      </c>
      <c r="AF230" s="118">
        <v>0</v>
      </c>
      <c r="AG230" s="118">
        <v>0</v>
      </c>
      <c r="AH230" s="118">
        <v>0</v>
      </c>
      <c r="AI230" s="118">
        <v>11</v>
      </c>
      <c r="AJ230" s="118">
        <v>2.1000000000000001E-2</v>
      </c>
      <c r="AK230" s="118">
        <v>0.1</v>
      </c>
      <c r="AL230" s="118">
        <v>7</v>
      </c>
      <c r="AM230" s="118">
        <v>9.5000000000000001E-2</v>
      </c>
      <c r="AN230" s="118">
        <v>11</v>
      </c>
      <c r="AO230" s="118">
        <v>214</v>
      </c>
      <c r="AP230" s="118">
        <v>0.3</v>
      </c>
      <c r="AQ230" s="118">
        <v>0.09</v>
      </c>
      <c r="AR230" s="118">
        <v>7.6999999999999999E-2</v>
      </c>
      <c r="AS230" s="118">
        <v>5.8999999999999997E-2</v>
      </c>
      <c r="AT230" s="118">
        <v>0.05</v>
      </c>
      <c r="AU230" s="118">
        <v>0</v>
      </c>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54">
        <v>2.4</v>
      </c>
      <c r="BR230" s="154">
        <v>0</v>
      </c>
      <c r="BS230" s="154">
        <v>2</v>
      </c>
      <c r="BT230" s="154">
        <v>2</v>
      </c>
      <c r="BU230" s="154">
        <v>22</v>
      </c>
      <c r="BV230" s="154">
        <v>4</v>
      </c>
      <c r="BW230" s="154">
        <v>24</v>
      </c>
      <c r="BX230" s="154">
        <v>2</v>
      </c>
      <c r="BY230" s="154">
        <v>0</v>
      </c>
      <c r="BZ230" s="154">
        <v>25</v>
      </c>
      <c r="CA230" s="154">
        <v>0</v>
      </c>
      <c r="CB230" s="154">
        <v>0</v>
      </c>
      <c r="CC230" s="154">
        <v>0</v>
      </c>
      <c r="CD230" s="154">
        <v>12</v>
      </c>
      <c r="CE230" s="154">
        <v>0</v>
      </c>
      <c r="CF230" s="154">
        <v>0</v>
      </c>
      <c r="CG230" s="205" t="s">
        <v>1165</v>
      </c>
    </row>
    <row r="231" spans="1:85" ht="15">
      <c r="A231" s="122">
        <v>73007</v>
      </c>
      <c r="B231" s="122" t="s">
        <v>986</v>
      </c>
      <c r="C231" s="122" t="s">
        <v>987</v>
      </c>
      <c r="D231" s="122"/>
      <c r="E231" s="122" t="s">
        <v>76</v>
      </c>
      <c r="F231" s="122" t="s">
        <v>1457</v>
      </c>
      <c r="G231" s="163" t="s">
        <v>1458</v>
      </c>
      <c r="H231" s="122">
        <v>14</v>
      </c>
      <c r="I231" s="122" t="s">
        <v>291</v>
      </c>
      <c r="J231" s="118">
        <v>9</v>
      </c>
      <c r="K231" s="118">
        <v>97.7</v>
      </c>
      <c r="L231" s="118">
        <v>0.2</v>
      </c>
      <c r="M231" s="118">
        <v>0.1</v>
      </c>
      <c r="N231" s="118">
        <v>1.7</v>
      </c>
      <c r="O231" s="118">
        <v>0.2</v>
      </c>
      <c r="P231" s="118">
        <v>0.06</v>
      </c>
      <c r="Q231" s="118">
        <v>0.02</v>
      </c>
      <c r="R231" s="118">
        <v>0.2</v>
      </c>
      <c r="S231" s="118">
        <v>0.15</v>
      </c>
      <c r="T231" s="118">
        <v>0.05</v>
      </c>
      <c r="U231" s="118">
        <v>6</v>
      </c>
      <c r="V231" s="118">
        <v>0</v>
      </c>
      <c r="W231" s="118">
        <v>64</v>
      </c>
      <c r="X231" s="118">
        <v>0</v>
      </c>
      <c r="Y231" s="118">
        <v>0.17</v>
      </c>
      <c r="Z231" s="118">
        <v>0.1</v>
      </c>
      <c r="AA231" s="118">
        <v>0</v>
      </c>
      <c r="AB231" s="118">
        <v>1.97</v>
      </c>
      <c r="AC231" s="118">
        <v>1.18</v>
      </c>
      <c r="AD231" s="118">
        <v>6.49</v>
      </c>
      <c r="AE231" s="118"/>
      <c r="AF231" s="118"/>
      <c r="AG231" s="118"/>
      <c r="AH231" s="118"/>
      <c r="AI231" s="118">
        <v>5</v>
      </c>
      <c r="AJ231" s="118">
        <v>0.04</v>
      </c>
      <c r="AK231" s="118">
        <v>0.7</v>
      </c>
      <c r="AL231" s="118">
        <v>8</v>
      </c>
      <c r="AM231" s="118">
        <v>2.1000000000000001E-2</v>
      </c>
      <c r="AN231" s="118">
        <v>13</v>
      </c>
      <c r="AO231" s="118">
        <v>150</v>
      </c>
      <c r="AP231" s="118">
        <v>0.1</v>
      </c>
      <c r="AQ231" s="118">
        <v>0.05</v>
      </c>
      <c r="AR231" s="118"/>
      <c r="AS231" s="118"/>
      <c r="AT231" s="118"/>
      <c r="AU231" s="118"/>
      <c r="AV231" s="124"/>
      <c r="AW231" s="124"/>
      <c r="AX231" s="124"/>
      <c r="AY231" s="124"/>
      <c r="AZ231" s="124"/>
      <c r="BA231" s="124"/>
      <c r="BB231" s="124"/>
      <c r="BC231" s="124"/>
      <c r="BD231" s="124"/>
      <c r="BE231" s="124"/>
      <c r="BF231" s="124"/>
      <c r="BG231" s="124"/>
      <c r="BH231" s="124"/>
      <c r="BI231" s="124"/>
      <c r="BJ231" s="124"/>
      <c r="BK231" s="124"/>
      <c r="BL231" s="124"/>
      <c r="BM231" s="124"/>
      <c r="BN231" s="118"/>
      <c r="BO231" s="118"/>
      <c r="BP231" s="118"/>
      <c r="BQ231" s="154">
        <v>6.2</v>
      </c>
      <c r="BR231" s="154">
        <v>0</v>
      </c>
      <c r="BS231" s="154">
        <v>0</v>
      </c>
      <c r="BT231" s="154">
        <v>0</v>
      </c>
      <c r="BU231" s="154">
        <v>14</v>
      </c>
      <c r="BV231" s="154">
        <v>3</v>
      </c>
      <c r="BW231" s="154">
        <v>18</v>
      </c>
      <c r="BX231" s="154">
        <v>0</v>
      </c>
      <c r="BY231" s="154">
        <v>0</v>
      </c>
      <c r="BZ231" s="154">
        <v>23</v>
      </c>
      <c r="CA231" s="154">
        <v>7</v>
      </c>
      <c r="CB231" s="154">
        <v>0</v>
      </c>
      <c r="CC231" s="154">
        <v>0</v>
      </c>
      <c r="CD231" s="154">
        <v>0</v>
      </c>
      <c r="CE231" s="154">
        <v>0</v>
      </c>
      <c r="CF231" s="154">
        <v>0</v>
      </c>
      <c r="CG231" s="205">
        <v>1</v>
      </c>
    </row>
    <row r="232" spans="1:85" ht="15">
      <c r="A232" s="122">
        <v>73008</v>
      </c>
      <c r="B232" s="122" t="s">
        <v>989</v>
      </c>
      <c r="C232" s="122" t="s">
        <v>990</v>
      </c>
      <c r="D232" s="122"/>
      <c r="E232" s="122" t="s">
        <v>1417</v>
      </c>
      <c r="F232" s="122" t="s">
        <v>1459</v>
      </c>
      <c r="G232" s="163" t="s">
        <v>1460</v>
      </c>
      <c r="H232" s="122">
        <v>14</v>
      </c>
      <c r="I232" s="122" t="s">
        <v>291</v>
      </c>
      <c r="J232" s="118">
        <v>58</v>
      </c>
      <c r="K232" s="118"/>
      <c r="L232" s="118">
        <v>0.42</v>
      </c>
      <c r="M232" s="118">
        <v>0</v>
      </c>
      <c r="N232" s="118">
        <v>14.2</v>
      </c>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v>0</v>
      </c>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54">
        <v>3.2</v>
      </c>
      <c r="BR232" s="154">
        <v>0</v>
      </c>
      <c r="BS232" s="154">
        <v>0</v>
      </c>
      <c r="BT232" s="154">
        <v>1</v>
      </c>
      <c r="BU232" s="154">
        <v>21</v>
      </c>
      <c r="BV232" s="154">
        <v>0</v>
      </c>
      <c r="BW232" s="154">
        <v>3</v>
      </c>
      <c r="BX232" s="154">
        <v>0</v>
      </c>
      <c r="BY232" s="154">
        <v>0</v>
      </c>
      <c r="BZ232" s="154">
        <v>17</v>
      </c>
      <c r="CA232" s="154">
        <v>5</v>
      </c>
      <c r="CB232" s="154">
        <v>0</v>
      </c>
      <c r="CC232" s="154">
        <v>0</v>
      </c>
      <c r="CD232" s="154">
        <v>3</v>
      </c>
      <c r="CE232" s="154">
        <v>0</v>
      </c>
      <c r="CF232" s="154">
        <v>0</v>
      </c>
      <c r="CG232" s="205" t="s">
        <v>1165</v>
      </c>
    </row>
    <row r="233" spans="1:85" ht="15">
      <c r="A233" s="122">
        <v>79003</v>
      </c>
      <c r="B233" s="122" t="s">
        <v>992</v>
      </c>
      <c r="C233" s="122" t="s">
        <v>993</v>
      </c>
      <c r="D233" s="122"/>
      <c r="E233" s="122" t="s">
        <v>122</v>
      </c>
      <c r="F233" s="122">
        <v>2259792</v>
      </c>
      <c r="G233" s="163" t="s">
        <v>994</v>
      </c>
      <c r="H233" s="122">
        <v>5</v>
      </c>
      <c r="I233" s="122" t="s">
        <v>649</v>
      </c>
      <c r="J233" s="118">
        <v>43</v>
      </c>
      <c r="K233" s="118">
        <v>89.8</v>
      </c>
      <c r="L233" s="118">
        <v>3.46</v>
      </c>
      <c r="M233" s="118">
        <v>1.08</v>
      </c>
      <c r="N233" s="118">
        <v>4.8099999999999996</v>
      </c>
      <c r="O233" s="118"/>
      <c r="P233" s="118">
        <v>4.8000000000000001E-2</v>
      </c>
      <c r="Q233" s="118">
        <v>0.19600000000000001</v>
      </c>
      <c r="R233" s="118">
        <v>0.128</v>
      </c>
      <c r="S233" s="118"/>
      <c r="T233" s="118">
        <v>3.9E-2</v>
      </c>
      <c r="U233" s="118"/>
      <c r="V233" s="118"/>
      <c r="W233" s="118"/>
      <c r="X233" s="118">
        <v>0.54</v>
      </c>
      <c r="Y233" s="118"/>
      <c r="Z233" s="118">
        <v>0.1</v>
      </c>
      <c r="AA233" s="118">
        <v>36</v>
      </c>
      <c r="AB233" s="118"/>
      <c r="AC233" s="118"/>
      <c r="AD233" s="118"/>
      <c r="AE233" s="118"/>
      <c r="AF233" s="118"/>
      <c r="AG233" s="118"/>
      <c r="AH233" s="118"/>
      <c r="AI233" s="118">
        <v>120</v>
      </c>
      <c r="AJ233" s="118">
        <v>1E-3</v>
      </c>
      <c r="AK233" s="118">
        <v>0.01</v>
      </c>
      <c r="AL233" s="118">
        <v>11</v>
      </c>
      <c r="AM233" s="118">
        <v>5.0000000000000001E-3</v>
      </c>
      <c r="AN233" s="118">
        <v>92</v>
      </c>
      <c r="AO233" s="118">
        <v>158</v>
      </c>
      <c r="AP233" s="118"/>
      <c r="AQ233" s="118">
        <v>0.43</v>
      </c>
      <c r="AR233" s="118">
        <v>0.55200000000000005</v>
      </c>
      <c r="AS233" s="118">
        <v>0.19900000000000001</v>
      </c>
      <c r="AT233" s="118"/>
      <c r="AU233" s="118">
        <v>5</v>
      </c>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54">
        <v>17.7</v>
      </c>
      <c r="BR233" s="154">
        <v>22</v>
      </c>
      <c r="BS233" s="154">
        <v>28</v>
      </c>
      <c r="BT233" s="154">
        <v>89</v>
      </c>
      <c r="BU233" s="154">
        <v>258</v>
      </c>
      <c r="BV233" s="154">
        <v>20</v>
      </c>
      <c r="BW233" s="154">
        <v>221</v>
      </c>
      <c r="BX233" s="154">
        <v>0</v>
      </c>
      <c r="BY233" s="154">
        <v>0</v>
      </c>
      <c r="BZ233" s="154">
        <v>22</v>
      </c>
      <c r="CA233" s="154">
        <v>13</v>
      </c>
      <c r="CB233" s="154">
        <v>0</v>
      </c>
      <c r="CC233" s="154">
        <v>0</v>
      </c>
      <c r="CD233" s="154">
        <v>85</v>
      </c>
      <c r="CE233" s="154">
        <v>0</v>
      </c>
      <c r="CF233" s="154">
        <v>0</v>
      </c>
      <c r="CG233" s="205"/>
    </row>
    <row r="234" spans="1:85">
      <c r="A234" s="122">
        <v>79001</v>
      </c>
      <c r="B234" s="122" t="s">
        <v>995</v>
      </c>
      <c r="C234" s="122" t="s">
        <v>996</v>
      </c>
      <c r="D234" s="122"/>
      <c r="E234" s="122" t="s">
        <v>76</v>
      </c>
      <c r="F234" s="122">
        <v>120006</v>
      </c>
      <c r="G234" s="163" t="s">
        <v>997</v>
      </c>
      <c r="H234" s="122">
        <v>5</v>
      </c>
      <c r="I234" s="122" t="s">
        <v>649</v>
      </c>
      <c r="J234" s="118">
        <v>497</v>
      </c>
      <c r="K234" s="118">
        <v>3.2</v>
      </c>
      <c r="L234" s="118">
        <v>26.65</v>
      </c>
      <c r="M234" s="118">
        <v>26.69</v>
      </c>
      <c r="N234" s="118">
        <v>37.53</v>
      </c>
      <c r="O234" s="118">
        <v>0</v>
      </c>
      <c r="P234" s="118">
        <v>0.31</v>
      </c>
      <c r="Q234" s="118">
        <v>1.37</v>
      </c>
      <c r="R234" s="118">
        <v>0.68</v>
      </c>
      <c r="S234" s="118"/>
      <c r="T234" s="118">
        <v>0.28000000000000003</v>
      </c>
      <c r="U234" s="118">
        <v>38</v>
      </c>
      <c r="V234" s="118">
        <v>3.25</v>
      </c>
      <c r="W234" s="118">
        <v>10.65</v>
      </c>
      <c r="X234" s="118"/>
      <c r="Y234" s="118">
        <v>0.59</v>
      </c>
      <c r="Z234" s="118"/>
      <c r="AA234" s="118">
        <v>227.67</v>
      </c>
      <c r="AB234" s="118">
        <v>237.96</v>
      </c>
      <c r="AC234" s="118"/>
      <c r="AD234" s="118"/>
      <c r="AE234" s="118"/>
      <c r="AF234" s="118"/>
      <c r="AG234" s="118"/>
      <c r="AH234" s="118"/>
      <c r="AI234" s="118">
        <v>959.33</v>
      </c>
      <c r="AJ234" s="118">
        <v>0.06</v>
      </c>
      <c r="AK234" s="118">
        <v>0.65</v>
      </c>
      <c r="AL234" s="118">
        <v>92</v>
      </c>
      <c r="AM234" s="118"/>
      <c r="AN234" s="118">
        <v>758.33</v>
      </c>
      <c r="AO234" s="118">
        <v>1180</v>
      </c>
      <c r="AP234" s="118"/>
      <c r="AQ234" s="118">
        <v>3.71</v>
      </c>
      <c r="AR234" s="118">
        <v>2.71</v>
      </c>
      <c r="AS234" s="118">
        <v>1.21</v>
      </c>
      <c r="AT234" s="118">
        <v>0.14000000000000001</v>
      </c>
      <c r="AU234" s="118"/>
      <c r="AV234" s="124"/>
      <c r="AW234" s="124"/>
      <c r="AX234" s="124"/>
      <c r="AY234" s="124"/>
      <c r="AZ234" s="124"/>
      <c r="BA234" s="124"/>
      <c r="BB234" s="124"/>
      <c r="BC234" s="124"/>
      <c r="BD234" s="124"/>
      <c r="BE234" s="124"/>
      <c r="BF234" s="124"/>
      <c r="BG234" s="124"/>
      <c r="BH234" s="124"/>
      <c r="BI234" s="124"/>
      <c r="BJ234" s="124"/>
      <c r="BK234" s="124"/>
      <c r="BL234" s="124"/>
      <c r="BM234" s="124"/>
      <c r="BN234" s="118"/>
      <c r="BO234" s="118"/>
      <c r="BP234" s="118"/>
      <c r="BQ234" s="118"/>
      <c r="BR234" s="205"/>
      <c r="BS234" s="205"/>
      <c r="BT234" s="205"/>
      <c r="BU234" s="205"/>
      <c r="BV234" s="205"/>
      <c r="BW234" s="205"/>
      <c r="BX234" s="205"/>
      <c r="BY234" s="205"/>
      <c r="BZ234" s="205"/>
      <c r="CA234" s="205"/>
      <c r="CB234" s="205"/>
      <c r="CC234" s="205"/>
      <c r="CD234" s="205"/>
      <c r="CE234" s="205"/>
      <c r="CF234" s="205"/>
      <c r="CG234" s="205"/>
    </row>
    <row r="235" spans="1:85">
      <c r="A235" s="122">
        <v>79002</v>
      </c>
      <c r="B235" s="122" t="s">
        <v>998</v>
      </c>
      <c r="C235" s="122"/>
      <c r="D235" s="122"/>
      <c r="E235" s="122" t="s">
        <v>76</v>
      </c>
      <c r="F235" s="122">
        <v>120005</v>
      </c>
      <c r="G235" s="163" t="s">
        <v>999</v>
      </c>
      <c r="H235" s="122">
        <v>13</v>
      </c>
      <c r="I235" s="122" t="s">
        <v>295</v>
      </c>
      <c r="J235" s="118">
        <v>358</v>
      </c>
      <c r="K235" s="118">
        <v>3.8</v>
      </c>
      <c r="L235" s="118">
        <v>37.57</v>
      </c>
      <c r="M235" s="118">
        <v>1</v>
      </c>
      <c r="N235" s="118">
        <v>49.78</v>
      </c>
      <c r="O235" s="118">
        <v>0</v>
      </c>
      <c r="P235" s="118">
        <v>0.45</v>
      </c>
      <c r="Q235" s="118">
        <v>1.64</v>
      </c>
      <c r="R235" s="118">
        <v>2.44</v>
      </c>
      <c r="S235" s="118"/>
      <c r="T235" s="118">
        <v>0.65</v>
      </c>
      <c r="U235" s="118">
        <v>21</v>
      </c>
      <c r="V235" s="118"/>
      <c r="W235" s="118">
        <v>5</v>
      </c>
      <c r="X235" s="118"/>
      <c r="Y235" s="118">
        <v>0.1</v>
      </c>
      <c r="Z235" s="118"/>
      <c r="AA235" s="118">
        <v>0</v>
      </c>
      <c r="AB235" s="118">
        <v>0</v>
      </c>
      <c r="AC235" s="118"/>
      <c r="AD235" s="118">
        <v>0</v>
      </c>
      <c r="AE235" s="118"/>
      <c r="AF235" s="118"/>
      <c r="AG235" s="118"/>
      <c r="AH235" s="118"/>
      <c r="AI235" s="118">
        <v>1370</v>
      </c>
      <c r="AJ235" s="118">
        <v>0.1</v>
      </c>
      <c r="AK235" s="118">
        <v>1.1000000000000001</v>
      </c>
      <c r="AL235" s="118">
        <v>110</v>
      </c>
      <c r="AM235" s="118"/>
      <c r="AN235" s="118">
        <v>956</v>
      </c>
      <c r="AO235" s="118">
        <v>1600</v>
      </c>
      <c r="AP235" s="118"/>
      <c r="AQ235" s="118">
        <v>4.7</v>
      </c>
      <c r="AR235" s="118"/>
      <c r="AS235" s="118"/>
      <c r="AT235" s="118"/>
      <c r="AU235" s="118"/>
      <c r="AV235" s="124"/>
      <c r="AW235" s="124"/>
      <c r="AX235" s="124"/>
      <c r="AY235" s="124"/>
      <c r="AZ235" s="124"/>
      <c r="BA235" s="124"/>
      <c r="BB235" s="124"/>
      <c r="BC235" s="124"/>
      <c r="BD235" s="124"/>
      <c r="BE235" s="124"/>
      <c r="BF235" s="124"/>
      <c r="BG235" s="124"/>
      <c r="BH235" s="124"/>
      <c r="BI235" s="124"/>
      <c r="BJ235" s="124"/>
      <c r="BK235" s="124"/>
      <c r="BL235" s="124"/>
      <c r="BM235" s="124"/>
      <c r="BN235" s="118"/>
      <c r="BO235" s="118"/>
      <c r="BP235" s="118"/>
      <c r="BQ235" s="118"/>
      <c r="BR235" s="205"/>
      <c r="BS235" s="205"/>
      <c r="BT235" s="205"/>
      <c r="BU235" s="205"/>
      <c r="BV235" s="205"/>
      <c r="BW235" s="205"/>
      <c r="BX235" s="205"/>
      <c r="BY235" s="205"/>
      <c r="BZ235" s="205"/>
      <c r="CA235" s="205"/>
      <c r="CB235" s="205"/>
      <c r="CC235" s="205"/>
      <c r="CD235" s="205"/>
      <c r="CE235" s="205"/>
      <c r="CF235" s="205"/>
      <c r="CG235" s="205"/>
    </row>
    <row r="236" spans="1:85" ht="15">
      <c r="A236" s="122">
        <v>21024</v>
      </c>
      <c r="B236" s="122" t="s">
        <v>1000</v>
      </c>
      <c r="C236" s="122" t="s">
        <v>1001</v>
      </c>
      <c r="D236" s="122" t="s">
        <v>1002</v>
      </c>
      <c r="E236" s="122" t="s">
        <v>76</v>
      </c>
      <c r="F236" s="122" t="s">
        <v>1461</v>
      </c>
      <c r="G236" s="163" t="s">
        <v>1462</v>
      </c>
      <c r="H236" s="122">
        <v>13</v>
      </c>
      <c r="I236" s="122" t="s">
        <v>295</v>
      </c>
      <c r="J236" s="118">
        <v>35</v>
      </c>
      <c r="K236" s="118">
        <v>87.38</v>
      </c>
      <c r="L236" s="118">
        <v>3</v>
      </c>
      <c r="M236" s="118">
        <v>0.73</v>
      </c>
      <c r="N236" s="118">
        <v>0.56999999999999995</v>
      </c>
      <c r="O236" s="118">
        <v>6.91</v>
      </c>
      <c r="P236" s="118">
        <v>0.09</v>
      </c>
      <c r="Q236" s="118">
        <v>0.26</v>
      </c>
      <c r="R236" s="118">
        <v>0.95</v>
      </c>
      <c r="S236" s="118">
        <v>0.34</v>
      </c>
      <c r="T236" s="118">
        <v>0.16</v>
      </c>
      <c r="U236" s="118">
        <v>114</v>
      </c>
      <c r="V236" s="118">
        <v>0</v>
      </c>
      <c r="W236" s="118">
        <v>21.95</v>
      </c>
      <c r="X236" s="118">
        <v>3.37</v>
      </c>
      <c r="Y236" s="118">
        <v>5</v>
      </c>
      <c r="Z236" s="118">
        <v>164</v>
      </c>
      <c r="AA236" s="118">
        <v>0</v>
      </c>
      <c r="AB236" s="118">
        <v>62</v>
      </c>
      <c r="AC236" s="118"/>
      <c r="AD236" s="118">
        <v>4602</v>
      </c>
      <c r="AE236" s="118"/>
      <c r="AF236" s="118"/>
      <c r="AG236" s="118"/>
      <c r="AH236" s="118"/>
      <c r="AI236" s="118">
        <v>110.12</v>
      </c>
      <c r="AJ236" s="118">
        <v>0.15</v>
      </c>
      <c r="AK236" s="118">
        <v>15.6</v>
      </c>
      <c r="AL236" s="118">
        <v>42.27</v>
      </c>
      <c r="AM236" s="118">
        <v>1.06</v>
      </c>
      <c r="AN236" s="118">
        <v>62</v>
      </c>
      <c r="AO236" s="118">
        <v>354.8</v>
      </c>
      <c r="AP236" s="118">
        <v>10.79</v>
      </c>
      <c r="AQ236" s="118">
        <v>1.76</v>
      </c>
      <c r="AR236" s="118">
        <v>0.13</v>
      </c>
      <c r="AS236" s="118">
        <v>0.01</v>
      </c>
      <c r="AT236" s="118">
        <v>0.35</v>
      </c>
      <c r="AU236" s="118"/>
      <c r="AV236" s="124">
        <v>7.5490000000000002E-2</v>
      </c>
      <c r="AW236" s="124">
        <v>0.20224</v>
      </c>
      <c r="AX236" s="124">
        <v>0.38305</v>
      </c>
      <c r="AY236" s="124">
        <v>0.13653999999999999</v>
      </c>
      <c r="AZ236" s="124">
        <v>6.5709999999999991E-2</v>
      </c>
      <c r="BA236" s="124">
        <v>3.3549999999999996E-2</v>
      </c>
      <c r="BB236" s="124">
        <v>0.24884000000000001</v>
      </c>
      <c r="BC236" s="124">
        <v>0.21296000000000001</v>
      </c>
      <c r="BD236" s="124">
        <v>5.7320000000000003E-2</v>
      </c>
      <c r="BE236" s="124">
        <v>0.26701999999999998</v>
      </c>
      <c r="BF236" s="124">
        <v>0.24465000000000001</v>
      </c>
      <c r="BG236" s="124">
        <v>0.23113999999999998</v>
      </c>
      <c r="BH236" s="124">
        <v>0.61559000000000008</v>
      </c>
      <c r="BI236" s="124">
        <v>0.72089999999999999</v>
      </c>
      <c r="BJ236" s="124">
        <v>0.25444</v>
      </c>
      <c r="BK236" s="124">
        <v>0.22415000000000002</v>
      </c>
      <c r="BL236" s="124">
        <v>0.21156</v>
      </c>
      <c r="BM236" s="124">
        <v>0.15471000000000001</v>
      </c>
      <c r="BN236" s="118">
        <v>79.989999999999995</v>
      </c>
      <c r="BO236" s="118">
        <v>48.05</v>
      </c>
      <c r="BP236" s="118">
        <v>33</v>
      </c>
      <c r="BQ236" s="118"/>
      <c r="BR236" s="154" t="s">
        <v>85</v>
      </c>
      <c r="BS236" s="154" t="s">
        <v>85</v>
      </c>
      <c r="BT236" s="154">
        <v>2.1800000000000002</v>
      </c>
      <c r="BU236" s="154">
        <v>105</v>
      </c>
      <c r="BV236" s="154" t="s">
        <v>85</v>
      </c>
      <c r="BW236" s="154">
        <v>13.23</v>
      </c>
      <c r="BX236" s="154" t="s">
        <v>85</v>
      </c>
      <c r="BY236" s="154" t="s">
        <v>85</v>
      </c>
      <c r="BZ236" s="154">
        <v>65.09</v>
      </c>
      <c r="CA236" s="154">
        <v>286</v>
      </c>
      <c r="CB236" s="154"/>
      <c r="CC236" s="154" t="s">
        <v>85</v>
      </c>
      <c r="CD236" s="154">
        <v>66.7</v>
      </c>
      <c r="CE236" s="154" t="s">
        <v>85</v>
      </c>
      <c r="CF236" s="154" t="s">
        <v>85</v>
      </c>
      <c r="CG236" s="205" t="s">
        <v>1165</v>
      </c>
    </row>
    <row r="237" spans="1:85" ht="15">
      <c r="A237" s="122">
        <v>35002</v>
      </c>
      <c r="B237" s="122" t="s">
        <v>1004</v>
      </c>
      <c r="C237" s="122" t="s">
        <v>1005</v>
      </c>
      <c r="D237" s="122" t="s">
        <v>1006</v>
      </c>
      <c r="E237" s="122" t="s">
        <v>82</v>
      </c>
      <c r="F237" s="122" t="s">
        <v>1007</v>
      </c>
      <c r="G237" s="163" t="s">
        <v>1008</v>
      </c>
      <c r="H237" s="122">
        <v>13</v>
      </c>
      <c r="I237" s="122" t="s">
        <v>295</v>
      </c>
      <c r="J237" s="118">
        <v>21.75</v>
      </c>
      <c r="K237" s="118">
        <v>92.27</v>
      </c>
      <c r="L237" s="118">
        <v>1.54</v>
      </c>
      <c r="M237" s="118">
        <v>0.27</v>
      </c>
      <c r="N237" s="118">
        <v>3.01</v>
      </c>
      <c r="O237" s="118">
        <v>1.79</v>
      </c>
      <c r="P237" s="118">
        <v>0.05</v>
      </c>
      <c r="Q237" s="118">
        <v>0.09</v>
      </c>
      <c r="R237" s="118">
        <v>0.17</v>
      </c>
      <c r="S237" s="118">
        <v>0.11</v>
      </c>
      <c r="T237" s="118">
        <v>0.08</v>
      </c>
      <c r="U237" s="118">
        <v>30.69</v>
      </c>
      <c r="V237" s="118"/>
      <c r="W237" s="118">
        <v>11.91</v>
      </c>
      <c r="X237" s="118">
        <v>0.1</v>
      </c>
      <c r="Y237" s="118">
        <v>0.01</v>
      </c>
      <c r="Z237" s="118">
        <v>91.08</v>
      </c>
      <c r="AA237" s="118"/>
      <c r="AB237" s="125">
        <f>AA237+1/12*(AD237)+1/24*(AC237)+1/24*(AG237)</f>
        <v>107.08333333333333</v>
      </c>
      <c r="AC237" s="118"/>
      <c r="AD237" s="118">
        <v>1285</v>
      </c>
      <c r="AE237" s="118">
        <v>1858</v>
      </c>
      <c r="AF237" s="118"/>
      <c r="AG237" s="118"/>
      <c r="AH237" s="118">
        <v>5.64</v>
      </c>
      <c r="AI237" s="118">
        <v>56.71</v>
      </c>
      <c r="AJ237" s="118">
        <v>0.14000000000000001</v>
      </c>
      <c r="AK237" s="118">
        <v>2.73</v>
      </c>
      <c r="AL237" s="118">
        <v>43.22</v>
      </c>
      <c r="AM237" s="118">
        <v>0.38</v>
      </c>
      <c r="AN237" s="118">
        <v>44.1</v>
      </c>
      <c r="AO237" s="118">
        <v>279</v>
      </c>
      <c r="AP237" s="118">
        <v>5.56</v>
      </c>
      <c r="AQ237" s="118">
        <v>0.51</v>
      </c>
      <c r="AR237" s="118">
        <v>0.11600000000000001</v>
      </c>
      <c r="AS237" s="118">
        <v>2.2200000000000001E-2</v>
      </c>
      <c r="AT237" s="118">
        <v>0.20799999999999999</v>
      </c>
      <c r="AU237" s="118"/>
      <c r="AV237" s="118">
        <v>1.74</v>
      </c>
      <c r="AW237" s="118">
        <v>3.49</v>
      </c>
      <c r="AX237" s="118">
        <v>6.9</v>
      </c>
      <c r="AY237" s="118">
        <v>5.22</v>
      </c>
      <c r="AZ237" s="118">
        <v>0.95</v>
      </c>
      <c r="BA237" s="118">
        <v>0.87</v>
      </c>
      <c r="BB237" s="118">
        <v>3.61</v>
      </c>
      <c r="BC237" s="118">
        <v>4.5</v>
      </c>
      <c r="BD237" s="118">
        <v>1.23</v>
      </c>
      <c r="BE237" s="118">
        <v>4.95</v>
      </c>
      <c r="BF237" s="118">
        <v>6.51</v>
      </c>
      <c r="BG237" s="118">
        <v>4.7699999999999996</v>
      </c>
      <c r="BH237" s="118">
        <v>11.32</v>
      </c>
      <c r="BI237" s="118">
        <v>16.100000000000001</v>
      </c>
      <c r="BJ237" s="118">
        <v>5.68</v>
      </c>
      <c r="BK237" s="118">
        <v>4.51</v>
      </c>
      <c r="BL237" s="118">
        <v>3.8</v>
      </c>
      <c r="BM237" s="118">
        <v>3</v>
      </c>
      <c r="BN237" s="118">
        <v>19.47</v>
      </c>
      <c r="BO237" s="118">
        <v>42.28</v>
      </c>
      <c r="BP237" s="118">
        <v>364</v>
      </c>
      <c r="BQ237" s="154">
        <v>10.5</v>
      </c>
      <c r="BR237" s="154" t="s">
        <v>85</v>
      </c>
      <c r="BS237" s="154" t="s">
        <v>85</v>
      </c>
      <c r="BT237" s="154">
        <v>8.2200000000000006</v>
      </c>
      <c r="BU237" s="154">
        <v>78.22</v>
      </c>
      <c r="BV237" s="154" t="s">
        <v>85</v>
      </c>
      <c r="BW237" s="154">
        <v>13.16</v>
      </c>
      <c r="BX237" s="154" t="s">
        <v>85</v>
      </c>
      <c r="BY237" s="154" t="s">
        <v>85</v>
      </c>
      <c r="BZ237" s="154">
        <v>74.849999999999994</v>
      </c>
      <c r="CA237" s="154">
        <v>134</v>
      </c>
      <c r="CB237" s="154"/>
      <c r="CC237" s="154" t="s">
        <v>85</v>
      </c>
      <c r="CD237" s="154">
        <v>10.96</v>
      </c>
      <c r="CE237" s="154" t="s">
        <v>85</v>
      </c>
      <c r="CF237" s="154" t="s">
        <v>85</v>
      </c>
      <c r="CG237" s="205">
        <v>1</v>
      </c>
    </row>
    <row r="238" spans="1:85" ht="15">
      <c r="A238" s="122">
        <v>90101</v>
      </c>
      <c r="B238" s="122" t="s">
        <v>1009</v>
      </c>
      <c r="C238" s="122" t="s">
        <v>1010</v>
      </c>
      <c r="D238" s="122"/>
      <c r="E238" s="122" t="s">
        <v>76</v>
      </c>
      <c r="F238" s="122" t="s">
        <v>1463</v>
      </c>
      <c r="G238" s="163" t="s">
        <v>1464</v>
      </c>
      <c r="H238" s="122">
        <v>16</v>
      </c>
      <c r="I238" s="122" t="s">
        <v>1011</v>
      </c>
      <c r="J238" s="118">
        <v>900</v>
      </c>
      <c r="K238" s="118">
        <v>0</v>
      </c>
      <c r="L238" s="118">
        <v>0</v>
      </c>
      <c r="M238" s="118">
        <v>99.97</v>
      </c>
      <c r="N238" s="118">
        <v>0</v>
      </c>
      <c r="O238" s="118">
        <v>0</v>
      </c>
      <c r="P238" s="118">
        <v>0</v>
      </c>
      <c r="Q238" s="118">
        <v>0</v>
      </c>
      <c r="R238" s="118">
        <v>0</v>
      </c>
      <c r="S238" s="118"/>
      <c r="T238" s="118">
        <v>0</v>
      </c>
      <c r="U238" s="118">
        <v>0</v>
      </c>
      <c r="V238" s="118"/>
      <c r="W238" s="118">
        <v>0</v>
      </c>
      <c r="X238" s="118">
        <v>0</v>
      </c>
      <c r="Y238" s="118">
        <v>33.119999999999997</v>
      </c>
      <c r="Z238" s="118"/>
      <c r="AA238" s="118">
        <v>0</v>
      </c>
      <c r="AB238" s="118">
        <v>0</v>
      </c>
      <c r="AC238" s="118">
        <v>0</v>
      </c>
      <c r="AD238" s="118">
        <v>0</v>
      </c>
      <c r="AE238" s="118"/>
      <c r="AF238" s="118"/>
      <c r="AG238" s="118"/>
      <c r="AH238" s="118"/>
      <c r="AI238" s="118">
        <v>0</v>
      </c>
      <c r="AJ238" s="118">
        <v>0</v>
      </c>
      <c r="AK238" s="118">
        <v>0.01</v>
      </c>
      <c r="AL238" s="118">
        <v>0</v>
      </c>
      <c r="AM238" s="118"/>
      <c r="AN238" s="118">
        <v>0</v>
      </c>
      <c r="AO238" s="118">
        <v>0</v>
      </c>
      <c r="AP238" s="118"/>
      <c r="AQ238" s="118">
        <v>0</v>
      </c>
      <c r="AR238" s="118">
        <v>43.5</v>
      </c>
      <c r="AS238" s="118">
        <v>82.64</v>
      </c>
      <c r="AT238" s="118">
        <v>32.03</v>
      </c>
      <c r="AU238" s="118">
        <v>0</v>
      </c>
      <c r="AV238" s="124"/>
      <c r="AW238" s="124"/>
      <c r="AX238" s="124"/>
      <c r="AY238" s="124"/>
      <c r="AZ238" s="124"/>
      <c r="BA238" s="124"/>
      <c r="BB238" s="124"/>
      <c r="BC238" s="124"/>
      <c r="BD238" s="124"/>
      <c r="BE238" s="124"/>
      <c r="BF238" s="124"/>
      <c r="BG238" s="124"/>
      <c r="BH238" s="124"/>
      <c r="BI238" s="124"/>
      <c r="BJ238" s="124"/>
      <c r="BK238" s="124"/>
      <c r="BL238" s="124"/>
      <c r="BM238" s="124"/>
      <c r="BN238" s="118"/>
      <c r="BO238" s="118"/>
      <c r="BP238" s="118"/>
      <c r="BQ238" s="118"/>
      <c r="BR238" s="154" t="s">
        <v>85</v>
      </c>
      <c r="BS238" s="154" t="s">
        <v>85</v>
      </c>
      <c r="BT238" s="154" t="s">
        <v>85</v>
      </c>
      <c r="BU238" s="154">
        <v>39.79</v>
      </c>
      <c r="BV238" s="154">
        <v>0.27</v>
      </c>
      <c r="BW238" s="154">
        <v>43.26</v>
      </c>
      <c r="BX238" s="154" t="s">
        <v>85</v>
      </c>
      <c r="BY238" s="154" t="s">
        <v>85</v>
      </c>
      <c r="BZ238" s="154">
        <v>11.18</v>
      </c>
      <c r="CA238" s="154">
        <v>0.3</v>
      </c>
      <c r="CB238" s="154"/>
      <c r="CC238" s="154" t="s">
        <v>85</v>
      </c>
      <c r="CD238" s="154">
        <v>4.24</v>
      </c>
      <c r="CE238" s="154" t="s">
        <v>85</v>
      </c>
      <c r="CF238" s="154" t="s">
        <v>85</v>
      </c>
      <c r="CG238" s="205" t="s">
        <v>1075</v>
      </c>
    </row>
    <row r="239" spans="1:85">
      <c r="A239" s="122">
        <v>90201</v>
      </c>
      <c r="B239" s="122" t="s">
        <v>1012</v>
      </c>
      <c r="C239" s="122" t="s">
        <v>1013</v>
      </c>
      <c r="D239" s="122"/>
      <c r="E239" s="122" t="s">
        <v>76</v>
      </c>
      <c r="F239" s="122" t="s">
        <v>1465</v>
      </c>
      <c r="G239" s="163" t="s">
        <v>1014</v>
      </c>
      <c r="H239" s="122">
        <v>17</v>
      </c>
      <c r="I239" s="122" t="s">
        <v>124</v>
      </c>
      <c r="J239" s="118">
        <v>900</v>
      </c>
      <c r="K239" s="118">
        <v>0</v>
      </c>
      <c r="L239" s="118">
        <v>0</v>
      </c>
      <c r="M239" s="118">
        <v>100</v>
      </c>
      <c r="N239" s="118">
        <v>0</v>
      </c>
      <c r="O239" s="118">
        <v>0</v>
      </c>
      <c r="P239" s="118">
        <v>0</v>
      </c>
      <c r="Q239" s="118">
        <v>0</v>
      </c>
      <c r="R239" s="118">
        <v>0</v>
      </c>
      <c r="S239" s="118"/>
      <c r="T239" s="118">
        <v>0</v>
      </c>
      <c r="U239" s="118">
        <v>0</v>
      </c>
      <c r="V239" s="118"/>
      <c r="W239" s="118">
        <v>0</v>
      </c>
      <c r="X239" s="118"/>
      <c r="Y239" s="118"/>
      <c r="Z239" s="118"/>
      <c r="AA239" s="118">
        <v>0</v>
      </c>
      <c r="AB239" s="118">
        <v>0</v>
      </c>
      <c r="AC239" s="118"/>
      <c r="AD239" s="118"/>
      <c r="AE239" s="118"/>
      <c r="AF239" s="118"/>
      <c r="AG239" s="118"/>
      <c r="AH239" s="118"/>
      <c r="AI239" s="118">
        <v>0</v>
      </c>
      <c r="AJ239" s="118">
        <v>0</v>
      </c>
      <c r="AK239" s="118">
        <v>0</v>
      </c>
      <c r="AL239" s="118">
        <v>0</v>
      </c>
      <c r="AM239" s="118"/>
      <c r="AN239" s="118">
        <v>0</v>
      </c>
      <c r="AO239" s="118">
        <v>0</v>
      </c>
      <c r="AP239" s="118"/>
      <c r="AQ239" s="118">
        <v>0</v>
      </c>
      <c r="AR239" s="118">
        <v>5.5</v>
      </c>
      <c r="AS239" s="118">
        <v>65.27</v>
      </c>
      <c r="AT239" s="118">
        <v>14.88</v>
      </c>
      <c r="AU239" s="118">
        <v>0</v>
      </c>
      <c r="AV239" s="124"/>
      <c r="AW239" s="124"/>
      <c r="AX239" s="124"/>
      <c r="AY239" s="124"/>
      <c r="AZ239" s="124"/>
      <c r="BA239" s="124"/>
      <c r="BB239" s="124"/>
      <c r="BC239" s="124"/>
      <c r="BD239" s="124"/>
      <c r="BE239" s="124"/>
      <c r="BF239" s="124"/>
      <c r="BG239" s="124"/>
      <c r="BH239" s="124"/>
      <c r="BI239" s="124"/>
      <c r="BJ239" s="124"/>
      <c r="BK239" s="124"/>
      <c r="BL239" s="124"/>
      <c r="BM239" s="124"/>
      <c r="BN239" s="118"/>
      <c r="BO239" s="118"/>
      <c r="BP239" s="118"/>
      <c r="BQ239" s="118"/>
      <c r="BR239" s="205"/>
      <c r="BS239" s="205"/>
      <c r="BT239" s="205"/>
      <c r="BU239" s="205"/>
      <c r="BV239" s="205"/>
      <c r="BW239" s="205"/>
      <c r="BX239" s="205"/>
      <c r="BY239" s="205"/>
      <c r="BZ239" s="205"/>
      <c r="CA239" s="205"/>
      <c r="CB239" s="205"/>
      <c r="CC239" s="205"/>
      <c r="CD239" s="205"/>
      <c r="CE239" s="205"/>
      <c r="CF239" s="205"/>
      <c r="CG239" s="205"/>
    </row>
    <row r="240" spans="1:85" ht="15">
      <c r="A240" s="122">
        <v>90301</v>
      </c>
      <c r="B240" s="122" t="s">
        <v>1015</v>
      </c>
      <c r="C240" s="122" t="s">
        <v>1016</v>
      </c>
      <c r="D240" s="122"/>
      <c r="E240" s="122" t="s">
        <v>76</v>
      </c>
      <c r="F240" s="122" t="s">
        <v>1466</v>
      </c>
      <c r="G240" s="163" t="s">
        <v>1017</v>
      </c>
      <c r="H240" s="122">
        <v>17</v>
      </c>
      <c r="I240" s="122" t="s">
        <v>124</v>
      </c>
      <c r="J240" s="118">
        <v>900</v>
      </c>
      <c r="K240" s="118">
        <v>0</v>
      </c>
      <c r="L240" s="118">
        <v>0</v>
      </c>
      <c r="M240" s="118">
        <v>100</v>
      </c>
      <c r="N240" s="118">
        <v>0</v>
      </c>
      <c r="O240" s="118">
        <v>0</v>
      </c>
      <c r="P240" s="118">
        <v>0</v>
      </c>
      <c r="Q240" s="118">
        <v>0</v>
      </c>
      <c r="R240" s="118">
        <v>0</v>
      </c>
      <c r="S240" s="118"/>
      <c r="T240" s="118">
        <v>0</v>
      </c>
      <c r="U240" s="118">
        <v>0</v>
      </c>
      <c r="V240" s="118"/>
      <c r="W240" s="118">
        <v>0</v>
      </c>
      <c r="X240" s="118">
        <v>0</v>
      </c>
      <c r="Y240" s="118">
        <v>16.059999999999999</v>
      </c>
      <c r="Z240" s="118"/>
      <c r="AA240" s="118">
        <v>0</v>
      </c>
      <c r="AB240" s="118">
        <v>0</v>
      </c>
      <c r="AC240" s="118">
        <v>0</v>
      </c>
      <c r="AD240" s="118">
        <v>0</v>
      </c>
      <c r="AE240" s="118"/>
      <c r="AF240" s="118"/>
      <c r="AG240" s="118"/>
      <c r="AH240" s="118"/>
      <c r="AI240" s="118">
        <v>0</v>
      </c>
      <c r="AJ240" s="118">
        <v>0</v>
      </c>
      <c r="AK240" s="118">
        <v>0.05</v>
      </c>
      <c r="AL240" s="118">
        <v>0</v>
      </c>
      <c r="AM240" s="118"/>
      <c r="AN240" s="118">
        <v>0</v>
      </c>
      <c r="AO240" s="118">
        <v>0</v>
      </c>
      <c r="AP240" s="118"/>
      <c r="AQ240" s="118">
        <v>0.01</v>
      </c>
      <c r="AR240" s="118">
        <v>14.15</v>
      </c>
      <c r="AS240" s="118">
        <v>21.17</v>
      </c>
      <c r="AT240" s="118">
        <v>61.38</v>
      </c>
      <c r="AU240" s="118"/>
      <c r="AV240" s="124"/>
      <c r="AW240" s="124"/>
      <c r="AX240" s="124"/>
      <c r="AY240" s="124"/>
      <c r="AZ240" s="124"/>
      <c r="BA240" s="124"/>
      <c r="BB240" s="124"/>
      <c r="BC240" s="124"/>
      <c r="BD240" s="124"/>
      <c r="BE240" s="124"/>
      <c r="BF240" s="124"/>
      <c r="BG240" s="124"/>
      <c r="BH240" s="124"/>
      <c r="BI240" s="124"/>
      <c r="BJ240" s="124"/>
      <c r="BK240" s="124"/>
      <c r="BL240" s="124"/>
      <c r="BM240" s="124"/>
      <c r="BN240" s="118"/>
      <c r="BO240" s="118"/>
      <c r="BP240" s="118"/>
      <c r="BQ240" s="118"/>
      <c r="BR240" s="154" t="s">
        <v>85</v>
      </c>
      <c r="BS240" s="154" t="s">
        <v>85</v>
      </c>
      <c r="BT240" s="154" t="s">
        <v>85</v>
      </c>
      <c r="BU240" s="154">
        <v>11.51</v>
      </c>
      <c r="BV240" s="154" t="s">
        <v>85</v>
      </c>
      <c r="BW240" s="154">
        <v>24.06</v>
      </c>
      <c r="BX240" s="154" t="s">
        <v>85</v>
      </c>
      <c r="BY240" s="154" t="s">
        <v>85</v>
      </c>
      <c r="BZ240" s="154">
        <v>54.78</v>
      </c>
      <c r="CA240" s="154">
        <v>5.2</v>
      </c>
      <c r="CB240" s="154"/>
      <c r="CC240" s="154" t="s">
        <v>85</v>
      </c>
      <c r="CD240" s="154">
        <v>4.08</v>
      </c>
      <c r="CE240" s="154" t="s">
        <v>85</v>
      </c>
      <c r="CF240" s="154" t="s">
        <v>85</v>
      </c>
      <c r="CG240" s="205"/>
    </row>
    <row r="241" spans="1:85" ht="15">
      <c r="A241" s="122">
        <v>90311</v>
      </c>
      <c r="B241" s="122" t="s">
        <v>1018</v>
      </c>
      <c r="C241" s="122" t="s">
        <v>1019</v>
      </c>
      <c r="D241" s="122"/>
      <c r="E241" s="122" t="s">
        <v>122</v>
      </c>
      <c r="F241" s="122">
        <v>748366</v>
      </c>
      <c r="G241" s="163" t="s">
        <v>1020</v>
      </c>
      <c r="H241" s="122">
        <v>17</v>
      </c>
      <c r="I241" s="122" t="s">
        <v>124</v>
      </c>
      <c r="J241" s="118">
        <v>884</v>
      </c>
      <c r="K241" s="118">
        <v>0</v>
      </c>
      <c r="L241" s="118">
        <v>0</v>
      </c>
      <c r="M241" s="118">
        <v>100</v>
      </c>
      <c r="N241" s="118">
        <v>0</v>
      </c>
      <c r="O241" s="118">
        <v>0</v>
      </c>
      <c r="P241" s="118">
        <v>0</v>
      </c>
      <c r="Q241" s="118">
        <v>0</v>
      </c>
      <c r="R241" s="118">
        <v>0</v>
      </c>
      <c r="S241" s="118">
        <v>0</v>
      </c>
      <c r="T241" s="118">
        <v>0</v>
      </c>
      <c r="U241" s="118">
        <v>0</v>
      </c>
      <c r="V241" s="118">
        <v>0</v>
      </c>
      <c r="W241" s="118">
        <v>0</v>
      </c>
      <c r="X241" s="118">
        <v>0</v>
      </c>
      <c r="Y241" s="118">
        <v>8.18</v>
      </c>
      <c r="Z241" s="118">
        <v>184</v>
      </c>
      <c r="AA241" s="118">
        <v>0</v>
      </c>
      <c r="AB241" s="118">
        <v>0</v>
      </c>
      <c r="AC241" s="118">
        <v>0</v>
      </c>
      <c r="AD241" s="118">
        <v>0</v>
      </c>
      <c r="AE241" s="118">
        <v>0</v>
      </c>
      <c r="AF241" s="118">
        <v>0</v>
      </c>
      <c r="AG241" s="118">
        <v>0</v>
      </c>
      <c r="AH241" s="118">
        <v>0</v>
      </c>
      <c r="AI241" s="118">
        <v>0</v>
      </c>
      <c r="AJ241" s="118">
        <v>0</v>
      </c>
      <c r="AK241" s="118">
        <v>0.05</v>
      </c>
      <c r="AL241" s="118">
        <v>0</v>
      </c>
      <c r="AM241" s="118">
        <v>0</v>
      </c>
      <c r="AN241" s="118">
        <v>0</v>
      </c>
      <c r="AO241" s="118">
        <v>0</v>
      </c>
      <c r="AP241" s="118">
        <v>0</v>
      </c>
      <c r="AQ241" s="118">
        <v>0.01</v>
      </c>
      <c r="AR241" s="118">
        <v>15.6</v>
      </c>
      <c r="AS241" s="118">
        <v>22.8</v>
      </c>
      <c r="AT241" s="118">
        <v>57.7</v>
      </c>
      <c r="AU241" s="118">
        <v>0</v>
      </c>
      <c r="AV241" s="118">
        <v>0</v>
      </c>
      <c r="AW241" s="118">
        <v>0</v>
      </c>
      <c r="AX241" s="118">
        <v>0</v>
      </c>
      <c r="AY241" s="118">
        <v>0</v>
      </c>
      <c r="AZ241" s="118">
        <v>0</v>
      </c>
      <c r="BA241" s="118">
        <v>0</v>
      </c>
      <c r="BB241" s="118">
        <v>0</v>
      </c>
      <c r="BC241" s="118">
        <v>0</v>
      </c>
      <c r="BD241" s="118">
        <v>0</v>
      </c>
      <c r="BE241" s="118">
        <v>0</v>
      </c>
      <c r="BF241" s="118">
        <v>0</v>
      </c>
      <c r="BG241" s="118">
        <v>0</v>
      </c>
      <c r="BH241" s="118">
        <v>0</v>
      </c>
      <c r="BI241" s="118">
        <v>0</v>
      </c>
      <c r="BJ241" s="118">
        <v>0</v>
      </c>
      <c r="BK241" s="118">
        <v>0</v>
      </c>
      <c r="BL241" s="118">
        <v>0</v>
      </c>
      <c r="BM241" s="118">
        <v>0</v>
      </c>
      <c r="BN241" s="118"/>
      <c r="BO241" s="118"/>
      <c r="BP241" s="118"/>
      <c r="BQ241" s="118"/>
      <c r="BR241" s="154" t="s">
        <v>85</v>
      </c>
      <c r="BS241" s="154" t="s">
        <v>85</v>
      </c>
      <c r="BT241" s="154" t="s">
        <v>85</v>
      </c>
      <c r="BU241" s="154">
        <v>11.51</v>
      </c>
      <c r="BV241" s="154" t="s">
        <v>85</v>
      </c>
      <c r="BW241" s="154">
        <v>24.06</v>
      </c>
      <c r="BX241" s="154" t="s">
        <v>85</v>
      </c>
      <c r="BY241" s="154" t="s">
        <v>85</v>
      </c>
      <c r="BZ241" s="154">
        <v>54.78</v>
      </c>
      <c r="CA241" s="154">
        <v>5.2</v>
      </c>
      <c r="CB241" s="154"/>
      <c r="CC241" s="154" t="s">
        <v>85</v>
      </c>
      <c r="CD241" s="154">
        <v>4.08</v>
      </c>
      <c r="CE241" s="154" t="s">
        <v>85</v>
      </c>
      <c r="CF241" s="154" t="s">
        <v>85</v>
      </c>
      <c r="CG241" s="205"/>
    </row>
    <row r="242" spans="1:85" ht="15">
      <c r="A242" s="122">
        <v>73002</v>
      </c>
      <c r="B242" s="122" t="s">
        <v>1023</v>
      </c>
      <c r="C242" s="122" t="s">
        <v>1024</v>
      </c>
      <c r="D242" s="122"/>
      <c r="E242" s="122" t="s">
        <v>1417</v>
      </c>
      <c r="F242" s="122">
        <v>2619700</v>
      </c>
      <c r="G242" s="163" t="s">
        <v>1467</v>
      </c>
      <c r="H242" s="122">
        <v>22</v>
      </c>
      <c r="I242" s="122" t="s">
        <v>971</v>
      </c>
      <c r="J242" s="118">
        <v>62</v>
      </c>
      <c r="K242" s="118"/>
      <c r="L242" s="118">
        <v>0.88</v>
      </c>
      <c r="M242" s="118">
        <v>0</v>
      </c>
      <c r="N242" s="118">
        <v>15</v>
      </c>
      <c r="O242" s="118">
        <v>0.9</v>
      </c>
      <c r="P242" s="118"/>
      <c r="Q242" s="118"/>
      <c r="R242" s="118"/>
      <c r="S242" s="118"/>
      <c r="T242" s="118"/>
      <c r="U242" s="118"/>
      <c r="V242" s="118"/>
      <c r="W242" s="118">
        <v>53.1</v>
      </c>
      <c r="X242" s="118">
        <v>0</v>
      </c>
      <c r="Y242" s="118"/>
      <c r="Z242" s="118"/>
      <c r="AA242" s="118"/>
      <c r="AB242" s="118"/>
      <c r="AC242" s="118"/>
      <c r="AD242" s="118"/>
      <c r="AE242" s="118"/>
      <c r="AF242" s="118"/>
      <c r="AG242" s="118"/>
      <c r="AH242" s="118"/>
      <c r="AI242" s="118">
        <v>0</v>
      </c>
      <c r="AJ242" s="118"/>
      <c r="AK242" s="118">
        <v>0.96</v>
      </c>
      <c r="AL242" s="118"/>
      <c r="AM242" s="118"/>
      <c r="AN242" s="118"/>
      <c r="AO242" s="118">
        <v>62</v>
      </c>
      <c r="AP242" s="118"/>
      <c r="AQ242" s="118"/>
      <c r="AR242" s="118">
        <v>0</v>
      </c>
      <c r="AS242" s="118"/>
      <c r="AT242" s="118"/>
      <c r="AU242" s="118">
        <v>0</v>
      </c>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54">
        <v>2.4</v>
      </c>
      <c r="BR242" s="154">
        <v>0</v>
      </c>
      <c r="BS242" s="154">
        <v>0</v>
      </c>
      <c r="BT242" s="154">
        <v>1</v>
      </c>
      <c r="BU242" s="154">
        <v>19</v>
      </c>
      <c r="BV242" s="154">
        <v>0</v>
      </c>
      <c r="BW242" s="154">
        <v>4</v>
      </c>
      <c r="BX242" s="154">
        <v>0</v>
      </c>
      <c r="BY242" s="154">
        <v>0</v>
      </c>
      <c r="BZ242" s="154">
        <v>27</v>
      </c>
      <c r="CA242" s="154">
        <v>6</v>
      </c>
      <c r="CB242" s="154">
        <v>0</v>
      </c>
      <c r="CC242" s="154">
        <v>0</v>
      </c>
      <c r="CD242" s="154">
        <v>3</v>
      </c>
      <c r="CE242" s="154">
        <v>0</v>
      </c>
      <c r="CF242" s="154">
        <v>0</v>
      </c>
      <c r="CG242" s="205" t="s">
        <v>1075</v>
      </c>
    </row>
    <row r="243" spans="1:85" ht="15">
      <c r="A243" s="122">
        <v>90801</v>
      </c>
      <c r="B243" s="122" t="s">
        <v>1025</v>
      </c>
      <c r="C243" s="122" t="s">
        <v>1026</v>
      </c>
      <c r="D243" s="122" t="s">
        <v>1027</v>
      </c>
      <c r="E243" s="122" t="s">
        <v>76</v>
      </c>
      <c r="F243" s="122" t="s">
        <v>1468</v>
      </c>
      <c r="G243" s="163" t="s">
        <v>1469</v>
      </c>
      <c r="H243" s="122">
        <v>21</v>
      </c>
      <c r="I243" s="122" t="s">
        <v>78</v>
      </c>
      <c r="J243" s="118">
        <v>335</v>
      </c>
      <c r="K243" s="118">
        <v>11.45</v>
      </c>
      <c r="L243" s="118">
        <v>6.94</v>
      </c>
      <c r="M243" s="118">
        <v>8.44</v>
      </c>
      <c r="N243" s="118">
        <v>47.3</v>
      </c>
      <c r="O243" s="118">
        <v>21.1</v>
      </c>
      <c r="P243" s="118">
        <v>0.09</v>
      </c>
      <c r="Q243" s="118">
        <v>0.17</v>
      </c>
      <c r="R243" s="118">
        <v>4.42</v>
      </c>
      <c r="S243" s="118">
        <v>0.13</v>
      </c>
      <c r="T243" s="118">
        <v>1.8</v>
      </c>
      <c r="U243" s="118">
        <v>39</v>
      </c>
      <c r="V243" s="118">
        <v>0</v>
      </c>
      <c r="W243" s="118">
        <v>0</v>
      </c>
      <c r="X243" s="118">
        <v>18</v>
      </c>
      <c r="Y243" s="118">
        <v>3.1</v>
      </c>
      <c r="Z243" s="118">
        <v>12.8</v>
      </c>
      <c r="AA243" s="118">
        <v>0</v>
      </c>
      <c r="AB243" s="118">
        <v>1</v>
      </c>
      <c r="AC243" s="118"/>
      <c r="AD243" s="118">
        <v>55.1</v>
      </c>
      <c r="AE243" s="118">
        <v>99.8</v>
      </c>
      <c r="AF243" s="118"/>
      <c r="AG243" s="118"/>
      <c r="AH243" s="118">
        <v>3.56</v>
      </c>
      <c r="AI243" s="118">
        <v>167.67</v>
      </c>
      <c r="AJ243" s="118">
        <v>0.8</v>
      </c>
      <c r="AK243" s="118">
        <v>33.17</v>
      </c>
      <c r="AL243" s="118">
        <v>191.5</v>
      </c>
      <c r="AM243" s="118">
        <v>8.09</v>
      </c>
      <c r="AN243" s="118">
        <v>279</v>
      </c>
      <c r="AO243" s="118">
        <v>2720</v>
      </c>
      <c r="AP243" s="118">
        <v>6.41</v>
      </c>
      <c r="AQ243" s="118">
        <v>3.78</v>
      </c>
      <c r="AR243" s="118">
        <v>1.63</v>
      </c>
      <c r="AS243" s="118">
        <v>2.35</v>
      </c>
      <c r="AT243" s="118">
        <v>13.87</v>
      </c>
      <c r="AU243" s="118"/>
      <c r="AV243" s="124">
        <v>0.14401</v>
      </c>
      <c r="AW243" s="124">
        <v>0.34776000000000001</v>
      </c>
      <c r="AX243" s="124">
        <v>0.63424999999999998</v>
      </c>
      <c r="AY243" s="124">
        <v>0.28802</v>
      </c>
      <c r="AZ243" s="124">
        <v>8.6559999999999998E-2</v>
      </c>
      <c r="BA243" s="124">
        <v>5.8979999999999998E-2</v>
      </c>
      <c r="BB243" s="124">
        <v>0.4259</v>
      </c>
      <c r="BC243" s="124">
        <v>0.34087000000000001</v>
      </c>
      <c r="BD243" s="124">
        <v>0.15780000000000002</v>
      </c>
      <c r="BE243" s="124">
        <v>0.44505</v>
      </c>
      <c r="BF243" s="124">
        <v>0.28725000000000001</v>
      </c>
      <c r="BG243" s="124">
        <v>0.40981000000000001</v>
      </c>
      <c r="BH243" s="124">
        <v>1.12296</v>
      </c>
      <c r="BI243" s="124">
        <v>1.0295000000000001</v>
      </c>
      <c r="BJ243" s="124">
        <v>0.34699999999999998</v>
      </c>
      <c r="BK243" s="124">
        <v>0.19993</v>
      </c>
      <c r="BL243" s="124">
        <v>0.34164</v>
      </c>
      <c r="BM243" s="124">
        <v>0.23899000000000001</v>
      </c>
      <c r="BN243" s="118">
        <v>988</v>
      </c>
      <c r="BO243" s="118">
        <v>358</v>
      </c>
      <c r="BP243" s="118"/>
      <c r="BQ243" s="118"/>
      <c r="BR243" s="154" t="s">
        <v>85</v>
      </c>
      <c r="BS243" s="154" t="s">
        <v>85</v>
      </c>
      <c r="BT243" s="154" t="s">
        <v>85</v>
      </c>
      <c r="BU243" s="154">
        <v>769</v>
      </c>
      <c r="BV243" s="154" t="s">
        <v>85</v>
      </c>
      <c r="BW243" s="154">
        <v>448</v>
      </c>
      <c r="BX243" s="154" t="s">
        <v>85</v>
      </c>
      <c r="BY243" s="154" t="s">
        <v>85</v>
      </c>
      <c r="BZ243" s="154">
        <v>1563</v>
      </c>
      <c r="CA243" s="154">
        <v>377</v>
      </c>
      <c r="CB243" s="154"/>
      <c r="CC243" s="154" t="s">
        <v>85</v>
      </c>
      <c r="CD243" s="154">
        <v>68.650000000000006</v>
      </c>
      <c r="CE243" s="154" t="s">
        <v>85</v>
      </c>
      <c r="CF243" s="154" t="s">
        <v>85</v>
      </c>
      <c r="CG243" s="205"/>
    </row>
    <row r="244" spans="1:85" ht="15">
      <c r="A244" s="122">
        <v>90401</v>
      </c>
      <c r="B244" s="122" t="s">
        <v>1029</v>
      </c>
      <c r="C244" s="122" t="s">
        <v>1030</v>
      </c>
      <c r="D244" s="122" t="s">
        <v>1031</v>
      </c>
      <c r="E244" s="122" t="s">
        <v>82</v>
      </c>
      <c r="F244" s="122" t="s">
        <v>1032</v>
      </c>
      <c r="G244" s="163" t="s">
        <v>1029</v>
      </c>
      <c r="H244" s="122">
        <v>17</v>
      </c>
      <c r="I244" s="122" t="s">
        <v>124</v>
      </c>
      <c r="J244" s="118">
        <v>884</v>
      </c>
      <c r="K244" s="118">
        <v>0</v>
      </c>
      <c r="L244" s="118">
        <v>0</v>
      </c>
      <c r="M244" s="118">
        <v>100</v>
      </c>
      <c r="N244" s="118">
        <v>0</v>
      </c>
      <c r="O244" s="118">
        <v>0</v>
      </c>
      <c r="P244" s="118">
        <v>0</v>
      </c>
      <c r="Q244" s="118">
        <v>0</v>
      </c>
      <c r="R244" s="118">
        <v>0</v>
      </c>
      <c r="S244" s="118">
        <v>0</v>
      </c>
      <c r="T244" s="118">
        <v>0</v>
      </c>
      <c r="U244" s="118"/>
      <c r="V244" s="118">
        <v>0</v>
      </c>
      <c r="W244" s="118">
        <v>0</v>
      </c>
      <c r="X244" s="120"/>
      <c r="Y244" s="118">
        <v>41.1</v>
      </c>
      <c r="Z244" s="118">
        <v>5.4</v>
      </c>
      <c r="AA244" s="118"/>
      <c r="AB244" s="125">
        <f t="shared" ref="AB244:AB245" si="1">AA244+1/12*(AD244)+1/24*(AC244)+1/24*(AG244)</f>
        <v>0</v>
      </c>
      <c r="AC244" s="118"/>
      <c r="AD244" s="118"/>
      <c r="AE244" s="118"/>
      <c r="AF244" s="118"/>
      <c r="AG244" s="118"/>
      <c r="AH244" s="118"/>
      <c r="AI244" s="118">
        <v>0</v>
      </c>
      <c r="AJ244" s="118">
        <v>0</v>
      </c>
      <c r="AK244" s="118">
        <v>0</v>
      </c>
      <c r="AL244" s="118">
        <v>0</v>
      </c>
      <c r="AM244" s="118"/>
      <c r="AN244" s="118">
        <v>0</v>
      </c>
      <c r="AO244" s="118">
        <v>0</v>
      </c>
      <c r="AP244" s="118"/>
      <c r="AQ244" s="118">
        <v>0</v>
      </c>
      <c r="AR244" s="118">
        <v>10.3</v>
      </c>
      <c r="AS244" s="118">
        <v>19.5</v>
      </c>
      <c r="AT244" s="118">
        <v>65.7</v>
      </c>
      <c r="AU244" s="118">
        <v>0</v>
      </c>
      <c r="AV244" s="118">
        <v>0</v>
      </c>
      <c r="AW244" s="118">
        <v>0</v>
      </c>
      <c r="AX244" s="118">
        <v>0</v>
      </c>
      <c r="AY244" s="118">
        <v>0</v>
      </c>
      <c r="AZ244" s="118">
        <v>0</v>
      </c>
      <c r="BA244" s="118">
        <v>0</v>
      </c>
      <c r="BB244" s="118">
        <v>0</v>
      </c>
      <c r="BC244" s="118">
        <v>0</v>
      </c>
      <c r="BD244" s="118">
        <v>0</v>
      </c>
      <c r="BE244" s="118">
        <v>0</v>
      </c>
      <c r="BF244" s="118">
        <v>0</v>
      </c>
      <c r="BG244" s="118">
        <v>0</v>
      </c>
      <c r="BH244" s="118">
        <v>0</v>
      </c>
      <c r="BI244" s="118">
        <v>0</v>
      </c>
      <c r="BJ244" s="118">
        <v>0</v>
      </c>
      <c r="BK244" s="118">
        <v>0</v>
      </c>
      <c r="BL244" s="118">
        <v>0</v>
      </c>
      <c r="BM244" s="118">
        <v>0</v>
      </c>
      <c r="BN244" s="118"/>
      <c r="BO244" s="118"/>
      <c r="BP244" s="118"/>
      <c r="BQ244" s="154">
        <v>0.2</v>
      </c>
      <c r="BR244" s="154" t="s">
        <v>85</v>
      </c>
      <c r="BS244" s="154" t="s">
        <v>85</v>
      </c>
      <c r="BT244" s="154" t="s">
        <v>85</v>
      </c>
      <c r="BU244" s="154">
        <v>6.43</v>
      </c>
      <c r="BV244" s="154" t="s">
        <v>85</v>
      </c>
      <c r="BW244" s="154">
        <v>25.96</v>
      </c>
      <c r="BX244" s="154" t="s">
        <v>85</v>
      </c>
      <c r="BY244" s="154" t="s">
        <v>85</v>
      </c>
      <c r="BZ244" s="154">
        <v>62.65</v>
      </c>
      <c r="CA244" s="154" t="s">
        <v>85</v>
      </c>
      <c r="CB244" s="154"/>
      <c r="CC244" s="154" t="s">
        <v>85</v>
      </c>
      <c r="CD244" s="154">
        <v>3.69</v>
      </c>
      <c r="CE244" s="154" t="s">
        <v>85</v>
      </c>
      <c r="CF244" s="154" t="s">
        <v>85</v>
      </c>
      <c r="CG244" s="205"/>
    </row>
    <row r="245" spans="1:85" ht="15">
      <c r="A245" s="122">
        <v>90402</v>
      </c>
      <c r="B245" s="122" t="s">
        <v>1033</v>
      </c>
      <c r="C245" s="122" t="s">
        <v>1034</v>
      </c>
      <c r="D245" s="122" t="s">
        <v>148</v>
      </c>
      <c r="E245" s="122" t="s">
        <v>82</v>
      </c>
      <c r="F245" s="122" t="s">
        <v>1035</v>
      </c>
      <c r="G245" s="163" t="s">
        <v>1033</v>
      </c>
      <c r="H245" s="122">
        <v>17</v>
      </c>
      <c r="I245" s="122" t="s">
        <v>124</v>
      </c>
      <c r="J245" s="118">
        <v>884</v>
      </c>
      <c r="K245" s="118">
        <v>0</v>
      </c>
      <c r="L245" s="118">
        <v>0</v>
      </c>
      <c r="M245" s="118">
        <v>100</v>
      </c>
      <c r="N245" s="118">
        <v>0</v>
      </c>
      <c r="O245" s="118">
        <v>0</v>
      </c>
      <c r="P245" s="118">
        <v>0</v>
      </c>
      <c r="Q245" s="118">
        <v>0</v>
      </c>
      <c r="R245" s="118">
        <v>0</v>
      </c>
      <c r="S245" s="118">
        <v>0</v>
      </c>
      <c r="T245" s="118">
        <v>0</v>
      </c>
      <c r="U245" s="118"/>
      <c r="V245" s="118">
        <v>0</v>
      </c>
      <c r="W245" s="118">
        <v>0</v>
      </c>
      <c r="X245" s="120"/>
      <c r="Y245" s="118">
        <v>32.299999999999997</v>
      </c>
      <c r="Z245" s="118">
        <v>24.7</v>
      </c>
      <c r="AA245" s="118"/>
      <c r="AB245" s="125">
        <f t="shared" si="1"/>
        <v>0</v>
      </c>
      <c r="AC245" s="118"/>
      <c r="AD245" s="118"/>
      <c r="AE245" s="118"/>
      <c r="AF245" s="118"/>
      <c r="AG245" s="118"/>
      <c r="AH245" s="118"/>
      <c r="AI245" s="118">
        <v>0</v>
      </c>
      <c r="AJ245" s="118"/>
      <c r="AK245" s="118">
        <v>7.0000000000000007E-2</v>
      </c>
      <c r="AL245" s="118">
        <v>0</v>
      </c>
      <c r="AM245" s="118"/>
      <c r="AN245" s="118">
        <v>0</v>
      </c>
      <c r="AO245" s="118">
        <v>0</v>
      </c>
      <c r="AP245" s="118"/>
      <c r="AQ245" s="118">
        <v>0</v>
      </c>
      <c r="AR245" s="118">
        <v>19.7</v>
      </c>
      <c r="AS245" s="118">
        <v>39.299999999999997</v>
      </c>
      <c r="AT245" s="118">
        <v>35</v>
      </c>
      <c r="AU245" s="118">
        <v>0</v>
      </c>
      <c r="AV245" s="118">
        <v>0</v>
      </c>
      <c r="AW245" s="118">
        <v>0</v>
      </c>
      <c r="AX245" s="118">
        <v>0</v>
      </c>
      <c r="AY245" s="118">
        <v>0</v>
      </c>
      <c r="AZ245" s="118">
        <v>0</v>
      </c>
      <c r="BA245" s="118">
        <v>0</v>
      </c>
      <c r="BB245" s="118">
        <v>0</v>
      </c>
      <c r="BC245" s="118">
        <v>0</v>
      </c>
      <c r="BD245" s="118">
        <v>0</v>
      </c>
      <c r="BE245" s="118">
        <v>0</v>
      </c>
      <c r="BF245" s="118">
        <v>0</v>
      </c>
      <c r="BG245" s="118">
        <v>0</v>
      </c>
      <c r="BH245" s="118">
        <v>0</v>
      </c>
      <c r="BI245" s="118">
        <v>0</v>
      </c>
      <c r="BJ245" s="118">
        <v>0</v>
      </c>
      <c r="BK245" s="118">
        <v>0</v>
      </c>
      <c r="BL245" s="118">
        <v>0</v>
      </c>
      <c r="BM245" s="118">
        <v>0</v>
      </c>
      <c r="BN245" s="118"/>
      <c r="BO245" s="118"/>
      <c r="BP245" s="118"/>
      <c r="BQ245" s="118"/>
      <c r="BR245" s="154" t="s">
        <v>85</v>
      </c>
      <c r="BS245" s="154" t="s">
        <v>85</v>
      </c>
      <c r="BT245" s="154">
        <v>0.28999999999999998</v>
      </c>
      <c r="BU245" s="154">
        <v>19.510000000000002</v>
      </c>
      <c r="BV245" s="154">
        <v>0.28000000000000003</v>
      </c>
      <c r="BW245" s="154">
        <v>43.84</v>
      </c>
      <c r="BX245" s="154" t="s">
        <v>85</v>
      </c>
      <c r="BY245" s="154" t="s">
        <v>85</v>
      </c>
      <c r="BZ245" s="154">
        <v>31.56</v>
      </c>
      <c r="CA245" s="154">
        <v>0.56000000000000005</v>
      </c>
      <c r="CB245" s="154"/>
      <c r="CC245" s="154" t="s">
        <v>85</v>
      </c>
      <c r="CD245" s="154">
        <v>2.0299999999999998</v>
      </c>
      <c r="CE245" s="154" t="s">
        <v>85</v>
      </c>
      <c r="CF245" s="154" t="s">
        <v>85</v>
      </c>
      <c r="CG245" s="205"/>
    </row>
    <row r="246" spans="1:85" ht="15">
      <c r="A246" s="122">
        <v>90403</v>
      </c>
      <c r="B246" s="122" t="s">
        <v>1036</v>
      </c>
      <c r="C246" s="122" t="s">
        <v>1037</v>
      </c>
      <c r="D246" s="122" t="s">
        <v>502</v>
      </c>
      <c r="E246" s="122" t="s">
        <v>76</v>
      </c>
      <c r="F246" s="122" t="s">
        <v>1470</v>
      </c>
      <c r="G246" s="163" t="s">
        <v>1471</v>
      </c>
      <c r="H246" s="122">
        <v>17</v>
      </c>
      <c r="I246" s="122" t="s">
        <v>124</v>
      </c>
      <c r="J246" s="118">
        <v>900</v>
      </c>
      <c r="K246" s="118">
        <v>0</v>
      </c>
      <c r="L246" s="118">
        <v>0</v>
      </c>
      <c r="M246" s="118">
        <v>100</v>
      </c>
      <c r="N246" s="118">
        <v>0</v>
      </c>
      <c r="O246" s="118">
        <v>0</v>
      </c>
      <c r="P246" s="118">
        <v>0</v>
      </c>
      <c r="Q246" s="118">
        <v>0</v>
      </c>
      <c r="R246" s="118">
        <v>0</v>
      </c>
      <c r="S246" s="118"/>
      <c r="T246" s="118">
        <v>0</v>
      </c>
      <c r="U246" s="118">
        <v>0</v>
      </c>
      <c r="V246" s="118">
        <v>0</v>
      </c>
      <c r="W246" s="118">
        <v>0</v>
      </c>
      <c r="X246" s="118">
        <v>0</v>
      </c>
      <c r="Y246" s="118">
        <v>1.4</v>
      </c>
      <c r="Z246" s="118"/>
      <c r="AA246" s="118">
        <v>0</v>
      </c>
      <c r="AB246" s="118">
        <v>0</v>
      </c>
      <c r="AC246" s="118">
        <v>0</v>
      </c>
      <c r="AD246" s="118">
        <v>0</v>
      </c>
      <c r="AE246" s="118"/>
      <c r="AF246" s="118"/>
      <c r="AG246" s="118"/>
      <c r="AH246" s="118"/>
      <c r="AI246" s="118">
        <v>0</v>
      </c>
      <c r="AJ246" s="118">
        <v>0</v>
      </c>
      <c r="AK246" s="118">
        <v>0</v>
      </c>
      <c r="AL246" s="118">
        <v>0</v>
      </c>
      <c r="AM246" s="118"/>
      <c r="AN246" s="118">
        <v>0</v>
      </c>
      <c r="AO246" s="118">
        <v>0</v>
      </c>
      <c r="AP246" s="118"/>
      <c r="AQ246" s="118">
        <v>0</v>
      </c>
      <c r="AR246" s="118">
        <v>15.76</v>
      </c>
      <c r="AS246" s="118">
        <v>81.75</v>
      </c>
      <c r="AT246" s="118">
        <v>61.38</v>
      </c>
      <c r="AU246" s="118">
        <v>0</v>
      </c>
      <c r="AV246" s="124"/>
      <c r="AW246" s="124"/>
      <c r="AX246" s="124"/>
      <c r="AY246" s="124"/>
      <c r="AZ246" s="124"/>
      <c r="BA246" s="124"/>
      <c r="BB246" s="124"/>
      <c r="BC246" s="124"/>
      <c r="BD246" s="124"/>
      <c r="BE246" s="124"/>
      <c r="BF246" s="124"/>
      <c r="BG246" s="124"/>
      <c r="BH246" s="124"/>
      <c r="BI246" s="124"/>
      <c r="BJ246" s="124"/>
      <c r="BK246" s="124"/>
      <c r="BL246" s="124"/>
      <c r="BM246" s="124"/>
      <c r="BN246" s="118"/>
      <c r="BO246" s="118"/>
      <c r="BP246" s="118"/>
      <c r="BQ246" s="154">
        <v>0.2</v>
      </c>
      <c r="BR246" s="154">
        <v>0</v>
      </c>
      <c r="BS246" s="154">
        <v>0</v>
      </c>
      <c r="BT246" s="154">
        <v>0</v>
      </c>
      <c r="BU246" s="154">
        <v>8900</v>
      </c>
      <c r="BV246" s="154">
        <v>200</v>
      </c>
      <c r="BW246" s="154">
        <v>39300</v>
      </c>
      <c r="BX246" s="154">
        <v>200</v>
      </c>
      <c r="BY246" s="154">
        <v>0</v>
      </c>
      <c r="BZ246" s="154">
        <v>41300</v>
      </c>
      <c r="CA246" s="154">
        <v>300</v>
      </c>
      <c r="CB246" s="154">
        <v>0</v>
      </c>
      <c r="CC246" s="154">
        <v>0</v>
      </c>
      <c r="CD246" s="154">
        <v>4800</v>
      </c>
      <c r="CE246" s="154">
        <v>0</v>
      </c>
      <c r="CF246" s="154">
        <v>0</v>
      </c>
      <c r="CG246" s="205" t="s">
        <v>1075</v>
      </c>
    </row>
    <row r="247" spans="1:85" ht="15">
      <c r="A247" s="122">
        <v>90405</v>
      </c>
      <c r="B247" s="122" t="s">
        <v>1038</v>
      </c>
      <c r="C247" s="122" t="s">
        <v>1039</v>
      </c>
      <c r="D247" s="122" t="s">
        <v>1040</v>
      </c>
      <c r="E247" s="122" t="s">
        <v>103</v>
      </c>
      <c r="F247" s="122" t="s">
        <v>1472</v>
      </c>
      <c r="G247" s="163" t="s">
        <v>1473</v>
      </c>
      <c r="H247" s="122">
        <v>17</v>
      </c>
      <c r="I247" s="122" t="s">
        <v>124</v>
      </c>
      <c r="J247" s="118">
        <v>884</v>
      </c>
      <c r="K247" s="118">
        <v>0</v>
      </c>
      <c r="L247" s="118">
        <v>0</v>
      </c>
      <c r="M247" s="118">
        <v>100</v>
      </c>
      <c r="N247" s="118">
        <v>0</v>
      </c>
      <c r="O247" s="118">
        <v>0</v>
      </c>
      <c r="P247" s="118">
        <v>0</v>
      </c>
      <c r="Q247" s="118">
        <v>0</v>
      </c>
      <c r="R247" s="118">
        <v>0</v>
      </c>
      <c r="S247" s="118">
        <v>0</v>
      </c>
      <c r="T247" s="118">
        <v>0</v>
      </c>
      <c r="U247" s="118">
        <v>0</v>
      </c>
      <c r="V247" s="118">
        <v>0</v>
      </c>
      <c r="W247" s="118">
        <v>0</v>
      </c>
      <c r="X247" s="118">
        <v>0</v>
      </c>
      <c r="Y247" s="118">
        <v>14.4</v>
      </c>
      <c r="Z247" s="118">
        <v>60.2</v>
      </c>
      <c r="AA247" s="118">
        <v>0</v>
      </c>
      <c r="AB247" s="118">
        <v>0</v>
      </c>
      <c r="AC247" s="118">
        <v>0</v>
      </c>
      <c r="AD247" s="118">
        <v>0</v>
      </c>
      <c r="AE247" s="118">
        <v>0</v>
      </c>
      <c r="AF247" s="118">
        <v>0</v>
      </c>
      <c r="AG247" s="118">
        <v>0</v>
      </c>
      <c r="AH247" s="118">
        <v>0</v>
      </c>
      <c r="AI247" s="118">
        <v>1</v>
      </c>
      <c r="AJ247" s="118">
        <v>0</v>
      </c>
      <c r="AK247" s="118">
        <v>0.56000000000000005</v>
      </c>
      <c r="AL247" s="118">
        <v>0</v>
      </c>
      <c r="AM247" s="118">
        <v>0</v>
      </c>
      <c r="AN247" s="118">
        <v>0</v>
      </c>
      <c r="AO247" s="118">
        <v>1</v>
      </c>
      <c r="AP247" s="118">
        <v>0</v>
      </c>
      <c r="AQ247" s="118">
        <v>0</v>
      </c>
      <c r="AR247" s="118">
        <v>13.8</v>
      </c>
      <c r="AS247" s="118">
        <v>73</v>
      </c>
      <c r="AT247" s="118">
        <v>10.5</v>
      </c>
      <c r="AU247" s="118">
        <v>0</v>
      </c>
      <c r="AV247" s="118">
        <v>0</v>
      </c>
      <c r="AW247" s="118">
        <v>0</v>
      </c>
      <c r="AX247" s="118">
        <v>0</v>
      </c>
      <c r="AY247" s="118">
        <v>0</v>
      </c>
      <c r="AZ247" s="118">
        <v>0</v>
      </c>
      <c r="BA247" s="118">
        <v>0</v>
      </c>
      <c r="BB247" s="118">
        <v>0</v>
      </c>
      <c r="BC247" s="118">
        <v>0</v>
      </c>
      <c r="BD247" s="118">
        <v>0</v>
      </c>
      <c r="BE247" s="118">
        <v>0</v>
      </c>
      <c r="BF247" s="118">
        <v>0</v>
      </c>
      <c r="BG247" s="118">
        <v>0</v>
      </c>
      <c r="BH247" s="118">
        <v>0</v>
      </c>
      <c r="BI247" s="118">
        <v>0</v>
      </c>
      <c r="BJ247" s="118">
        <v>0</v>
      </c>
      <c r="BK247" s="118">
        <v>0</v>
      </c>
      <c r="BL247" s="118">
        <v>0</v>
      </c>
      <c r="BM247" s="118">
        <v>0</v>
      </c>
      <c r="BN247" s="118"/>
      <c r="BO247" s="118"/>
      <c r="BP247" s="118"/>
      <c r="BQ247" s="118">
        <v>0.3</v>
      </c>
      <c r="BR247" s="154">
        <v>1</v>
      </c>
      <c r="BS247" s="154">
        <v>1</v>
      </c>
      <c r="BT247" s="154">
        <v>13</v>
      </c>
      <c r="BU247" s="154">
        <v>12190</v>
      </c>
      <c r="BV247" s="154">
        <v>1072</v>
      </c>
      <c r="BW247" s="154">
        <v>66990</v>
      </c>
      <c r="BX247" s="154">
        <v>284</v>
      </c>
      <c r="BY247" s="154">
        <v>1</v>
      </c>
      <c r="BZ247" s="154">
        <v>8817</v>
      </c>
      <c r="CA247" s="154">
        <v>638</v>
      </c>
      <c r="CB247" s="154">
        <v>0</v>
      </c>
      <c r="CC247" s="154">
        <v>13</v>
      </c>
      <c r="CD247" s="154">
        <v>2617</v>
      </c>
      <c r="CE247" s="154">
        <v>0</v>
      </c>
      <c r="CF247" s="154">
        <v>0</v>
      </c>
      <c r="CG247" s="205" t="s">
        <v>1075</v>
      </c>
    </row>
    <row r="248" spans="1:85" ht="15">
      <c r="A248" s="122">
        <v>90601</v>
      </c>
      <c r="B248" s="122" t="s">
        <v>1042</v>
      </c>
      <c r="C248" s="122" t="s">
        <v>1043</v>
      </c>
      <c r="D248" s="122"/>
      <c r="E248" s="122" t="s">
        <v>76</v>
      </c>
      <c r="F248" s="122">
        <v>130005</v>
      </c>
      <c r="G248" s="163" t="s">
        <v>1044</v>
      </c>
      <c r="H248" s="122">
        <v>17</v>
      </c>
      <c r="I248" s="122" t="s">
        <v>124</v>
      </c>
      <c r="J248" s="118">
        <v>900</v>
      </c>
      <c r="K248" s="118">
        <v>0</v>
      </c>
      <c r="L248" s="118">
        <v>0</v>
      </c>
      <c r="M248" s="118">
        <v>100</v>
      </c>
      <c r="N248" s="118">
        <v>0</v>
      </c>
      <c r="O248" s="118">
        <v>0</v>
      </c>
      <c r="P248" s="118">
        <v>0</v>
      </c>
      <c r="Q248" s="118">
        <v>0</v>
      </c>
      <c r="R248" s="118"/>
      <c r="S248" s="118"/>
      <c r="T248" s="118"/>
      <c r="U248" s="118">
        <v>0</v>
      </c>
      <c r="V248" s="118">
        <v>0</v>
      </c>
      <c r="W248" s="118">
        <v>0</v>
      </c>
      <c r="X248" s="118">
        <v>0</v>
      </c>
      <c r="Y248" s="118">
        <v>10.27</v>
      </c>
      <c r="Z248" s="118"/>
      <c r="AA248" s="118">
        <v>0</v>
      </c>
      <c r="AB248" s="118">
        <v>0</v>
      </c>
      <c r="AC248" s="118"/>
      <c r="AD248" s="118"/>
      <c r="AE248" s="118"/>
      <c r="AF248" s="118"/>
      <c r="AG248" s="118"/>
      <c r="AH248" s="118"/>
      <c r="AI248" s="118">
        <v>2.17</v>
      </c>
      <c r="AJ248" s="118">
        <v>0.01</v>
      </c>
      <c r="AK248" s="118">
        <v>0.19</v>
      </c>
      <c r="AL248" s="118"/>
      <c r="AM248" s="118"/>
      <c r="AN248" s="118"/>
      <c r="AO248" s="118">
        <v>0.75</v>
      </c>
      <c r="AP248" s="118"/>
      <c r="AQ248" s="118">
        <v>0.04</v>
      </c>
      <c r="AR248" s="118">
        <v>57.5</v>
      </c>
      <c r="AS248" s="118">
        <v>37.44</v>
      </c>
      <c r="AT248" s="118">
        <v>5.6</v>
      </c>
      <c r="AU248" s="118"/>
      <c r="AV248" s="124"/>
      <c r="AW248" s="124"/>
      <c r="AX248" s="124"/>
      <c r="AY248" s="124"/>
      <c r="AZ248" s="124"/>
      <c r="BA248" s="124"/>
      <c r="BB248" s="124"/>
      <c r="BC248" s="124"/>
      <c r="BD248" s="124"/>
      <c r="BE248" s="124"/>
      <c r="BF248" s="124"/>
      <c r="BG248" s="124"/>
      <c r="BH248" s="124"/>
      <c r="BI248" s="124"/>
      <c r="BJ248" s="124"/>
      <c r="BK248" s="124"/>
      <c r="BL248" s="124"/>
      <c r="BM248" s="124"/>
      <c r="BN248" s="118"/>
      <c r="BO248" s="118"/>
      <c r="BP248" s="118"/>
      <c r="BQ248" s="118">
        <v>22.3</v>
      </c>
      <c r="BR248" s="154">
        <v>1.87</v>
      </c>
      <c r="BS248" s="154">
        <v>2.81</v>
      </c>
      <c r="BT248" s="154">
        <v>11.81</v>
      </c>
      <c r="BU248" s="154">
        <v>39.130000000000003</v>
      </c>
      <c r="BV248" s="154">
        <v>1.86</v>
      </c>
      <c r="BW248" s="154">
        <v>23.19</v>
      </c>
      <c r="BX248" s="154" t="s">
        <v>85</v>
      </c>
      <c r="BY248" s="154" t="s">
        <v>85</v>
      </c>
      <c r="BZ248" s="154">
        <v>2</v>
      </c>
      <c r="CA248" s="154">
        <v>0.55000000000000004</v>
      </c>
      <c r="CB248" s="154"/>
      <c r="CC248" s="154" t="s">
        <v>85</v>
      </c>
      <c r="CD248" s="154">
        <v>13.89</v>
      </c>
      <c r="CE248" s="154" t="s">
        <v>85</v>
      </c>
      <c r="CF248" s="154" t="s">
        <v>85</v>
      </c>
      <c r="CG248" s="205" t="s">
        <v>1075</v>
      </c>
    </row>
    <row r="249" spans="1:85" ht="15">
      <c r="A249" s="122">
        <v>90602</v>
      </c>
      <c r="B249" s="122" t="s">
        <v>1045</v>
      </c>
      <c r="C249" s="122" t="s">
        <v>1046</v>
      </c>
      <c r="D249" s="122"/>
      <c r="E249" s="122" t="s">
        <v>76</v>
      </c>
      <c r="F249" s="122" t="s">
        <v>1474</v>
      </c>
      <c r="G249" s="163" t="s">
        <v>1047</v>
      </c>
      <c r="H249" s="122">
        <v>17</v>
      </c>
      <c r="I249" s="122" t="s">
        <v>124</v>
      </c>
      <c r="J249" s="118">
        <v>898</v>
      </c>
      <c r="K249" s="118">
        <v>0.1</v>
      </c>
      <c r="L249" s="118">
        <v>0</v>
      </c>
      <c r="M249" s="118">
        <v>99.8</v>
      </c>
      <c r="N249" s="118">
        <v>0</v>
      </c>
      <c r="O249" s="118">
        <v>0</v>
      </c>
      <c r="P249" s="118">
        <v>0</v>
      </c>
      <c r="Q249" s="118"/>
      <c r="R249" s="118"/>
      <c r="S249" s="118"/>
      <c r="T249" s="118"/>
      <c r="U249" s="118">
        <v>0</v>
      </c>
      <c r="V249" s="118"/>
      <c r="W249" s="118">
        <v>0</v>
      </c>
      <c r="X249" s="118">
        <v>1.9</v>
      </c>
      <c r="Y249" s="118">
        <v>3.31</v>
      </c>
      <c r="Z249" s="118"/>
      <c r="AA249" s="118">
        <v>600</v>
      </c>
      <c r="AB249" s="118">
        <v>641.66999999999996</v>
      </c>
      <c r="AC249" s="118"/>
      <c r="AD249" s="118"/>
      <c r="AE249" s="118"/>
      <c r="AF249" s="118"/>
      <c r="AG249" s="118"/>
      <c r="AH249" s="118"/>
      <c r="AI249" s="118">
        <v>1</v>
      </c>
      <c r="AJ249" s="118">
        <v>0.01</v>
      </c>
      <c r="AK249" s="118">
        <v>0.2</v>
      </c>
      <c r="AL249" s="118"/>
      <c r="AM249" s="118"/>
      <c r="AN249" s="118"/>
      <c r="AO249" s="118">
        <v>0.95</v>
      </c>
      <c r="AP249" s="118"/>
      <c r="AQ249" s="118">
        <v>0.01</v>
      </c>
      <c r="AR249" s="118">
        <v>38</v>
      </c>
      <c r="AS249" s="118">
        <v>36.74</v>
      </c>
      <c r="AT249" s="118">
        <v>5.6</v>
      </c>
      <c r="AU249" s="118"/>
      <c r="AV249" s="124"/>
      <c r="AW249" s="124"/>
      <c r="AX249" s="124"/>
      <c r="AY249" s="124"/>
      <c r="AZ249" s="124"/>
      <c r="BA249" s="124"/>
      <c r="BB249" s="124"/>
      <c r="BC249" s="124"/>
      <c r="BD249" s="124"/>
      <c r="BE249" s="124"/>
      <c r="BF249" s="124"/>
      <c r="BG249" s="124"/>
      <c r="BH249" s="124"/>
      <c r="BI249" s="124"/>
      <c r="BJ249" s="124"/>
      <c r="BK249" s="124"/>
      <c r="BL249" s="124"/>
      <c r="BM249" s="124"/>
      <c r="BN249" s="118"/>
      <c r="BO249" s="118"/>
      <c r="BP249" s="118"/>
      <c r="BQ249" s="118">
        <v>22.3</v>
      </c>
      <c r="BR249" s="154">
        <v>1.87</v>
      </c>
      <c r="BS249" s="154">
        <v>2.81</v>
      </c>
      <c r="BT249" s="154">
        <v>11.81</v>
      </c>
      <c r="BU249" s="154">
        <v>39.130000000000003</v>
      </c>
      <c r="BV249" s="154">
        <v>1.86</v>
      </c>
      <c r="BW249" s="154">
        <v>23.19</v>
      </c>
      <c r="BX249" s="154" t="s">
        <v>85</v>
      </c>
      <c r="BY249" s="154" t="s">
        <v>85</v>
      </c>
      <c r="BZ249" s="154">
        <v>2</v>
      </c>
      <c r="CA249" s="154">
        <v>0.55000000000000004</v>
      </c>
      <c r="CB249" s="154"/>
      <c r="CC249" s="154" t="s">
        <v>85</v>
      </c>
      <c r="CD249" s="154">
        <v>13.89</v>
      </c>
      <c r="CE249" s="154" t="s">
        <v>85</v>
      </c>
      <c r="CF249" s="154" t="s">
        <v>85</v>
      </c>
      <c r="CG249" s="205">
        <v>44</v>
      </c>
    </row>
    <row r="250" spans="1:85">
      <c r="A250" s="122">
        <v>90820</v>
      </c>
      <c r="B250" s="122" t="s">
        <v>1048</v>
      </c>
      <c r="C250" s="122" t="s">
        <v>1049</v>
      </c>
      <c r="D250" s="122"/>
      <c r="E250" s="122" t="s">
        <v>1417</v>
      </c>
      <c r="F250" s="122">
        <v>2088357</v>
      </c>
      <c r="G250" s="163" t="s">
        <v>1475</v>
      </c>
      <c r="H250" s="122">
        <v>21</v>
      </c>
      <c r="I250" s="122" t="s">
        <v>78</v>
      </c>
      <c r="J250" s="118">
        <v>0</v>
      </c>
      <c r="K250" s="118"/>
      <c r="L250" s="118">
        <v>0</v>
      </c>
      <c r="M250" s="118">
        <v>0</v>
      </c>
      <c r="N250" s="118">
        <v>20</v>
      </c>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c r="BA250" s="118"/>
      <c r="BB250" s="118"/>
      <c r="BC250" s="118"/>
      <c r="BD250" s="118"/>
      <c r="BE250" s="118"/>
      <c r="BF250" s="118"/>
      <c r="BG250" s="118"/>
      <c r="BH250" s="118"/>
      <c r="BI250" s="118"/>
      <c r="BJ250" s="118"/>
      <c r="BK250" s="118"/>
      <c r="BL250" s="118"/>
      <c r="BM250" s="118"/>
      <c r="BN250" s="118"/>
      <c r="BO250" s="118"/>
      <c r="BP250" s="118"/>
      <c r="BQ250" s="118"/>
      <c r="BR250" s="205"/>
      <c r="BS250" s="205"/>
      <c r="BT250" s="205"/>
      <c r="BU250" s="205"/>
      <c r="BV250" s="205"/>
      <c r="BW250" s="205"/>
      <c r="BX250" s="205"/>
      <c r="BY250" s="205"/>
      <c r="BZ250" s="205"/>
      <c r="CA250" s="205"/>
      <c r="CB250" s="205"/>
      <c r="CC250" s="205"/>
      <c r="CD250" s="205"/>
      <c r="CE250" s="205"/>
      <c r="CF250" s="205"/>
      <c r="CG250" s="205"/>
    </row>
    <row r="251" spans="1:85">
      <c r="A251" s="122">
        <v>62204</v>
      </c>
      <c r="B251" s="122" t="s">
        <v>1050</v>
      </c>
      <c r="C251" s="122" t="s">
        <v>1051</v>
      </c>
      <c r="D251" s="122"/>
      <c r="E251" s="122" t="s">
        <v>1417</v>
      </c>
      <c r="F251" s="122" t="s">
        <v>1476</v>
      </c>
      <c r="G251" s="163" t="s">
        <v>1477</v>
      </c>
      <c r="H251" s="122">
        <v>22</v>
      </c>
      <c r="I251" s="122" t="s">
        <v>971</v>
      </c>
      <c r="J251" s="118">
        <v>443</v>
      </c>
      <c r="K251" s="118"/>
      <c r="L251" s="118">
        <v>8.57</v>
      </c>
      <c r="M251" s="118">
        <v>18.600000000000001</v>
      </c>
      <c r="N251" s="118">
        <v>61.4</v>
      </c>
      <c r="O251" s="118">
        <v>2.9</v>
      </c>
      <c r="P251" s="118"/>
      <c r="Q251" s="118"/>
      <c r="R251" s="118"/>
      <c r="S251" s="118"/>
      <c r="T251" s="118"/>
      <c r="U251" s="118"/>
      <c r="V251" s="118"/>
      <c r="W251" s="118"/>
      <c r="X251" s="118">
        <v>0</v>
      </c>
      <c r="Y251" s="118"/>
      <c r="Z251" s="118"/>
      <c r="AA251" s="118"/>
      <c r="AB251" s="118"/>
      <c r="AC251" s="118"/>
      <c r="AD251" s="118"/>
      <c r="AE251" s="118"/>
      <c r="AF251" s="118"/>
      <c r="AG251" s="118"/>
      <c r="AH251" s="118"/>
      <c r="AI251" s="118">
        <v>0</v>
      </c>
      <c r="AJ251" s="118"/>
      <c r="AK251" s="118">
        <v>0</v>
      </c>
      <c r="AL251" s="118"/>
      <c r="AM251" s="118"/>
      <c r="AN251" s="118"/>
      <c r="AO251" s="118">
        <v>129</v>
      </c>
      <c r="AP251" s="118"/>
      <c r="AQ251" s="118"/>
      <c r="AR251" s="118">
        <v>10</v>
      </c>
      <c r="AS251" s="118"/>
      <c r="AT251" s="118"/>
      <c r="AU251" s="118">
        <v>0</v>
      </c>
      <c r="AV251" s="118"/>
      <c r="AW251" s="118"/>
      <c r="AX251" s="118"/>
      <c r="AY251" s="118"/>
      <c r="AZ251" s="118"/>
      <c r="BA251" s="118"/>
      <c r="BB251" s="118"/>
      <c r="BC251" s="118"/>
      <c r="BD251" s="118"/>
      <c r="BE251" s="118"/>
      <c r="BF251" s="118"/>
      <c r="BG251" s="118"/>
      <c r="BH251" s="118"/>
      <c r="BI251" s="118"/>
      <c r="BJ251" s="118"/>
      <c r="BK251" s="118"/>
      <c r="BL251" s="118"/>
      <c r="BM251" s="118"/>
      <c r="BN251" s="118"/>
      <c r="BO251" s="118"/>
      <c r="BP251" s="118"/>
      <c r="BQ251" s="118"/>
      <c r="BR251" s="205"/>
      <c r="BS251" s="205"/>
      <c r="BT251" s="205"/>
      <c r="BU251" s="205"/>
      <c r="BV251" s="205"/>
      <c r="BW251" s="205"/>
      <c r="BX251" s="205"/>
      <c r="BY251" s="205"/>
      <c r="BZ251" s="205"/>
      <c r="CA251" s="205"/>
      <c r="CB251" s="205"/>
      <c r="CC251" s="205"/>
      <c r="CD251" s="205"/>
      <c r="CE251" s="205"/>
      <c r="CF251" s="205"/>
      <c r="CG251" s="205"/>
    </row>
    <row r="252" spans="1:85">
      <c r="A252" s="122">
        <v>90821</v>
      </c>
      <c r="B252" s="122" t="s">
        <v>1478</v>
      </c>
      <c r="C252" s="122"/>
      <c r="D252" s="122"/>
      <c r="E252" s="212" t="s">
        <v>1479</v>
      </c>
      <c r="F252" s="122" t="s">
        <v>1480</v>
      </c>
      <c r="G252" s="163" t="s">
        <v>1481</v>
      </c>
      <c r="H252" s="122">
        <v>21</v>
      </c>
      <c r="I252" s="122" t="s">
        <v>78</v>
      </c>
      <c r="J252" s="125">
        <v>392.4</v>
      </c>
      <c r="K252" s="125">
        <v>9.36</v>
      </c>
      <c r="L252" s="125">
        <v>15.569999999999999</v>
      </c>
      <c r="M252" s="125">
        <v>18.224</v>
      </c>
      <c r="N252" s="125">
        <v>30.315999999999995</v>
      </c>
      <c r="O252" s="125">
        <v>23.996000000000002</v>
      </c>
      <c r="P252" s="125">
        <v>0.49249999999999994</v>
      </c>
      <c r="Q252" s="125">
        <v>0.32500000000000001</v>
      </c>
      <c r="R252" s="125">
        <v>4.2750000000000004</v>
      </c>
      <c r="S252" s="125">
        <v>0.32333333333333331</v>
      </c>
      <c r="T252" s="125">
        <v>0.47250000000000003</v>
      </c>
      <c r="U252" s="125">
        <v>76.826666666666668</v>
      </c>
      <c r="V252" s="125">
        <v>0</v>
      </c>
      <c r="W252" s="125">
        <v>2.5666666666666669</v>
      </c>
      <c r="X252" s="125">
        <v>8.6479999999999997</v>
      </c>
      <c r="Y252" s="125">
        <v>4.2</v>
      </c>
      <c r="Z252" s="125">
        <v>51.9</v>
      </c>
      <c r="AA252" s="125">
        <v>0</v>
      </c>
      <c r="AB252" s="125">
        <v>20.07</v>
      </c>
      <c r="AC252" s="125">
        <v>0</v>
      </c>
      <c r="AD252" s="125">
        <v>263.46333333333331</v>
      </c>
      <c r="AE252" s="125">
        <v>253.55666666666664</v>
      </c>
      <c r="AF252" s="125"/>
      <c r="AG252" s="125"/>
      <c r="AH252" s="125">
        <v>83.606666666666669</v>
      </c>
      <c r="AI252" s="125">
        <v>726.452</v>
      </c>
      <c r="AJ252" s="125">
        <v>1.0275000000000001</v>
      </c>
      <c r="AK252" s="125">
        <v>22.042000000000002</v>
      </c>
      <c r="AL252" s="125">
        <v>332.24400000000003</v>
      </c>
      <c r="AM252" s="125">
        <v>3.3466666666666671</v>
      </c>
      <c r="AN252" s="125">
        <v>529.77750000000003</v>
      </c>
      <c r="AO252" s="125">
        <v>1230.568</v>
      </c>
      <c r="AP252" s="125">
        <v>28.486666666666665</v>
      </c>
      <c r="AQ252" s="125">
        <v>4.54</v>
      </c>
      <c r="AR252" s="125">
        <v>0.875</v>
      </c>
      <c r="AS252" s="125">
        <v>10.030000000000001</v>
      </c>
      <c r="AT252" s="125">
        <v>5.45</v>
      </c>
      <c r="AU252" s="125">
        <v>0</v>
      </c>
      <c r="AV252" s="125">
        <v>0.57318999999999998</v>
      </c>
      <c r="AW252" s="125">
        <v>0.92515000000000003</v>
      </c>
      <c r="AX252" s="125">
        <v>1.3820633333333332</v>
      </c>
      <c r="AY252" s="125">
        <v>1.3025666666666667</v>
      </c>
      <c r="AZ252" s="125">
        <v>0.29695999999999995</v>
      </c>
      <c r="BA252" s="125">
        <v>0.35551333333333335</v>
      </c>
      <c r="BB252" s="125">
        <v>0.88373333333333326</v>
      </c>
      <c r="BC252" s="125">
        <v>0.6583566666666667</v>
      </c>
      <c r="BD252" s="125">
        <v>0.2168433333333333</v>
      </c>
      <c r="BE252" s="125">
        <v>1.0374133333333333</v>
      </c>
      <c r="BF252" s="125">
        <v>0.93675666666666668</v>
      </c>
      <c r="BG252" s="125">
        <v>1.5696733333333333</v>
      </c>
      <c r="BH252" s="125">
        <v>2.0326599999999999</v>
      </c>
      <c r="BI252" s="125">
        <v>4.0142699999999998</v>
      </c>
      <c r="BJ252" s="125">
        <v>1.1978233333333332</v>
      </c>
      <c r="BK252" s="125">
        <v>1.3210966666666668</v>
      </c>
      <c r="BL252" s="125">
        <v>0.89901666666666669</v>
      </c>
      <c r="BM252" s="125">
        <v>0.59663333333333324</v>
      </c>
      <c r="BN252" s="125">
        <v>102.84666666666668</v>
      </c>
      <c r="BO252" s="125">
        <v>382.33333333333331</v>
      </c>
      <c r="BP252" s="125"/>
      <c r="BQ252" s="118"/>
      <c r="BR252" s="205"/>
      <c r="BS252" s="205"/>
      <c r="BT252" s="205"/>
      <c r="BU252" s="205"/>
      <c r="BV252" s="205"/>
      <c r="BW252" s="205"/>
      <c r="BX252" s="205"/>
      <c r="BY252" s="205"/>
      <c r="BZ252" s="205"/>
      <c r="CA252" s="205"/>
      <c r="CB252" s="205"/>
      <c r="CC252" s="205"/>
      <c r="CD252" s="205"/>
      <c r="CE252" s="205"/>
      <c r="CF252" s="205"/>
      <c r="CG252" s="205"/>
    </row>
    <row r="253" spans="1:85">
      <c r="A253" s="122">
        <v>90822</v>
      </c>
      <c r="B253" s="122" t="s">
        <v>1482</v>
      </c>
      <c r="C253" s="122"/>
      <c r="D253" s="122"/>
      <c r="E253" s="212" t="s">
        <v>1483</v>
      </c>
      <c r="F253" s="122" t="s">
        <v>1484</v>
      </c>
      <c r="G253" s="163" t="s">
        <v>1485</v>
      </c>
      <c r="H253" s="122">
        <v>21</v>
      </c>
      <c r="I253" s="122" t="s">
        <v>78</v>
      </c>
      <c r="J253" s="125">
        <v>268.70999999999998</v>
      </c>
      <c r="K253" s="125">
        <v>14.827999999999999</v>
      </c>
      <c r="L253" s="125">
        <v>7.5840000000000005</v>
      </c>
      <c r="M253" s="125">
        <v>3.6859999999999999</v>
      </c>
      <c r="N253" s="125">
        <v>37.735999999999997</v>
      </c>
      <c r="O253" s="125">
        <v>30.882000000000005</v>
      </c>
      <c r="P253" s="125">
        <v>9.6000000000000002E-2</v>
      </c>
      <c r="Q253" s="125">
        <v>0.13400000000000001</v>
      </c>
      <c r="R253" s="125">
        <v>1.014</v>
      </c>
      <c r="S253" s="125">
        <v>0.3</v>
      </c>
      <c r="T253" s="125">
        <v>0.25000000000000006</v>
      </c>
      <c r="U253" s="125">
        <v>9.8240000000000016</v>
      </c>
      <c r="V253" s="125">
        <v>0</v>
      </c>
      <c r="W253" s="125">
        <v>4.96</v>
      </c>
      <c r="X253" s="125">
        <v>30.501999999999999</v>
      </c>
      <c r="Y253" s="125">
        <v>2.36</v>
      </c>
      <c r="Z253" s="125">
        <v>92.234999999999999</v>
      </c>
      <c r="AA253" s="125">
        <v>0</v>
      </c>
      <c r="AB253" s="125">
        <v>10.819333333333333</v>
      </c>
      <c r="AC253" s="125">
        <v>7.1833333333333336</v>
      </c>
      <c r="AD253" s="125">
        <v>118.18800000000002</v>
      </c>
      <c r="AE253" s="125">
        <v>197.3125</v>
      </c>
      <c r="AF253" s="125"/>
      <c r="AG253" s="125">
        <v>165</v>
      </c>
      <c r="AH253" s="125">
        <v>51.967500000000001</v>
      </c>
      <c r="AI253" s="125">
        <v>524.9</v>
      </c>
      <c r="AJ253" s="125">
        <v>0.6140000000000001</v>
      </c>
      <c r="AK253" s="125">
        <v>8.4819999999999993</v>
      </c>
      <c r="AL253" s="125">
        <v>183.79000000000002</v>
      </c>
      <c r="AM253" s="125">
        <v>29.022000000000002</v>
      </c>
      <c r="AN253" s="125">
        <v>118.86199999999999</v>
      </c>
      <c r="AO253" s="125">
        <v>972.90400000000011</v>
      </c>
      <c r="AP253" s="125">
        <v>6.7424999999999997</v>
      </c>
      <c r="AQ253" s="125">
        <v>2.532</v>
      </c>
      <c r="AR253" s="125">
        <v>1.0575000000000001</v>
      </c>
      <c r="AS253" s="125">
        <v>0.78500000000000003</v>
      </c>
      <c r="AT253" s="125">
        <v>1.395</v>
      </c>
      <c r="AU253" s="125"/>
      <c r="AV253" s="125">
        <v>0.55528999999999995</v>
      </c>
      <c r="AW253" s="125">
        <v>0.61514749999999996</v>
      </c>
      <c r="AX253" s="125">
        <v>1.9216424999999999</v>
      </c>
      <c r="AY253" s="125">
        <v>0.85194500000000006</v>
      </c>
      <c r="AZ253" s="125">
        <v>0.26769500000000002</v>
      </c>
      <c r="BA253" s="125">
        <v>0.25835750000000002</v>
      </c>
      <c r="BB253" s="125">
        <v>1.1091775000000001</v>
      </c>
      <c r="BC253" s="125">
        <v>0.90315750000000006</v>
      </c>
      <c r="BD253" s="125">
        <v>0.25893499999999997</v>
      </c>
      <c r="BE253" s="125">
        <v>0.86551</v>
      </c>
      <c r="BF253" s="125">
        <v>1.8635050000000002</v>
      </c>
      <c r="BG253" s="125">
        <v>2.1462924999999999</v>
      </c>
      <c r="BH253" s="125">
        <v>4.503355</v>
      </c>
      <c r="BI253" s="125">
        <v>5.4693074999999993</v>
      </c>
      <c r="BJ253" s="125">
        <v>1.6976150000000001</v>
      </c>
      <c r="BK253" s="125">
        <v>1.3587224999999998</v>
      </c>
      <c r="BL253" s="125">
        <v>1.6291925</v>
      </c>
      <c r="BM253" s="125">
        <v>0.68432999999999999</v>
      </c>
      <c r="BN253" s="125">
        <v>978</v>
      </c>
      <c r="BO253" s="125">
        <v>466.41500000000002</v>
      </c>
      <c r="BP253" s="125">
        <v>247</v>
      </c>
      <c r="BQ253" s="118"/>
      <c r="BR253" s="205"/>
      <c r="BS253" s="205"/>
      <c r="BT253" s="205"/>
      <c r="BU253" s="205"/>
      <c r="BV253" s="205"/>
      <c r="BW253" s="205"/>
      <c r="BX253" s="205"/>
      <c r="BY253" s="205"/>
      <c r="BZ253" s="205"/>
      <c r="CA253" s="205"/>
      <c r="CB253" s="205"/>
      <c r="CC253" s="205"/>
      <c r="CD253" s="205"/>
      <c r="CE253" s="205"/>
      <c r="CF253" s="205"/>
      <c r="CG253" s="205"/>
    </row>
    <row r="254" spans="1:85">
      <c r="A254" s="158">
        <v>41008</v>
      </c>
      <c r="B254" s="159" t="s">
        <v>1486</v>
      </c>
      <c r="C254" s="158"/>
      <c r="D254" s="158"/>
      <c r="E254" s="158" t="s">
        <v>1152</v>
      </c>
      <c r="F254" s="158" t="s">
        <v>1487</v>
      </c>
      <c r="G254" s="164" t="s">
        <v>1488</v>
      </c>
      <c r="H254" s="158"/>
      <c r="I254" s="158"/>
      <c r="J254" s="160">
        <v>108</v>
      </c>
      <c r="K254" s="160">
        <v>77.5</v>
      </c>
      <c r="L254" s="160">
        <v>17.09</v>
      </c>
      <c r="M254" s="160">
        <v>4.37</v>
      </c>
      <c r="N254" s="118">
        <v>0</v>
      </c>
      <c r="O254" s="118">
        <v>0</v>
      </c>
      <c r="P254" s="118"/>
      <c r="Q254" s="118"/>
      <c r="R254" s="118"/>
      <c r="S254" s="118"/>
      <c r="T254" s="118"/>
      <c r="U254" s="118"/>
      <c r="V254" s="118">
        <v>7.98</v>
      </c>
      <c r="W254" s="118"/>
      <c r="X254" s="118"/>
      <c r="Y254" s="118"/>
      <c r="Z254" s="118"/>
      <c r="AA254" s="118"/>
      <c r="AB254" s="118">
        <v>2680</v>
      </c>
      <c r="AC254" s="118"/>
      <c r="AD254" s="118"/>
      <c r="AE254" s="118"/>
      <c r="AF254" s="118"/>
      <c r="AG254" s="118"/>
      <c r="AH254" s="118"/>
      <c r="AI254" s="118">
        <v>766.52</v>
      </c>
      <c r="AJ254" s="118"/>
      <c r="AK254" s="118">
        <v>3.78</v>
      </c>
      <c r="AL254" s="118">
        <v>30.21</v>
      </c>
      <c r="AM254" s="118"/>
      <c r="AN254" s="118">
        <v>440</v>
      </c>
      <c r="AO254" s="118">
        <v>177.92</v>
      </c>
      <c r="AP254" s="118"/>
      <c r="AQ254" s="118">
        <v>3.19</v>
      </c>
      <c r="AR254" s="118"/>
      <c r="AS254" s="118"/>
      <c r="AT254" s="118"/>
      <c r="AU254" s="118"/>
      <c r="AV254" s="124"/>
      <c r="AW254" s="124"/>
      <c r="AX254" s="124"/>
      <c r="AY254" s="124"/>
      <c r="AZ254" s="124"/>
      <c r="BA254" s="124"/>
      <c r="BB254" s="124"/>
      <c r="BC254" s="124"/>
      <c r="BD254" s="124"/>
      <c r="BE254" s="124"/>
      <c r="BF254" s="124"/>
      <c r="BG254" s="124"/>
      <c r="BH254" s="124"/>
      <c r="BI254" s="124"/>
      <c r="BJ254" s="124"/>
      <c r="BK254" s="124"/>
      <c r="BL254" s="124"/>
      <c r="BM254" s="124"/>
      <c r="BN254" s="118"/>
      <c r="BO254" s="118"/>
      <c r="BP254" s="118"/>
      <c r="BQ254" s="118"/>
      <c r="BR254" s="205"/>
      <c r="BS254" s="205"/>
      <c r="BT254" s="205"/>
      <c r="BU254" s="205"/>
      <c r="BV254" s="205"/>
      <c r="BW254" s="205"/>
      <c r="BX254" s="205"/>
      <c r="BY254" s="205"/>
      <c r="BZ254" s="205"/>
      <c r="CA254" s="205"/>
      <c r="CB254" s="205"/>
      <c r="CC254" s="205"/>
      <c r="CD254" s="205"/>
      <c r="CE254" s="205"/>
      <c r="CF254" s="205"/>
      <c r="CG254" s="205"/>
    </row>
    <row r="255" spans="1:85">
      <c r="A255" s="122">
        <v>42009</v>
      </c>
      <c r="B255" s="128" t="s">
        <v>1489</v>
      </c>
      <c r="C255" s="122"/>
      <c r="D255" s="122"/>
      <c r="E255" s="122" t="s">
        <v>1152</v>
      </c>
      <c r="F255" s="122" t="s">
        <v>1490</v>
      </c>
      <c r="G255" s="163" t="s">
        <v>1491</v>
      </c>
      <c r="H255" s="122"/>
      <c r="I255" s="122"/>
      <c r="J255" s="118">
        <v>106</v>
      </c>
      <c r="K255" s="118">
        <v>74.55</v>
      </c>
      <c r="L255" s="118">
        <v>15.91</v>
      </c>
      <c r="M255" s="118">
        <v>4.74</v>
      </c>
      <c r="N255" s="157">
        <v>0</v>
      </c>
      <c r="O255" s="118">
        <v>0</v>
      </c>
      <c r="P255" s="118">
        <v>0.08</v>
      </c>
      <c r="Q255" s="118">
        <v>0.1</v>
      </c>
      <c r="R255" s="118">
        <v>1.69</v>
      </c>
      <c r="S255" s="118"/>
      <c r="T255" s="118">
        <v>0.28000000000000003</v>
      </c>
      <c r="U255" s="118"/>
      <c r="V255" s="118"/>
      <c r="W255" s="118"/>
      <c r="X255" s="118"/>
      <c r="Y255" s="118"/>
      <c r="Z255" s="118"/>
      <c r="AA255" s="118"/>
      <c r="AB255" s="118"/>
      <c r="AC255" s="118"/>
      <c r="AD255" s="118"/>
      <c r="AE255" s="118"/>
      <c r="AF255" s="118"/>
      <c r="AG255" s="118"/>
      <c r="AH255" s="118"/>
      <c r="AI255" s="118">
        <v>492.84</v>
      </c>
      <c r="AJ255" s="118">
        <v>0.17</v>
      </c>
      <c r="AK255" s="118">
        <v>1.1599999999999999</v>
      </c>
      <c r="AL255" s="118">
        <v>32.9</v>
      </c>
      <c r="AM255" s="118"/>
      <c r="AN255" s="118">
        <v>200</v>
      </c>
      <c r="AO255" s="118">
        <v>200.6</v>
      </c>
      <c r="AP255" s="118"/>
      <c r="AQ255" s="118">
        <v>0.94</v>
      </c>
      <c r="AR255" s="118"/>
      <c r="AS255" s="118"/>
      <c r="AT255" s="118"/>
      <c r="AU255" s="118"/>
      <c r="AV255" s="124"/>
      <c r="AW255" s="124"/>
      <c r="AX255" s="124"/>
      <c r="AY255" s="124"/>
      <c r="AZ255" s="124"/>
      <c r="BA255" s="124"/>
      <c r="BB255" s="124"/>
      <c r="BC255" s="124"/>
      <c r="BD255" s="124"/>
      <c r="BE255" s="124"/>
      <c r="BF255" s="124"/>
      <c r="BG255" s="124"/>
      <c r="BH255" s="124"/>
      <c r="BI255" s="124"/>
      <c r="BJ255" s="124"/>
      <c r="BK255" s="124"/>
      <c r="BL255" s="124"/>
      <c r="BM255" s="124"/>
      <c r="BN255" s="118"/>
      <c r="BO255" s="118"/>
      <c r="BP255" s="118"/>
      <c r="BQ255" s="118"/>
      <c r="BR255" s="205"/>
      <c r="BS255" s="205"/>
      <c r="BT255" s="205"/>
      <c r="BU255" s="205"/>
      <c r="BV255" s="205"/>
      <c r="BW255" s="205"/>
      <c r="BX255" s="205"/>
      <c r="BY255" s="205"/>
      <c r="BZ255" s="205"/>
      <c r="CA255" s="205"/>
      <c r="CB255" s="205"/>
      <c r="CC255" s="205"/>
      <c r="CD255" s="205"/>
      <c r="CE255" s="205"/>
      <c r="CF255" s="205"/>
      <c r="CG255" s="205"/>
    </row>
    <row r="256" spans="1:85" ht="15">
      <c r="A256" s="122">
        <v>71001</v>
      </c>
      <c r="B256" s="122" t="s">
        <v>1492</v>
      </c>
      <c r="C256" s="122"/>
      <c r="D256" s="122"/>
      <c r="E256" s="122" t="s">
        <v>76</v>
      </c>
      <c r="F256" s="122">
        <v>140009</v>
      </c>
      <c r="G256" s="163" t="s">
        <v>1493</v>
      </c>
      <c r="H256" s="122"/>
      <c r="I256" s="122"/>
      <c r="J256" s="118">
        <v>296</v>
      </c>
      <c r="K256" s="118">
        <v>5.71</v>
      </c>
      <c r="L256" s="118">
        <v>20.21</v>
      </c>
      <c r="M256" s="118">
        <v>0</v>
      </c>
      <c r="N256" s="157">
        <v>49.54</v>
      </c>
      <c r="O256" s="118">
        <v>8.5</v>
      </c>
      <c r="P256" s="118">
        <v>0</v>
      </c>
      <c r="Q256" s="118">
        <v>0.99</v>
      </c>
      <c r="R256" s="118">
        <v>10.8</v>
      </c>
      <c r="S256" s="118">
        <v>1.3</v>
      </c>
      <c r="T256" s="118">
        <v>0.36</v>
      </c>
      <c r="U256" s="118">
        <v>103</v>
      </c>
      <c r="V256" s="118">
        <v>0</v>
      </c>
      <c r="W256" s="118">
        <v>0</v>
      </c>
      <c r="X256" s="118">
        <v>0</v>
      </c>
      <c r="Y256" s="118">
        <v>0</v>
      </c>
      <c r="Z256" s="118"/>
      <c r="AA256" s="118">
        <v>0</v>
      </c>
      <c r="AB256" s="118">
        <v>0</v>
      </c>
      <c r="AC256" s="118">
        <v>0</v>
      </c>
      <c r="AD256" s="118">
        <v>0</v>
      </c>
      <c r="AE256" s="118"/>
      <c r="AF256" s="118"/>
      <c r="AG256" s="118"/>
      <c r="AH256" s="118"/>
      <c r="AI256" s="118">
        <v>118</v>
      </c>
      <c r="AJ256" s="118">
        <v>0.55000000000000004</v>
      </c>
      <c r="AK256" s="118">
        <v>2.2599999999999998</v>
      </c>
      <c r="AL256" s="118">
        <v>272</v>
      </c>
      <c r="AM256" s="118"/>
      <c r="AN256" s="118">
        <v>239</v>
      </c>
      <c r="AO256" s="118">
        <v>6040</v>
      </c>
      <c r="AP256" s="118"/>
      <c r="AQ256" s="118">
        <v>1.69</v>
      </c>
      <c r="AR256" s="118"/>
      <c r="AS256" s="118"/>
      <c r="AT256" s="118"/>
      <c r="AU256" s="118"/>
      <c r="AV256" s="124"/>
      <c r="AW256" s="124"/>
      <c r="AX256" s="124"/>
      <c r="AY256" s="124"/>
      <c r="AZ256" s="124"/>
      <c r="BA256" s="124"/>
      <c r="BB256" s="124"/>
      <c r="BC256" s="124"/>
      <c r="BD256" s="124"/>
      <c r="BE256" s="124"/>
      <c r="BF256" s="124"/>
      <c r="BG256" s="124"/>
      <c r="BH256" s="124"/>
      <c r="BI256" s="124"/>
      <c r="BJ256" s="124"/>
      <c r="BK256" s="124"/>
      <c r="BL256" s="124"/>
      <c r="BM256" s="124"/>
      <c r="BN256" s="118"/>
      <c r="BO256" s="118"/>
      <c r="BP256" s="118"/>
      <c r="BQ256" s="154">
        <v>0.4</v>
      </c>
      <c r="BR256" s="154">
        <v>0</v>
      </c>
      <c r="BS256" s="154">
        <v>0</v>
      </c>
      <c r="BT256" s="154">
        <v>0</v>
      </c>
      <c r="BU256" s="154">
        <v>1</v>
      </c>
      <c r="BV256" s="154">
        <v>0</v>
      </c>
      <c r="BW256" s="154">
        <v>0</v>
      </c>
      <c r="BX256" s="154">
        <v>0</v>
      </c>
      <c r="BY256" s="154">
        <v>0</v>
      </c>
      <c r="BZ256" s="154">
        <v>1</v>
      </c>
      <c r="CA256" s="154">
        <v>3</v>
      </c>
      <c r="CB256" s="154">
        <v>0</v>
      </c>
      <c r="CC256" s="154">
        <v>0</v>
      </c>
      <c r="CD256" s="154">
        <v>0</v>
      </c>
      <c r="CE256" s="154">
        <v>0</v>
      </c>
      <c r="CF256" s="154">
        <v>0</v>
      </c>
      <c r="CG256" s="205" t="s">
        <v>1075</v>
      </c>
    </row>
    <row r="257" spans="1:85" ht="15">
      <c r="A257" s="122">
        <v>90700</v>
      </c>
      <c r="B257" s="122" t="s">
        <v>1494</v>
      </c>
      <c r="C257" s="122"/>
      <c r="D257" s="122"/>
      <c r="E257" s="122" t="s">
        <v>1417</v>
      </c>
      <c r="F257" s="122" t="s">
        <v>1495</v>
      </c>
      <c r="G257" s="163" t="s">
        <v>1496</v>
      </c>
      <c r="H257" s="122">
        <v>21</v>
      </c>
      <c r="I257" s="122" t="s">
        <v>78</v>
      </c>
      <c r="J257" s="118">
        <v>340</v>
      </c>
      <c r="K257" s="118"/>
      <c r="L257" s="118">
        <v>18</v>
      </c>
      <c r="M257" s="118">
        <v>22</v>
      </c>
      <c r="N257" s="157">
        <v>49</v>
      </c>
      <c r="O257" s="118">
        <v>13</v>
      </c>
      <c r="P257" s="118"/>
      <c r="Q257" s="118"/>
      <c r="R257" s="118"/>
      <c r="S257" s="118"/>
      <c r="T257" s="118"/>
      <c r="U257" s="118"/>
      <c r="V257" s="118"/>
      <c r="W257" s="118">
        <v>0</v>
      </c>
      <c r="X257" s="118"/>
      <c r="Y257" s="118"/>
      <c r="Z257" s="118"/>
      <c r="AA257" s="118"/>
      <c r="AB257" s="118"/>
      <c r="AC257" s="118"/>
      <c r="AD257" s="118"/>
      <c r="AE257" s="118"/>
      <c r="AF257" s="118"/>
      <c r="AG257" s="118"/>
      <c r="AH257" s="118"/>
      <c r="AI257" s="118">
        <v>680</v>
      </c>
      <c r="AJ257" s="118"/>
      <c r="AK257" s="118">
        <v>16</v>
      </c>
      <c r="AL257" s="118"/>
      <c r="AM257" s="118"/>
      <c r="AN257" s="118"/>
      <c r="AO257" s="118"/>
      <c r="AP257" s="118"/>
      <c r="AQ257" s="118"/>
      <c r="AR257" s="118"/>
      <c r="AS257" s="118"/>
      <c r="AT257" s="118"/>
      <c r="AU257" s="118">
        <v>0</v>
      </c>
      <c r="AV257" s="124"/>
      <c r="AW257" s="124"/>
      <c r="AX257" s="124"/>
      <c r="AY257" s="124"/>
      <c r="AZ257" s="124"/>
      <c r="BA257" s="124"/>
      <c r="BB257" s="124"/>
      <c r="BC257" s="124"/>
      <c r="BD257" s="124"/>
      <c r="BE257" s="124"/>
      <c r="BF257" s="124"/>
      <c r="BG257" s="124"/>
      <c r="BH257" s="124"/>
      <c r="BI257" s="124"/>
      <c r="BJ257" s="124"/>
      <c r="BK257" s="124"/>
      <c r="BL257" s="124"/>
      <c r="BM257" s="124"/>
      <c r="BN257" s="118"/>
      <c r="BO257" s="118"/>
      <c r="BP257" s="118"/>
      <c r="BQ257" s="118"/>
      <c r="BR257" s="154" t="s">
        <v>85</v>
      </c>
      <c r="BS257" s="154" t="s">
        <v>85</v>
      </c>
      <c r="BT257" s="154" t="s">
        <v>85</v>
      </c>
      <c r="BU257" s="154">
        <v>500</v>
      </c>
      <c r="BV257" s="154" t="s">
        <v>85</v>
      </c>
      <c r="BW257" s="154">
        <v>8344</v>
      </c>
      <c r="BX257" s="154" t="s">
        <v>85</v>
      </c>
      <c r="BY257" s="154" t="s">
        <v>85</v>
      </c>
      <c r="BZ257" s="154">
        <v>4269</v>
      </c>
      <c r="CA257" s="154">
        <v>44</v>
      </c>
      <c r="CB257" s="154"/>
      <c r="CC257" s="154" t="s">
        <v>85</v>
      </c>
      <c r="CD257" s="154">
        <v>177</v>
      </c>
      <c r="CE257" s="154" t="s">
        <v>85</v>
      </c>
      <c r="CF257" s="154" t="s">
        <v>85</v>
      </c>
      <c r="CG257" s="205" t="s">
        <v>1165</v>
      </c>
    </row>
    <row r="258" spans="1:85">
      <c r="A258" s="122">
        <v>21026</v>
      </c>
      <c r="B258" s="163" t="s">
        <v>1497</v>
      </c>
      <c r="C258" s="122"/>
      <c r="D258" s="122"/>
      <c r="E258" s="212" t="s">
        <v>1498</v>
      </c>
      <c r="F258" s="122" t="s">
        <v>1499</v>
      </c>
      <c r="G258" s="154" t="s">
        <v>1500</v>
      </c>
      <c r="H258" s="122"/>
      <c r="I258" s="122"/>
      <c r="J258" s="118">
        <v>28.4</v>
      </c>
      <c r="K258" s="118">
        <v>90.164000000000001</v>
      </c>
      <c r="L258" s="118">
        <v>2.54</v>
      </c>
      <c r="M258" s="118">
        <v>0.41</v>
      </c>
      <c r="N258" s="157">
        <v>1.8979999999999997</v>
      </c>
      <c r="O258" s="118">
        <v>3.5579999999999998</v>
      </c>
      <c r="P258" s="118">
        <v>5.6000000000000008E-2</v>
      </c>
      <c r="Q258" s="118">
        <v>0.28800000000000003</v>
      </c>
      <c r="R258" s="118">
        <v>0.81400000000000006</v>
      </c>
      <c r="S258" s="118">
        <v>0.33</v>
      </c>
      <c r="T258" s="118">
        <v>0.27999999999999997</v>
      </c>
      <c r="U258" s="118">
        <v>98.190000000000012</v>
      </c>
      <c r="V258" s="118">
        <v>0</v>
      </c>
      <c r="W258" s="118">
        <v>52.955999999999996</v>
      </c>
      <c r="X258" s="118">
        <v>3.5380000000000003</v>
      </c>
      <c r="Y258" s="118">
        <v>0.46</v>
      </c>
      <c r="Z258" s="118">
        <v>244.33333333333334</v>
      </c>
      <c r="AA258" s="118">
        <v>0</v>
      </c>
      <c r="AB258" s="118">
        <v>308.84399999999999</v>
      </c>
      <c r="AC258" s="118">
        <v>92.5</v>
      </c>
      <c r="AD258" s="118">
        <v>3677.5279999999998</v>
      </c>
      <c r="AE258" s="118">
        <v>4047.3333333333335</v>
      </c>
      <c r="AF258" s="118"/>
      <c r="AG258" s="118"/>
      <c r="AH258" s="118">
        <v>127.23666666666666</v>
      </c>
      <c r="AI258" s="118">
        <v>143.34200000000001</v>
      </c>
      <c r="AJ258" s="118">
        <v>7.8E-2</v>
      </c>
      <c r="AK258" s="118">
        <v>3.8920000000000003</v>
      </c>
      <c r="AL258" s="118">
        <v>89.545999999999992</v>
      </c>
      <c r="AM258" s="118">
        <v>1.11575</v>
      </c>
      <c r="AN258" s="118">
        <v>47.318000000000005</v>
      </c>
      <c r="AO258" s="118">
        <v>226.72600000000003</v>
      </c>
      <c r="AP258" s="118">
        <v>15.667499999999999</v>
      </c>
      <c r="AQ258" s="118">
        <v>0.8</v>
      </c>
      <c r="AR258" s="118">
        <v>0.15333333333333332</v>
      </c>
      <c r="AS258" s="118">
        <v>4.3333333333333335E-2</v>
      </c>
      <c r="AT258" s="118">
        <v>0.26</v>
      </c>
      <c r="AU258" s="118"/>
      <c r="AV258" s="118">
        <v>5.2346666666666659E-2</v>
      </c>
      <c r="AW258" s="118">
        <v>0.10029666666666666</v>
      </c>
      <c r="AX258" s="118">
        <v>0.1986</v>
      </c>
      <c r="AY258" s="118">
        <v>0.13961666666666667</v>
      </c>
      <c r="AZ258" s="118">
        <v>3.3536666666666666E-2</v>
      </c>
      <c r="BA258" s="118">
        <v>2.3073333333333335E-2</v>
      </c>
      <c r="BB258" s="118">
        <v>0.12870999999999999</v>
      </c>
      <c r="BC258" s="118">
        <v>0.10343666666666668</v>
      </c>
      <c r="BD258" s="118">
        <v>3.5846666666666666E-2</v>
      </c>
      <c r="BE258" s="118">
        <v>0.12047333333333334</v>
      </c>
      <c r="BF258" s="118">
        <v>0.18322666666666665</v>
      </c>
      <c r="BG258" s="118">
        <v>0.13900333333333334</v>
      </c>
      <c r="BH258" s="118">
        <v>0.23983666666666661</v>
      </c>
      <c r="BI258" s="118">
        <v>0.36052333333333331</v>
      </c>
      <c r="BJ258" s="118">
        <v>0.13765666666666668</v>
      </c>
      <c r="BK258" s="118">
        <v>0.10848999999999999</v>
      </c>
      <c r="BL258" s="118">
        <v>0.11808</v>
      </c>
      <c r="BM258" s="118">
        <v>8.0003333333333329E-2</v>
      </c>
      <c r="BN258" s="118">
        <v>26.393333333333334</v>
      </c>
      <c r="BO258" s="118">
        <v>15.713999999999999</v>
      </c>
      <c r="BP258" s="118"/>
      <c r="BQ258" s="118"/>
      <c r="BR258" s="205"/>
      <c r="BS258" s="205"/>
      <c r="BT258" s="205"/>
      <c r="BU258" s="205"/>
      <c r="BV258" s="205"/>
      <c r="BW258" s="205"/>
      <c r="BX258" s="205"/>
      <c r="BY258" s="205"/>
      <c r="BZ258" s="205"/>
      <c r="CA258" s="205"/>
      <c r="CB258" s="205"/>
      <c r="CC258" s="205"/>
      <c r="CD258" s="205"/>
      <c r="CE258" s="205"/>
      <c r="CF258" s="205"/>
      <c r="CG258" s="205"/>
    </row>
    <row r="259" spans="1:85">
      <c r="A259" s="122">
        <v>32800</v>
      </c>
      <c r="B259" s="213" t="s">
        <v>1501</v>
      </c>
      <c r="C259" s="122"/>
      <c r="D259" s="122"/>
      <c r="E259" s="122" t="s">
        <v>1502</v>
      </c>
      <c r="F259" s="153" t="s">
        <v>1503</v>
      </c>
      <c r="G259" s="163" t="s">
        <v>1504</v>
      </c>
      <c r="H259" s="122"/>
      <c r="I259" s="122"/>
      <c r="J259" s="118">
        <v>200</v>
      </c>
      <c r="K259" s="118"/>
      <c r="L259" s="118">
        <v>4</v>
      </c>
      <c r="M259" s="118">
        <v>15</v>
      </c>
      <c r="N259" s="157">
        <v>30</v>
      </c>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v>3</v>
      </c>
      <c r="AS259" s="118"/>
      <c r="AT259" s="118"/>
      <c r="AU259" s="118"/>
      <c r="AV259" s="124"/>
      <c r="AW259" s="124"/>
      <c r="AX259" s="124"/>
      <c r="AY259" s="124"/>
      <c r="AZ259" s="124"/>
      <c r="BA259" s="124"/>
      <c r="BB259" s="124"/>
      <c r="BC259" s="124"/>
      <c r="BD259" s="124"/>
      <c r="BE259" s="124"/>
      <c r="BF259" s="124"/>
      <c r="BG259" s="124"/>
      <c r="BH259" s="124"/>
      <c r="BI259" s="124"/>
      <c r="BJ259" s="124"/>
      <c r="BK259" s="124"/>
      <c r="BL259" s="124"/>
      <c r="BM259" s="124"/>
      <c r="BN259" s="118"/>
      <c r="BO259" s="118"/>
      <c r="BP259" s="118"/>
      <c r="BQ259" s="118"/>
      <c r="BR259" s="205"/>
      <c r="BS259" s="205"/>
      <c r="BT259" s="205"/>
      <c r="BU259" s="205"/>
      <c r="BV259" s="205"/>
      <c r="BW259" s="205"/>
      <c r="BX259" s="205"/>
      <c r="BY259" s="205"/>
      <c r="BZ259" s="205"/>
      <c r="CA259" s="205"/>
      <c r="CB259" s="205"/>
      <c r="CC259" s="205"/>
      <c r="CD259" s="205"/>
      <c r="CE259" s="205"/>
      <c r="CF259" s="205"/>
      <c r="CG259" s="205"/>
    </row>
    <row r="260" spans="1:85" ht="15">
      <c r="A260" s="155">
        <v>87202</v>
      </c>
      <c r="B260" s="27" t="s">
        <v>1505</v>
      </c>
      <c r="C260" s="27" t="s">
        <v>1506</v>
      </c>
      <c r="D260" s="27" t="s">
        <v>1507</v>
      </c>
      <c r="E260" s="122" t="s">
        <v>1502</v>
      </c>
      <c r="F260" s="141" t="s">
        <v>1508</v>
      </c>
      <c r="G260" s="163" t="s">
        <v>1509</v>
      </c>
      <c r="H260" s="122"/>
      <c r="I260" s="122"/>
      <c r="J260" s="118">
        <v>537.76</v>
      </c>
      <c r="K260" s="118"/>
      <c r="L260" s="118">
        <v>7.6</v>
      </c>
      <c r="M260" s="118">
        <v>30.4</v>
      </c>
      <c r="N260" s="157">
        <v>57.3</v>
      </c>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v>19.2</v>
      </c>
      <c r="AS260" s="118"/>
      <c r="AT260" s="118"/>
      <c r="AU260" s="118"/>
      <c r="AV260" s="124"/>
      <c r="AW260" s="124"/>
      <c r="AX260" s="124"/>
      <c r="AY260" s="124"/>
      <c r="AZ260" s="124"/>
      <c r="BA260" s="124"/>
      <c r="BB260" s="124"/>
      <c r="BC260" s="124"/>
      <c r="BD260" s="124"/>
      <c r="BE260" s="124"/>
      <c r="BF260" s="124"/>
      <c r="BG260" s="124"/>
      <c r="BH260" s="124"/>
      <c r="BI260" s="124"/>
      <c r="BJ260" s="124"/>
      <c r="BK260" s="124"/>
      <c r="BL260" s="124"/>
      <c r="BM260" s="124"/>
      <c r="BN260" s="118"/>
      <c r="BO260" s="118"/>
      <c r="BP260" s="118"/>
      <c r="BQ260" s="154">
        <v>16.600000000000001</v>
      </c>
      <c r="BR260" s="154">
        <v>16</v>
      </c>
      <c r="BS260" s="154">
        <v>19</v>
      </c>
      <c r="BT260" s="154">
        <v>68</v>
      </c>
      <c r="BU260" s="154">
        <v>201</v>
      </c>
      <c r="BV260" s="154">
        <v>11</v>
      </c>
      <c r="BW260" s="154">
        <v>186</v>
      </c>
      <c r="BX260" s="154">
        <v>2</v>
      </c>
      <c r="BY260" s="154">
        <v>0</v>
      </c>
      <c r="BZ260" s="154">
        <v>29</v>
      </c>
      <c r="CA260" s="154">
        <v>4</v>
      </c>
      <c r="CB260" s="154">
        <v>1</v>
      </c>
      <c r="CC260" s="154">
        <v>2</v>
      </c>
      <c r="CD260" s="154">
        <v>90</v>
      </c>
      <c r="CE260" s="154">
        <v>1</v>
      </c>
      <c r="CF260" s="154">
        <v>0</v>
      </c>
      <c r="CG260" s="154">
        <v>26</v>
      </c>
    </row>
    <row r="261" spans="1:85">
      <c r="A261" s="156">
        <v>62901</v>
      </c>
      <c r="B261" s="27" t="s">
        <v>1510</v>
      </c>
      <c r="C261" s="19" t="s">
        <v>1511</v>
      </c>
      <c r="D261" s="19"/>
      <c r="E261" s="122" t="s">
        <v>1502</v>
      </c>
      <c r="F261" s="141" t="s">
        <v>1512</v>
      </c>
      <c r="G261" s="163" t="s">
        <v>1513</v>
      </c>
      <c r="H261" s="122"/>
      <c r="I261" s="122"/>
      <c r="J261" s="118">
        <v>560</v>
      </c>
      <c r="K261" s="118"/>
      <c r="L261" s="118">
        <v>18</v>
      </c>
      <c r="M261" s="118">
        <v>32</v>
      </c>
      <c r="N261" s="157">
        <v>48</v>
      </c>
      <c r="O261" s="118">
        <v>16</v>
      </c>
      <c r="P261" s="118"/>
      <c r="Q261" s="118"/>
      <c r="R261" s="118"/>
      <c r="S261" s="118"/>
      <c r="T261" s="118"/>
      <c r="U261" s="118"/>
      <c r="V261" s="118"/>
      <c r="W261" s="118"/>
      <c r="X261" s="118"/>
      <c r="Y261" s="118"/>
      <c r="Z261" s="118"/>
      <c r="AA261" s="118"/>
      <c r="AB261" s="118"/>
      <c r="AC261" s="118"/>
      <c r="AD261" s="118"/>
      <c r="AE261" s="118"/>
      <c r="AF261" s="118"/>
      <c r="AG261" s="118"/>
      <c r="AH261" s="118"/>
      <c r="AI261" s="118">
        <v>70</v>
      </c>
      <c r="AJ261" s="118"/>
      <c r="AK261" s="118">
        <v>4</v>
      </c>
      <c r="AL261" s="118"/>
      <c r="AM261" s="118"/>
      <c r="AN261" s="118"/>
      <c r="AO261" s="118"/>
      <c r="AP261" s="118"/>
      <c r="AQ261" s="118"/>
      <c r="AR261" s="118">
        <v>6</v>
      </c>
      <c r="AS261" s="118"/>
      <c r="AT261" s="118"/>
      <c r="AU261" s="118"/>
      <c r="AV261" s="124"/>
      <c r="AW261" s="124"/>
      <c r="AX261" s="124"/>
      <c r="AY261" s="124"/>
      <c r="AZ261" s="124"/>
      <c r="BA261" s="124"/>
      <c r="BB261" s="124"/>
      <c r="BC261" s="124"/>
      <c r="BD261" s="124"/>
      <c r="BE261" s="124"/>
      <c r="BF261" s="124"/>
      <c r="BG261" s="124"/>
      <c r="BH261" s="124"/>
      <c r="BI261" s="124"/>
      <c r="BJ261" s="124"/>
      <c r="BK261" s="124"/>
      <c r="BL261" s="124"/>
      <c r="BM261" s="124"/>
      <c r="BN261" s="118"/>
      <c r="BO261" s="118"/>
      <c r="BP261" s="118"/>
      <c r="BQ261" s="118"/>
      <c r="BR261" s="205"/>
      <c r="BS261" s="205"/>
      <c r="BT261" s="205"/>
      <c r="BU261" s="205"/>
      <c r="BV261" s="205"/>
      <c r="BW261" s="205"/>
      <c r="BX261" s="205"/>
      <c r="BY261" s="205"/>
      <c r="BZ261" s="205"/>
      <c r="CA261" s="205"/>
      <c r="CB261" s="205"/>
      <c r="CC261" s="205"/>
      <c r="CD261" s="205"/>
      <c r="CE261" s="205"/>
      <c r="CF261" s="205"/>
      <c r="CG261" s="205"/>
    </row>
    <row r="262" spans="1:85" ht="15">
      <c r="A262" s="156">
        <v>64201</v>
      </c>
      <c r="B262" s="27" t="s">
        <v>1514</v>
      </c>
      <c r="C262" s="19" t="s">
        <v>1515</v>
      </c>
      <c r="D262" s="27" t="s">
        <v>921</v>
      </c>
      <c r="E262" s="122" t="s">
        <v>76</v>
      </c>
      <c r="F262" s="122">
        <v>50013</v>
      </c>
      <c r="G262" s="172" t="s">
        <v>1516</v>
      </c>
      <c r="H262" s="122"/>
      <c r="I262" s="122"/>
      <c r="J262" s="118">
        <v>106</v>
      </c>
      <c r="K262" s="118">
        <v>71.36</v>
      </c>
      <c r="L262" s="118">
        <v>0.91</v>
      </c>
      <c r="M262" s="118">
        <v>0.28999999999999998</v>
      </c>
      <c r="N262" s="157">
        <v>23.4</v>
      </c>
      <c r="O262" s="118">
        <v>3.04</v>
      </c>
      <c r="P262" s="118">
        <v>0.05</v>
      </c>
      <c r="Q262" s="118">
        <v>0.02</v>
      </c>
      <c r="R262" s="118">
        <v>0.38</v>
      </c>
      <c r="S262" s="118"/>
      <c r="T262" s="118">
        <v>0.16</v>
      </c>
      <c r="U262" s="118">
        <v>7</v>
      </c>
      <c r="V262" s="118"/>
      <c r="W262" s="118">
        <v>14.43</v>
      </c>
      <c r="X262" s="118">
        <v>0</v>
      </c>
      <c r="Y262" s="118">
        <v>0.26</v>
      </c>
      <c r="Z262" s="118"/>
      <c r="AA262" s="118">
        <v>0</v>
      </c>
      <c r="AB262" s="118">
        <v>3.13</v>
      </c>
      <c r="AC262" s="118"/>
      <c r="AD262" s="118"/>
      <c r="AE262" s="118"/>
      <c r="AF262" s="118"/>
      <c r="AG262" s="118"/>
      <c r="AH262" s="118"/>
      <c r="AI262" s="118">
        <v>26.83</v>
      </c>
      <c r="AJ262" s="118">
        <v>0.1</v>
      </c>
      <c r="AK262" s="118">
        <v>1.07</v>
      </c>
      <c r="AL262" s="118">
        <v>25.83</v>
      </c>
      <c r="AM262" s="118"/>
      <c r="AN262" s="118">
        <v>41.54</v>
      </c>
      <c r="AO262" s="118">
        <v>177.4</v>
      </c>
      <c r="AP262" s="118"/>
      <c r="AQ262" s="118">
        <v>0.13</v>
      </c>
      <c r="AR262" s="118"/>
      <c r="AS262" s="118"/>
      <c r="AT262" s="118"/>
      <c r="AU262" s="118"/>
      <c r="AV262" s="124"/>
      <c r="AW262" s="124"/>
      <c r="AX262" s="124"/>
      <c r="AY262" s="124"/>
      <c r="AZ262" s="124"/>
      <c r="BA262" s="124"/>
      <c r="BB262" s="124"/>
      <c r="BC262" s="124"/>
      <c r="BD262" s="124"/>
      <c r="BE262" s="124"/>
      <c r="BF262" s="124"/>
      <c r="BG262" s="124"/>
      <c r="BH262" s="124"/>
      <c r="BI262" s="124"/>
      <c r="BJ262" s="124"/>
      <c r="BK262" s="124"/>
      <c r="BL262" s="124"/>
      <c r="BM262" s="124"/>
      <c r="BN262" s="118"/>
      <c r="BO262" s="118"/>
      <c r="BP262" s="118"/>
      <c r="BQ262" s="154">
        <v>12.8</v>
      </c>
      <c r="BR262" s="154">
        <v>0</v>
      </c>
      <c r="BS262" s="154">
        <v>0</v>
      </c>
      <c r="BT262" s="154">
        <v>0</v>
      </c>
      <c r="BU262" s="154">
        <v>19</v>
      </c>
      <c r="BV262" s="154">
        <v>0</v>
      </c>
      <c r="BW262" s="154">
        <v>1</v>
      </c>
      <c r="BX262" s="154">
        <v>0</v>
      </c>
      <c r="BY262" s="154">
        <v>0</v>
      </c>
      <c r="BZ262" s="154">
        <v>14</v>
      </c>
      <c r="CA262" s="154">
        <v>1</v>
      </c>
      <c r="CB262" s="154">
        <v>0</v>
      </c>
      <c r="CC262" s="154">
        <v>0</v>
      </c>
      <c r="CD262" s="154">
        <v>1</v>
      </c>
      <c r="CE262" s="154">
        <v>0</v>
      </c>
      <c r="CF262" s="154">
        <v>0</v>
      </c>
      <c r="CG262" s="205"/>
    </row>
    <row r="263" spans="1:85" ht="15">
      <c r="A263" s="156">
        <v>62902</v>
      </c>
      <c r="B263" s="27" t="s">
        <v>1517</v>
      </c>
      <c r="C263" s="19" t="s">
        <v>1518</v>
      </c>
      <c r="D263" s="122"/>
      <c r="E263" s="122" t="s">
        <v>1502</v>
      </c>
      <c r="F263" s="141" t="s">
        <v>1519</v>
      </c>
      <c r="G263" s="163" t="s">
        <v>1520</v>
      </c>
      <c r="H263" s="122"/>
      <c r="I263" s="122"/>
      <c r="J263" s="118">
        <v>416</v>
      </c>
      <c r="K263" s="118"/>
      <c r="L263" s="118">
        <v>6</v>
      </c>
      <c r="M263" s="118">
        <v>20</v>
      </c>
      <c r="N263" s="157">
        <v>54</v>
      </c>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v>3.5</v>
      </c>
      <c r="AS263" s="118"/>
      <c r="AT263" s="118"/>
      <c r="AU263" s="118"/>
      <c r="AV263" s="124"/>
      <c r="AW263" s="124"/>
      <c r="AX263" s="124"/>
      <c r="AY263" s="124"/>
      <c r="AZ263" s="124"/>
      <c r="BA263" s="124"/>
      <c r="BB263" s="124"/>
      <c r="BC263" s="124"/>
      <c r="BD263" s="124"/>
      <c r="BE263" s="124"/>
      <c r="BF263" s="124"/>
      <c r="BG263" s="124"/>
      <c r="BH263" s="124"/>
      <c r="BI263" s="124"/>
      <c r="BJ263" s="124"/>
      <c r="BK263" s="124"/>
      <c r="BL263" s="124"/>
      <c r="BM263" s="124"/>
      <c r="BN263" s="118"/>
      <c r="BO263" s="118"/>
      <c r="BP263" s="118"/>
      <c r="BQ263" s="154">
        <v>1.2</v>
      </c>
      <c r="BR263" s="154">
        <v>0</v>
      </c>
      <c r="BS263" s="154">
        <v>0</v>
      </c>
      <c r="BT263" s="154">
        <v>0</v>
      </c>
      <c r="BU263" s="154">
        <v>39</v>
      </c>
      <c r="BV263" s="154">
        <v>1</v>
      </c>
      <c r="BW263" s="154">
        <v>25</v>
      </c>
      <c r="BX263" s="154">
        <v>0</v>
      </c>
      <c r="BY263" s="154">
        <v>0</v>
      </c>
      <c r="BZ263" s="154">
        <v>117</v>
      </c>
      <c r="CA263" s="154">
        <v>7</v>
      </c>
      <c r="CB263" s="154">
        <v>0</v>
      </c>
      <c r="CC263" s="154">
        <v>0</v>
      </c>
      <c r="CD263" s="154">
        <v>2</v>
      </c>
      <c r="CE263" s="154">
        <v>0</v>
      </c>
      <c r="CF263" s="154">
        <v>0</v>
      </c>
      <c r="CG263" s="205"/>
    </row>
    <row r="264" spans="1:85" ht="15">
      <c r="A264" s="156">
        <v>62904</v>
      </c>
      <c r="B264" s="27" t="s">
        <v>1521</v>
      </c>
      <c r="C264" s="19" t="s">
        <v>1522</v>
      </c>
      <c r="D264" s="205"/>
      <c r="E264" s="122" t="s">
        <v>1502</v>
      </c>
      <c r="F264" s="192"/>
      <c r="G264" s="27" t="s">
        <v>1523</v>
      </c>
      <c r="H264" s="122"/>
      <c r="I264" s="122"/>
      <c r="J264" s="118">
        <v>500</v>
      </c>
      <c r="K264" s="118"/>
      <c r="L264" s="118">
        <v>7</v>
      </c>
      <c r="M264" s="118">
        <v>20</v>
      </c>
      <c r="N264" s="157">
        <v>72</v>
      </c>
      <c r="O264" s="118">
        <v>1.3</v>
      </c>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v>10</v>
      </c>
      <c r="AS264" s="118"/>
      <c r="AT264" s="118"/>
      <c r="AU264" s="118">
        <v>3</v>
      </c>
      <c r="AV264" s="124"/>
      <c r="AW264" s="124"/>
      <c r="AX264" s="124"/>
      <c r="AY264" s="124"/>
      <c r="AZ264" s="124"/>
      <c r="BA264" s="124"/>
      <c r="BB264" s="124"/>
      <c r="BC264" s="124"/>
      <c r="BD264" s="124"/>
      <c r="BE264" s="124"/>
      <c r="BF264" s="124"/>
      <c r="BG264" s="124"/>
      <c r="BH264" s="124"/>
      <c r="BI264" s="124"/>
      <c r="BJ264" s="124"/>
      <c r="BK264" s="124"/>
      <c r="BL264" s="124"/>
      <c r="BM264" s="124"/>
      <c r="BN264" s="118"/>
      <c r="BO264" s="118"/>
      <c r="BP264" s="118"/>
      <c r="BQ264" s="154">
        <v>0.8</v>
      </c>
      <c r="BR264" s="154">
        <v>298</v>
      </c>
      <c r="BS264" s="154">
        <v>3239</v>
      </c>
      <c r="BT264" s="154">
        <v>1048</v>
      </c>
      <c r="BU264" s="154">
        <v>3760</v>
      </c>
      <c r="BV264" s="154">
        <v>10</v>
      </c>
      <c r="BW264" s="154">
        <v>2458</v>
      </c>
      <c r="BX264" s="154">
        <v>16</v>
      </c>
      <c r="BY264" s="154">
        <v>0</v>
      </c>
      <c r="BZ264" s="154">
        <v>1989</v>
      </c>
      <c r="CA264" s="154">
        <v>205</v>
      </c>
      <c r="CB264" s="154">
        <v>0</v>
      </c>
      <c r="CC264" s="154">
        <v>4</v>
      </c>
      <c r="CD264" s="154">
        <v>2950</v>
      </c>
      <c r="CE264" s="154">
        <v>0</v>
      </c>
      <c r="CF264" s="154">
        <v>0</v>
      </c>
      <c r="CG264" s="205"/>
    </row>
    <row r="265" spans="1:85" ht="15">
      <c r="A265" s="155">
        <v>64901</v>
      </c>
      <c r="B265" s="27" t="s">
        <v>1524</v>
      </c>
      <c r="C265" s="27" t="s">
        <v>1525</v>
      </c>
      <c r="D265" s="27"/>
      <c r="E265" s="155" t="s">
        <v>1417</v>
      </c>
      <c r="F265" s="214">
        <v>1633707</v>
      </c>
      <c r="G265" s="27" t="s">
        <v>1526</v>
      </c>
      <c r="H265" s="212"/>
      <c r="I265" s="212"/>
      <c r="J265" s="205">
        <v>571</v>
      </c>
      <c r="K265" s="205"/>
      <c r="L265" s="205">
        <v>7.14</v>
      </c>
      <c r="M265" s="205">
        <v>35.700000000000003</v>
      </c>
      <c r="N265" s="207">
        <v>53.6</v>
      </c>
      <c r="O265" s="205">
        <v>3.6</v>
      </c>
      <c r="P265" s="205">
        <v>0</v>
      </c>
      <c r="Q265" s="205">
        <v>0.121</v>
      </c>
      <c r="R265" s="205">
        <v>4.29</v>
      </c>
      <c r="S265" s="205"/>
      <c r="T265" s="205">
        <v>0.71399999999999997</v>
      </c>
      <c r="U265" s="205"/>
      <c r="V265" s="205"/>
      <c r="W265" s="205"/>
      <c r="X265" s="205"/>
      <c r="Y265" s="205"/>
      <c r="Z265" s="205"/>
      <c r="AA265" s="205">
        <v>0</v>
      </c>
      <c r="AB265" s="205"/>
      <c r="AC265" s="205"/>
      <c r="AD265" s="205"/>
      <c r="AE265" s="205"/>
      <c r="AF265" s="205"/>
      <c r="AG265" s="205"/>
      <c r="AH265" s="205"/>
      <c r="AI265" s="205">
        <v>0</v>
      </c>
      <c r="AJ265" s="205"/>
      <c r="AK265" s="205">
        <v>1.29</v>
      </c>
      <c r="AL265" s="205"/>
      <c r="AM265" s="205"/>
      <c r="AN265" s="205">
        <v>71</v>
      </c>
      <c r="AO265" s="205">
        <v>1210</v>
      </c>
      <c r="AP265" s="205"/>
      <c r="AQ265" s="205"/>
      <c r="AR265" s="205">
        <v>5.36</v>
      </c>
      <c r="AS265" s="205"/>
      <c r="AT265" s="205"/>
      <c r="AU265" s="205">
        <v>0</v>
      </c>
      <c r="AV265" s="215"/>
      <c r="AW265" s="215"/>
      <c r="AX265" s="215"/>
      <c r="AY265" s="215"/>
      <c r="AZ265" s="215"/>
      <c r="BA265" s="215"/>
      <c r="BB265" s="215"/>
      <c r="BC265" s="215"/>
      <c r="BD265" s="215"/>
      <c r="BE265" s="215"/>
      <c r="BF265" s="215"/>
      <c r="BG265" s="215"/>
      <c r="BH265" s="215"/>
      <c r="BI265" s="215"/>
      <c r="BJ265" s="215"/>
      <c r="BK265" s="215"/>
      <c r="BL265" s="215"/>
      <c r="BM265" s="215"/>
      <c r="BN265" s="205"/>
      <c r="BO265" s="205"/>
      <c r="BP265" s="205"/>
      <c r="BQ265" s="154">
        <v>12.1</v>
      </c>
      <c r="BR265" s="154">
        <v>1</v>
      </c>
      <c r="BS265" s="154">
        <v>0</v>
      </c>
      <c r="BT265" s="154">
        <v>44</v>
      </c>
      <c r="BU265" s="154">
        <v>2157</v>
      </c>
      <c r="BV265" s="154">
        <v>69</v>
      </c>
      <c r="BW265" s="154">
        <v>18600</v>
      </c>
      <c r="BX265" s="154">
        <v>243</v>
      </c>
      <c r="BY265" s="154">
        <v>10</v>
      </c>
      <c r="BZ265" s="154">
        <v>7904</v>
      </c>
      <c r="CA265" s="154">
        <v>358</v>
      </c>
      <c r="CB265" s="154">
        <v>0</v>
      </c>
      <c r="CC265" s="154">
        <v>9</v>
      </c>
      <c r="CD265" s="154">
        <v>802</v>
      </c>
      <c r="CE265" s="154">
        <v>1</v>
      </c>
      <c r="CF265" s="154">
        <v>0</v>
      </c>
      <c r="CG265" s="205">
        <v>6</v>
      </c>
    </row>
    <row r="266" spans="1:85" ht="15">
      <c r="A266" s="155">
        <v>65302</v>
      </c>
      <c r="B266" s="27" t="s">
        <v>1527</v>
      </c>
      <c r="C266" s="27" t="s">
        <v>1528</v>
      </c>
      <c r="E266" s="216" t="s">
        <v>76</v>
      </c>
      <c r="F266" s="155">
        <v>10009</v>
      </c>
      <c r="G266" s="27" t="s">
        <v>1529</v>
      </c>
      <c r="H266" s="212"/>
      <c r="I266" s="212"/>
      <c r="J266" s="172">
        <v>328</v>
      </c>
      <c r="K266" s="173">
        <v>13.74</v>
      </c>
      <c r="L266" s="173">
        <v>9.98</v>
      </c>
      <c r="M266" s="173">
        <v>3.07</v>
      </c>
      <c r="N266" s="173">
        <v>58.64</v>
      </c>
      <c r="O266" s="173">
        <v>12.94</v>
      </c>
      <c r="P266" s="173">
        <v>0.09</v>
      </c>
      <c r="Q266" s="173">
        <v>7.0000000000000007E-2</v>
      </c>
      <c r="R266" s="173">
        <v>0.87</v>
      </c>
      <c r="S266" s="173" t="s">
        <v>1530</v>
      </c>
      <c r="T266" s="173">
        <v>0.14000000000000001</v>
      </c>
      <c r="U266" s="173">
        <v>27.66</v>
      </c>
      <c r="V266" s="173" t="s">
        <v>1530</v>
      </c>
      <c r="W266" s="173">
        <v>0</v>
      </c>
      <c r="X266" s="173">
        <v>0</v>
      </c>
      <c r="Y266" s="173">
        <v>0.2</v>
      </c>
      <c r="Z266" s="173" t="s">
        <v>1530</v>
      </c>
      <c r="AA266" s="173">
        <v>0</v>
      </c>
      <c r="AB266" s="173">
        <v>6.65</v>
      </c>
      <c r="AC266" s="173">
        <v>39.24</v>
      </c>
      <c r="AD266" s="173">
        <v>60.21</v>
      </c>
      <c r="AE266" s="173" t="s">
        <v>1530</v>
      </c>
      <c r="AF266" s="173" t="s">
        <v>1530</v>
      </c>
      <c r="AG266" s="173" t="s">
        <v>1530</v>
      </c>
      <c r="AH266" s="173" t="s">
        <v>1530</v>
      </c>
      <c r="AI266" s="173">
        <v>10</v>
      </c>
      <c r="AJ266" s="173">
        <v>0.23</v>
      </c>
      <c r="AK266" s="173">
        <v>2.8</v>
      </c>
      <c r="AL266" s="173">
        <v>135</v>
      </c>
      <c r="AM266" s="173" t="s">
        <v>1530</v>
      </c>
      <c r="AN266" s="173">
        <v>348.9</v>
      </c>
      <c r="AO266" s="173">
        <v>293.56</v>
      </c>
      <c r="AP266" s="173" t="s">
        <v>1530</v>
      </c>
      <c r="AQ266" s="173">
        <v>3.7</v>
      </c>
      <c r="AR266" s="173" t="s">
        <v>1530</v>
      </c>
      <c r="AS266" s="173" t="s">
        <v>1530</v>
      </c>
      <c r="AT266" s="173" t="s">
        <v>1530</v>
      </c>
      <c r="AU266" s="173" t="s">
        <v>1530</v>
      </c>
      <c r="AV266" s="173" t="s">
        <v>1530</v>
      </c>
      <c r="AW266" s="173" t="s">
        <v>1530</v>
      </c>
      <c r="AX266" s="173" t="s">
        <v>1530</v>
      </c>
      <c r="AY266" s="173" t="s">
        <v>1530</v>
      </c>
      <c r="AZ266" s="173" t="s">
        <v>1530</v>
      </c>
      <c r="BA266" s="173" t="s">
        <v>1530</v>
      </c>
      <c r="BB266" s="173" t="s">
        <v>1530</v>
      </c>
      <c r="BC266" s="173" t="s">
        <v>1530</v>
      </c>
      <c r="BD266" s="173" t="s">
        <v>1530</v>
      </c>
      <c r="BE266" s="173" t="s">
        <v>1530</v>
      </c>
      <c r="BF266" s="173" t="s">
        <v>1530</v>
      </c>
      <c r="BG266" s="173" t="s">
        <v>1530</v>
      </c>
      <c r="BH266" s="173" t="s">
        <v>1530</v>
      </c>
      <c r="BI266" s="173" t="s">
        <v>1530</v>
      </c>
      <c r="BJ266" s="173" t="s">
        <v>1530</v>
      </c>
      <c r="BK266" s="173" t="s">
        <v>1530</v>
      </c>
      <c r="BL266" s="173" t="s">
        <v>1530</v>
      </c>
      <c r="BM266" s="173" t="s">
        <v>1530</v>
      </c>
      <c r="BN266" s="173" t="s">
        <v>1530</v>
      </c>
      <c r="BO266" s="173" t="s">
        <v>1530</v>
      </c>
      <c r="BP266" s="173" t="s">
        <v>1530</v>
      </c>
      <c r="BQ266" s="154">
        <v>15</v>
      </c>
      <c r="BR266" s="154">
        <v>528</v>
      </c>
      <c r="BS266" s="154">
        <v>4098</v>
      </c>
      <c r="BT266" s="154">
        <v>1646</v>
      </c>
      <c r="BU266" s="154">
        <v>2709</v>
      </c>
      <c r="BV266" s="154">
        <v>18</v>
      </c>
      <c r="BW266" s="154">
        <v>6683</v>
      </c>
      <c r="BX266" s="154">
        <v>71</v>
      </c>
      <c r="BY266" s="154">
        <v>4</v>
      </c>
      <c r="BZ266" s="154">
        <v>7077</v>
      </c>
      <c r="CA266" s="154">
        <v>340</v>
      </c>
      <c r="CB266" s="154">
        <v>0</v>
      </c>
      <c r="CC266" s="154">
        <v>0</v>
      </c>
      <c r="CD266" s="154">
        <v>4406</v>
      </c>
      <c r="CE266" s="154">
        <v>0</v>
      </c>
      <c r="CF266" s="154">
        <v>0</v>
      </c>
      <c r="CG266" s="205" t="s">
        <v>1165</v>
      </c>
    </row>
    <row r="267" spans="1:85" ht="17.25">
      <c r="A267" s="155">
        <v>76001</v>
      </c>
      <c r="B267" s="155" t="s">
        <v>1531</v>
      </c>
      <c r="C267" s="155" t="s">
        <v>1532</v>
      </c>
      <c r="D267" s="27" t="s">
        <v>706</v>
      </c>
      <c r="E267" s="212" t="s">
        <v>1417</v>
      </c>
      <c r="F267" s="212">
        <v>2383423</v>
      </c>
      <c r="G267" s="209" t="s">
        <v>1533</v>
      </c>
      <c r="H267" s="212"/>
      <c r="I267" s="212"/>
      <c r="J267" s="205">
        <v>1</v>
      </c>
      <c r="K267" s="205"/>
      <c r="L267" s="205">
        <v>0</v>
      </c>
      <c r="M267" s="205">
        <v>0</v>
      </c>
      <c r="N267" s="207">
        <v>0.24</v>
      </c>
      <c r="O267" s="205">
        <v>0</v>
      </c>
      <c r="P267" s="205"/>
      <c r="Q267" s="205"/>
      <c r="R267" s="205"/>
      <c r="S267" s="205"/>
      <c r="T267" s="205"/>
      <c r="U267" s="205"/>
      <c r="V267" s="205"/>
      <c r="W267" s="205">
        <v>1.2</v>
      </c>
      <c r="X267" s="205">
        <v>0</v>
      </c>
      <c r="Y267" s="205"/>
      <c r="Z267" s="205"/>
      <c r="AA267" s="205">
        <v>0</v>
      </c>
      <c r="AB267" s="205"/>
      <c r="AC267" s="205"/>
      <c r="AD267" s="205"/>
      <c r="AE267" s="205"/>
      <c r="AF267" s="205"/>
      <c r="AG267" s="205"/>
      <c r="AH267" s="205"/>
      <c r="AI267" s="140">
        <v>10</v>
      </c>
      <c r="AJ267" s="205"/>
      <c r="AK267" s="205">
        <v>0</v>
      </c>
      <c r="AL267" s="205">
        <v>2</v>
      </c>
      <c r="AM267" s="205"/>
      <c r="AN267" s="205"/>
      <c r="AO267" s="205">
        <v>3</v>
      </c>
      <c r="AP267" s="205"/>
      <c r="AQ267" s="205"/>
      <c r="AR267" s="205">
        <v>0</v>
      </c>
      <c r="AS267" s="205"/>
      <c r="AT267" s="205"/>
      <c r="AU267" s="205">
        <v>0</v>
      </c>
      <c r="AV267" s="215"/>
      <c r="AW267" s="215"/>
      <c r="AX267" s="215"/>
      <c r="AY267" s="215"/>
      <c r="AZ267" s="215"/>
      <c r="BA267" s="215"/>
      <c r="BB267" s="215"/>
      <c r="BC267" s="215"/>
      <c r="BD267" s="215"/>
      <c r="BE267" s="215"/>
      <c r="BF267" s="215"/>
      <c r="BG267" s="215"/>
      <c r="BH267" s="215"/>
      <c r="BI267" s="215"/>
      <c r="BJ267" s="215"/>
      <c r="BK267" s="215"/>
      <c r="BL267" s="215"/>
      <c r="BM267" s="215"/>
      <c r="BN267" s="205"/>
      <c r="BO267" s="205"/>
      <c r="BP267" s="205"/>
      <c r="BQ267" s="205">
        <v>0</v>
      </c>
      <c r="BR267" s="154" t="s">
        <v>85</v>
      </c>
      <c r="BS267" s="154" t="s">
        <v>85</v>
      </c>
      <c r="BT267" s="154" t="s">
        <v>85</v>
      </c>
      <c r="BU267" s="154">
        <v>147</v>
      </c>
      <c r="BV267" s="154" t="s">
        <v>85</v>
      </c>
      <c r="BW267" s="154">
        <v>47.4</v>
      </c>
      <c r="BX267" s="154" t="s">
        <v>85</v>
      </c>
      <c r="BY267" s="154" t="s">
        <v>85</v>
      </c>
      <c r="BZ267" s="154">
        <v>270</v>
      </c>
      <c r="CA267" s="154">
        <v>83.53</v>
      </c>
      <c r="CB267" s="154"/>
      <c r="CC267" s="154" t="s">
        <v>85</v>
      </c>
      <c r="CD267" s="154">
        <v>14.13</v>
      </c>
      <c r="CE267" s="154" t="s">
        <v>85</v>
      </c>
      <c r="CF267" s="154" t="s">
        <v>85</v>
      </c>
      <c r="CG267" s="205" t="s">
        <v>1165</v>
      </c>
    </row>
    <row r="268" spans="1:85">
      <c r="A268" s="155">
        <v>72901</v>
      </c>
      <c r="B268" s="155" t="s">
        <v>1534</v>
      </c>
      <c r="C268" s="155" t="s">
        <v>1535</v>
      </c>
      <c r="D268" s="155"/>
      <c r="E268" s="154" t="s">
        <v>1417</v>
      </c>
      <c r="F268" s="155">
        <v>2571056</v>
      </c>
      <c r="G268" s="27" t="s">
        <v>1536</v>
      </c>
      <c r="H268" s="212"/>
      <c r="I268" s="212"/>
      <c r="J268" s="205">
        <v>39</v>
      </c>
      <c r="K268" s="205"/>
      <c r="L268" s="205">
        <v>0</v>
      </c>
      <c r="M268" s="205">
        <v>0</v>
      </c>
      <c r="N268" s="207">
        <v>11</v>
      </c>
      <c r="O268" s="205"/>
      <c r="P268" s="205"/>
      <c r="Q268" s="205"/>
      <c r="R268" s="205"/>
      <c r="S268" s="205"/>
      <c r="T268" s="205"/>
      <c r="U268" s="205"/>
      <c r="V268" s="205"/>
      <c r="W268" s="205"/>
      <c r="X268" s="205"/>
      <c r="Y268" s="205"/>
      <c r="Z268" s="205"/>
      <c r="AA268" s="205"/>
      <c r="AB268" s="205"/>
      <c r="AC268" s="205"/>
      <c r="AD268" s="205"/>
      <c r="AE268" s="205"/>
      <c r="AF268" s="205"/>
      <c r="AG268" s="205"/>
      <c r="AH268" s="205"/>
      <c r="AI268" s="205"/>
      <c r="AJ268" s="205"/>
      <c r="AK268" s="205"/>
      <c r="AL268" s="205"/>
      <c r="AM268" s="205"/>
      <c r="AN268" s="205"/>
      <c r="AO268" s="205">
        <v>17</v>
      </c>
      <c r="AP268" s="205"/>
      <c r="AQ268" s="205"/>
      <c r="AR268" s="205"/>
      <c r="AS268" s="205"/>
      <c r="AT268" s="205"/>
      <c r="AU268" s="205"/>
      <c r="AV268" s="215"/>
      <c r="AW268" s="215"/>
      <c r="AX268" s="215"/>
      <c r="AY268" s="215"/>
      <c r="AZ268" s="215"/>
      <c r="BA268" s="215"/>
      <c r="BB268" s="215"/>
      <c r="BC268" s="215"/>
      <c r="BD268" s="215"/>
      <c r="BE268" s="215"/>
      <c r="BF268" s="215"/>
      <c r="BG268" s="215"/>
      <c r="BH268" s="215"/>
      <c r="BI268" s="215"/>
      <c r="BJ268" s="215"/>
      <c r="BK268" s="215"/>
      <c r="BL268" s="215"/>
      <c r="BM268" s="215"/>
      <c r="BN268" s="205"/>
      <c r="BO268" s="205"/>
      <c r="BP268" s="205"/>
      <c r="BQ268" s="205"/>
      <c r="BR268" s="205"/>
      <c r="BS268" s="205"/>
      <c r="BT268" s="205"/>
      <c r="BU268" s="205"/>
      <c r="BV268" s="205"/>
      <c r="BW268" s="205"/>
      <c r="BX268" s="205"/>
      <c r="BY268" s="205"/>
      <c r="BZ268" s="205"/>
      <c r="CA268" s="205"/>
      <c r="CB268" s="205"/>
      <c r="CC268" s="205"/>
      <c r="CD268" s="205"/>
      <c r="CE268" s="205"/>
      <c r="CF268" s="205"/>
      <c r="CG268" s="205"/>
    </row>
    <row r="269" spans="1:85">
      <c r="A269" s="155">
        <v>72903</v>
      </c>
      <c r="B269" s="155" t="s">
        <v>1537</v>
      </c>
      <c r="C269" s="155" t="s">
        <v>1538</v>
      </c>
      <c r="D269" s="155"/>
      <c r="E269" s="154" t="s">
        <v>1417</v>
      </c>
      <c r="F269" s="155">
        <v>465661</v>
      </c>
      <c r="G269" s="19" t="s">
        <v>1539</v>
      </c>
      <c r="H269" s="212"/>
      <c r="I269" s="212"/>
      <c r="J269" s="205">
        <v>65</v>
      </c>
      <c r="K269" s="205"/>
      <c r="L269" s="205">
        <v>0</v>
      </c>
      <c r="M269" s="205">
        <v>0</v>
      </c>
      <c r="N269" s="207">
        <v>16</v>
      </c>
      <c r="O269" s="205">
        <v>0.5</v>
      </c>
      <c r="P269" s="205"/>
      <c r="Q269" s="205"/>
      <c r="R269" s="205"/>
      <c r="S269" s="205"/>
      <c r="T269" s="205"/>
      <c r="U269" s="205"/>
      <c r="V269" s="205"/>
      <c r="W269" s="205"/>
      <c r="X269" s="205"/>
      <c r="Y269" s="205"/>
      <c r="Z269" s="205"/>
      <c r="AA269" s="205">
        <v>120</v>
      </c>
      <c r="AB269" s="205"/>
      <c r="AC269" s="205"/>
      <c r="AD269" s="205"/>
      <c r="AE269" s="205"/>
      <c r="AF269" s="205"/>
      <c r="AG269" s="205"/>
      <c r="AH269" s="205"/>
      <c r="AI269" s="205" t="s">
        <v>1540</v>
      </c>
      <c r="AJ269" s="205"/>
      <c r="AK269" s="205">
        <v>0.36</v>
      </c>
      <c r="AL269" s="205"/>
      <c r="AM269" s="205"/>
      <c r="AN269" s="205"/>
      <c r="AO269" s="205"/>
      <c r="AP269" s="205"/>
      <c r="AQ269" s="205"/>
      <c r="AR269" s="205">
        <v>0</v>
      </c>
      <c r="AS269" s="205"/>
      <c r="AT269" s="205"/>
      <c r="AU269" s="205">
        <v>0</v>
      </c>
      <c r="AV269" s="215"/>
      <c r="AW269" s="215"/>
      <c r="AX269" s="215"/>
      <c r="AY269" s="215"/>
      <c r="AZ269" s="215"/>
      <c r="BA269" s="215"/>
      <c r="BB269" s="215"/>
      <c r="BC269" s="215"/>
      <c r="BD269" s="215"/>
      <c r="BE269" s="215"/>
      <c r="BF269" s="215"/>
      <c r="BG269" s="215"/>
      <c r="BH269" s="215"/>
      <c r="BI269" s="215"/>
      <c r="BJ269" s="215"/>
      <c r="BK269" s="215"/>
      <c r="BL269" s="215"/>
      <c r="BM269" s="215"/>
      <c r="BN269" s="205"/>
      <c r="BO269" s="205"/>
      <c r="BP269" s="205"/>
      <c r="BQ269" s="205"/>
      <c r="BR269" s="205"/>
      <c r="BS269" s="205"/>
      <c r="BT269" s="205"/>
      <c r="BU269" s="205"/>
      <c r="BV269" s="205"/>
      <c r="BW269" s="205"/>
      <c r="BX269" s="205"/>
      <c r="BY269" s="205"/>
      <c r="BZ269" s="205"/>
      <c r="CA269" s="205"/>
      <c r="CB269" s="205"/>
      <c r="CC269" s="205"/>
      <c r="CD269" s="205"/>
      <c r="CE269" s="205"/>
      <c r="CF269" s="205"/>
      <c r="CG269" s="205"/>
    </row>
    <row r="270" spans="1:85">
      <c r="A270" s="155">
        <v>70103</v>
      </c>
      <c r="B270" s="155" t="s">
        <v>1541</v>
      </c>
      <c r="C270" s="155" t="s">
        <v>1542</v>
      </c>
      <c r="D270" s="155"/>
      <c r="E270" s="154" t="s">
        <v>1502</v>
      </c>
      <c r="F270" s="141" t="s">
        <v>1543</v>
      </c>
      <c r="G270" s="27" t="s">
        <v>1544</v>
      </c>
      <c r="H270" s="212"/>
      <c r="I270" s="212"/>
      <c r="J270" s="205"/>
      <c r="K270" s="205"/>
      <c r="L270" s="205"/>
      <c r="M270" s="205"/>
      <c r="N270" s="207"/>
      <c r="O270" s="205"/>
      <c r="P270" s="205"/>
      <c r="Q270" s="205"/>
      <c r="R270" s="205"/>
      <c r="S270" s="205"/>
      <c r="T270" s="205"/>
      <c r="U270" s="205"/>
      <c r="V270" s="205"/>
      <c r="W270" s="205"/>
      <c r="X270" s="205"/>
      <c r="Y270" s="205"/>
      <c r="Z270" s="205"/>
      <c r="AA270" s="205"/>
      <c r="AB270" s="205"/>
      <c r="AC270" s="205"/>
      <c r="AD270" s="205"/>
      <c r="AE270" s="205"/>
      <c r="AF270" s="205"/>
      <c r="AG270" s="205"/>
      <c r="AH270" s="205"/>
      <c r="AI270" s="205"/>
      <c r="AJ270" s="205"/>
      <c r="AK270" s="205"/>
      <c r="AL270" s="205"/>
      <c r="AM270" s="205"/>
      <c r="AN270" s="205"/>
      <c r="AO270" s="205">
        <v>3080</v>
      </c>
      <c r="AP270" s="205"/>
      <c r="AQ270" s="205"/>
      <c r="AR270" s="205"/>
      <c r="AS270" s="205"/>
      <c r="AT270" s="205"/>
      <c r="AU270" s="205"/>
      <c r="AV270" s="215"/>
      <c r="AW270" s="215"/>
      <c r="AX270" s="215"/>
      <c r="AY270" s="215"/>
      <c r="AZ270" s="215"/>
      <c r="BA270" s="215"/>
      <c r="BB270" s="215"/>
      <c r="BC270" s="215"/>
      <c r="BD270" s="215"/>
      <c r="BE270" s="215"/>
      <c r="BF270" s="215"/>
      <c r="BG270" s="215"/>
      <c r="BH270" s="215"/>
      <c r="BI270" s="215"/>
      <c r="BJ270" s="215"/>
      <c r="BK270" s="215"/>
      <c r="BL270" s="215"/>
      <c r="BM270" s="215"/>
      <c r="BN270" s="205"/>
      <c r="BO270" s="205"/>
      <c r="BP270" s="205"/>
      <c r="BQ270" s="205"/>
      <c r="BR270" s="205"/>
      <c r="BS270" s="205"/>
      <c r="BT270" s="205"/>
      <c r="BU270" s="205"/>
      <c r="BV270" s="205"/>
      <c r="BW270" s="205"/>
      <c r="BX270" s="205"/>
      <c r="BY270" s="205"/>
      <c r="BZ270" s="205"/>
      <c r="CA270" s="205"/>
      <c r="CB270" s="205"/>
      <c r="CC270" s="205"/>
      <c r="CD270" s="205"/>
      <c r="CE270" s="205"/>
      <c r="CF270" s="205"/>
      <c r="CG270" s="205"/>
    </row>
    <row r="271" spans="1:85">
      <c r="A271" s="155">
        <v>91601</v>
      </c>
      <c r="B271" s="155" t="s">
        <v>1545</v>
      </c>
      <c r="C271" s="155" t="s">
        <v>1546</v>
      </c>
      <c r="D271" s="155"/>
      <c r="E271" s="155" t="s">
        <v>76</v>
      </c>
      <c r="F271" s="155">
        <v>170026</v>
      </c>
      <c r="G271" s="27" t="s">
        <v>1547</v>
      </c>
      <c r="H271" s="212"/>
      <c r="I271" s="212"/>
      <c r="J271" s="172">
        <v>379</v>
      </c>
      <c r="K271" s="173">
        <v>2.5</v>
      </c>
      <c r="L271" s="173">
        <v>9.4</v>
      </c>
      <c r="M271" s="173">
        <v>3.1</v>
      </c>
      <c r="N271" s="173" t="s">
        <v>1530</v>
      </c>
      <c r="O271" s="173" t="s">
        <v>1530</v>
      </c>
      <c r="P271" s="173">
        <v>1.7</v>
      </c>
      <c r="Q271" s="173" t="s">
        <v>1530</v>
      </c>
      <c r="R271" s="173">
        <v>22</v>
      </c>
      <c r="S271" s="173">
        <v>7.3</v>
      </c>
      <c r="T271" s="173">
        <v>2.4</v>
      </c>
      <c r="U271" s="173" t="s">
        <v>1530</v>
      </c>
      <c r="V271" s="173">
        <v>1.2</v>
      </c>
      <c r="W271" s="173">
        <v>73</v>
      </c>
      <c r="X271" s="173">
        <v>18.5</v>
      </c>
      <c r="Y271" s="173">
        <v>12.2</v>
      </c>
      <c r="Z271" s="173" t="s">
        <v>1530</v>
      </c>
      <c r="AA271" s="173">
        <v>978</v>
      </c>
      <c r="AB271" s="173" t="s">
        <v>1530</v>
      </c>
      <c r="AC271" s="173" t="s">
        <v>1530</v>
      </c>
      <c r="AD271" s="173" t="s">
        <v>1530</v>
      </c>
      <c r="AE271" s="173" t="s">
        <v>1530</v>
      </c>
      <c r="AF271" s="173" t="s">
        <v>1530</v>
      </c>
      <c r="AG271" s="173" t="s">
        <v>1530</v>
      </c>
      <c r="AH271" s="173" t="s">
        <v>1530</v>
      </c>
      <c r="AI271" s="173">
        <v>1910</v>
      </c>
      <c r="AJ271" s="173">
        <v>0.2</v>
      </c>
      <c r="AK271" s="173">
        <v>10.5</v>
      </c>
      <c r="AL271" s="173">
        <v>39</v>
      </c>
      <c r="AM271" s="173" t="s">
        <v>1530</v>
      </c>
      <c r="AN271" s="173">
        <v>300</v>
      </c>
      <c r="AO271" s="173">
        <v>686</v>
      </c>
      <c r="AP271" s="173" t="s">
        <v>1530</v>
      </c>
      <c r="AQ271" s="173" t="s">
        <v>1530</v>
      </c>
      <c r="AR271" s="173">
        <v>83.7</v>
      </c>
      <c r="AS271" s="173" t="s">
        <v>1530</v>
      </c>
      <c r="AT271" s="173" t="s">
        <v>1530</v>
      </c>
      <c r="AU271" s="173" t="s">
        <v>1530</v>
      </c>
      <c r="AV271" s="173" t="s">
        <v>1530</v>
      </c>
      <c r="AW271" s="173" t="s">
        <v>1530</v>
      </c>
      <c r="AX271" s="173" t="s">
        <v>1530</v>
      </c>
      <c r="AY271" s="173" t="s">
        <v>1530</v>
      </c>
      <c r="AZ271" s="173" t="s">
        <v>1530</v>
      </c>
      <c r="BA271" s="173" t="s">
        <v>1530</v>
      </c>
      <c r="BB271" s="173" t="s">
        <v>1530</v>
      </c>
      <c r="BC271" s="173" t="s">
        <v>1530</v>
      </c>
      <c r="BD271" s="173" t="s">
        <v>1530</v>
      </c>
      <c r="BE271" s="173" t="s">
        <v>1530</v>
      </c>
      <c r="BF271" s="173" t="s">
        <v>1530</v>
      </c>
      <c r="BG271" s="173" t="s">
        <v>1530</v>
      </c>
      <c r="BH271" s="173" t="s">
        <v>1530</v>
      </c>
      <c r="BI271" s="173" t="s">
        <v>1530</v>
      </c>
      <c r="BJ271" s="173" t="s">
        <v>1530</v>
      </c>
      <c r="BK271" s="173" t="s">
        <v>1530</v>
      </c>
      <c r="BL271" s="173" t="s">
        <v>1530</v>
      </c>
      <c r="BM271" s="173" t="s">
        <v>1530</v>
      </c>
      <c r="BN271" s="173" t="s">
        <v>1530</v>
      </c>
      <c r="BO271" s="173" t="s">
        <v>1530</v>
      </c>
      <c r="BP271" s="173" t="s">
        <v>1530</v>
      </c>
      <c r="BQ271" s="205"/>
      <c r="BR271" s="205"/>
      <c r="BS271" s="205"/>
      <c r="BT271" s="205"/>
      <c r="BU271" s="205"/>
      <c r="BV271" s="205"/>
      <c r="BW271" s="205"/>
      <c r="BX271" s="205"/>
      <c r="BY271" s="205"/>
      <c r="BZ271" s="205"/>
      <c r="CA271" s="205"/>
      <c r="CB271" s="205"/>
      <c r="CC271" s="205"/>
      <c r="CD271" s="205"/>
      <c r="CE271" s="205"/>
      <c r="CF271" s="205"/>
      <c r="CG271" s="205"/>
    </row>
    <row r="272" spans="1:85">
      <c r="B272" s="212"/>
      <c r="C272" s="212"/>
      <c r="E272" s="212"/>
      <c r="F272" s="212"/>
      <c r="G272" s="209"/>
      <c r="H272" s="212"/>
      <c r="I272" s="212"/>
      <c r="J272" s="205"/>
      <c r="K272" s="205"/>
      <c r="L272" s="205"/>
      <c r="M272" s="205"/>
      <c r="N272" s="207"/>
      <c r="O272" s="205"/>
      <c r="P272" s="205"/>
      <c r="Q272" s="205"/>
      <c r="R272" s="205"/>
      <c r="S272" s="205"/>
      <c r="T272" s="205"/>
      <c r="U272" s="205"/>
      <c r="V272" s="205"/>
      <c r="W272" s="205"/>
      <c r="X272" s="205"/>
      <c r="Y272" s="205"/>
      <c r="Z272" s="205"/>
      <c r="AA272" s="205"/>
      <c r="AB272" s="205"/>
      <c r="AC272" s="205"/>
      <c r="AD272" s="205"/>
      <c r="AE272" s="205"/>
      <c r="AF272" s="205"/>
      <c r="AG272" s="205"/>
      <c r="AH272" s="205"/>
      <c r="AI272" s="205"/>
      <c r="AJ272" s="205"/>
      <c r="AK272" s="205"/>
      <c r="AL272" s="205"/>
      <c r="AM272" s="205"/>
      <c r="AN272" s="205"/>
      <c r="AO272" s="205"/>
      <c r="AP272" s="205"/>
      <c r="AQ272" s="205"/>
      <c r="AR272" s="205"/>
      <c r="AS272" s="205"/>
      <c r="AT272" s="205"/>
      <c r="AU272" s="205"/>
      <c r="AV272" s="215"/>
      <c r="AW272" s="215"/>
      <c r="AX272" s="215"/>
      <c r="AY272" s="215"/>
      <c r="AZ272" s="215"/>
      <c r="BA272" s="215"/>
      <c r="BB272" s="215"/>
      <c r="BC272" s="215"/>
      <c r="BD272" s="215"/>
      <c r="BE272" s="215"/>
      <c r="BF272" s="215"/>
      <c r="BG272" s="215"/>
      <c r="BH272" s="215"/>
      <c r="BI272" s="215"/>
      <c r="BJ272" s="215"/>
      <c r="BK272" s="215"/>
      <c r="BL272" s="215"/>
      <c r="BM272" s="215"/>
      <c r="BN272" s="205"/>
      <c r="BO272" s="205"/>
      <c r="BP272" s="205"/>
      <c r="BQ272" s="205"/>
      <c r="BR272" s="205"/>
      <c r="BS272" s="205"/>
      <c r="BT272" s="205"/>
      <c r="BU272" s="205"/>
      <c r="BV272" s="205"/>
      <c r="BW272" s="205"/>
      <c r="BX272" s="205"/>
      <c r="BY272" s="205"/>
      <c r="BZ272" s="205"/>
      <c r="CA272" s="205"/>
      <c r="CB272" s="205"/>
      <c r="CC272" s="205"/>
      <c r="CD272" s="205"/>
      <c r="CE272" s="205"/>
      <c r="CF272" s="205"/>
      <c r="CG272" s="205"/>
    </row>
    <row r="273" spans="1:13">
      <c r="A273" s="161"/>
      <c r="B273" s="217"/>
      <c r="C273" s="217"/>
      <c r="D273" s="161"/>
      <c r="E273" s="217"/>
      <c r="F273" s="217"/>
      <c r="G273" s="218"/>
      <c r="H273" s="217"/>
      <c r="I273" s="217"/>
      <c r="J273" s="208"/>
      <c r="K273" s="208"/>
      <c r="L273" s="208"/>
      <c r="M273" s="208"/>
    </row>
  </sheetData>
  <autoFilter ref="A1:BP271" xr:uid="{0358F13C-EE28-4FA3-88E1-AF662B1B307B}"/>
  <hyperlinks>
    <hyperlink ref="F19" r:id="rId1" xr:uid="{2E6D417A-551A-4FBA-A0BF-8C3FF846C72D}"/>
    <hyperlink ref="F259" r:id="rId2" xr:uid="{91F171A3-6FD5-46A5-A5ED-9FBE8B00CA37}"/>
    <hyperlink ref="F260" r:id="rId3" xr:uid="{C6641530-6410-4702-9123-4CDF4F374EA4}"/>
    <hyperlink ref="F261" r:id="rId4" xr:uid="{FB4A61B3-F46D-4999-B812-2A37B6164CB9}"/>
    <hyperlink ref="F270" r:id="rId5" xr:uid="{BBD67182-DD82-46D9-A620-2110D04E4960}"/>
    <hyperlink ref="F263" r:id="rId6" xr:uid="{E0BA5A50-96DD-4EDB-B277-49905DB337B6}"/>
  </hyperlinks>
  <pageMargins left="0.7" right="0.7" top="0.75" bottom="0.75" header="0.3" footer="0.3"/>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28E6-908A-44C4-B928-4F3083836517}">
  <dimension ref="A1:CA133"/>
  <sheetViews>
    <sheetView tabSelected="1" workbookViewId="0"/>
  </sheetViews>
  <sheetFormatPr defaultRowHeight="15"/>
  <cols>
    <col min="1" max="1" width="9.140625" style="27"/>
    <col min="2" max="2" width="28.85546875" style="27" customWidth="1"/>
    <col min="3" max="3" width="10.140625" style="27" customWidth="1"/>
    <col min="4" max="4" width="11.28515625" style="27" customWidth="1"/>
    <col min="25" max="26" width="10" bestFit="1" customWidth="1"/>
    <col min="69" max="69" width="10" bestFit="1" customWidth="1"/>
    <col min="72" max="72" width="10" bestFit="1" customWidth="1"/>
  </cols>
  <sheetData>
    <row r="1" spans="1:79" s="249" customFormat="1">
      <c r="A1" s="250" t="s">
        <v>0</v>
      </c>
      <c r="B1" s="251" t="s">
        <v>1548</v>
      </c>
      <c r="C1" s="252" t="s">
        <v>4</v>
      </c>
      <c r="D1" s="252" t="s">
        <v>5</v>
      </c>
      <c r="E1" s="253" t="s">
        <v>1549</v>
      </c>
      <c r="F1" s="254" t="s">
        <v>1550</v>
      </c>
      <c r="G1" s="254" t="s">
        <v>1551</v>
      </c>
      <c r="H1" s="254" t="s">
        <v>1552</v>
      </c>
      <c r="I1" s="254" t="s">
        <v>1553</v>
      </c>
      <c r="J1" s="254" t="s">
        <v>1554</v>
      </c>
      <c r="K1" s="254" t="s">
        <v>1555</v>
      </c>
      <c r="L1" s="254" t="s">
        <v>1556</v>
      </c>
      <c r="M1" s="254" t="s">
        <v>1557</v>
      </c>
      <c r="N1" s="254" t="s">
        <v>1558</v>
      </c>
      <c r="O1" s="254" t="s">
        <v>1559</v>
      </c>
      <c r="P1" s="254" t="s">
        <v>1560</v>
      </c>
      <c r="Q1" s="254" t="s">
        <v>1561</v>
      </c>
      <c r="R1" s="254" t="s">
        <v>1562</v>
      </c>
      <c r="S1" s="254" t="s">
        <v>1563</v>
      </c>
      <c r="T1" s="254" t="s">
        <v>1564</v>
      </c>
      <c r="U1" s="254" t="s">
        <v>1565</v>
      </c>
      <c r="V1" s="254" t="s">
        <v>1566</v>
      </c>
      <c r="W1" s="254" t="s">
        <v>1567</v>
      </c>
      <c r="X1" s="254" t="s">
        <v>1568</v>
      </c>
      <c r="Y1" s="254" t="s">
        <v>1569</v>
      </c>
      <c r="Z1" s="254" t="s">
        <v>1570</v>
      </c>
      <c r="AA1" s="254" t="s">
        <v>1571</v>
      </c>
      <c r="AB1" s="254" t="s">
        <v>1572</v>
      </c>
      <c r="AC1" s="254" t="s">
        <v>1573</v>
      </c>
      <c r="AD1" s="254" t="s">
        <v>1574</v>
      </c>
      <c r="AE1" s="254" t="s">
        <v>1575</v>
      </c>
      <c r="AF1" s="254" t="s">
        <v>1576</v>
      </c>
      <c r="AG1" s="254" t="s">
        <v>1577</v>
      </c>
      <c r="AH1" s="254" t="s">
        <v>1578</v>
      </c>
      <c r="AI1" s="254" t="s">
        <v>1579</v>
      </c>
      <c r="AJ1" s="254" t="s">
        <v>1580</v>
      </c>
      <c r="AK1" s="254" t="s">
        <v>1581</v>
      </c>
      <c r="AL1" s="254" t="s">
        <v>1582</v>
      </c>
      <c r="AM1" s="254" t="s">
        <v>1583</v>
      </c>
      <c r="AN1" s="254" t="s">
        <v>1584</v>
      </c>
      <c r="AO1" s="254" t="s">
        <v>1585</v>
      </c>
      <c r="AP1" s="254" t="s">
        <v>1586</v>
      </c>
      <c r="AQ1" s="254" t="s">
        <v>1587</v>
      </c>
      <c r="AR1" s="254" t="s">
        <v>1588</v>
      </c>
      <c r="AS1" s="254" t="s">
        <v>1589</v>
      </c>
      <c r="AT1" s="254" t="s">
        <v>1590</v>
      </c>
      <c r="AU1" s="254" t="s">
        <v>1591</v>
      </c>
      <c r="AV1" s="254" t="s">
        <v>1592</v>
      </c>
      <c r="AW1" s="254" t="s">
        <v>1593</v>
      </c>
      <c r="AX1" s="254" t="s">
        <v>1594</v>
      </c>
      <c r="AY1" s="254" t="s">
        <v>1595</v>
      </c>
      <c r="AZ1" s="254" t="s">
        <v>1596</v>
      </c>
      <c r="BA1" s="254" t="s">
        <v>1597</v>
      </c>
      <c r="BB1" s="254" t="s">
        <v>1598</v>
      </c>
      <c r="BC1" s="254" t="s">
        <v>1599</v>
      </c>
      <c r="BD1" s="254" t="s">
        <v>1600</v>
      </c>
      <c r="BE1" s="254" t="s">
        <v>1601</v>
      </c>
      <c r="BF1" s="254" t="s">
        <v>1602</v>
      </c>
      <c r="BG1" s="254" t="s">
        <v>1603</v>
      </c>
      <c r="BH1" s="254" t="s">
        <v>1604</v>
      </c>
      <c r="BI1" s="254" t="s">
        <v>1605</v>
      </c>
      <c r="BJ1" s="254" t="s">
        <v>1606</v>
      </c>
      <c r="BK1" s="254" t="s">
        <v>1607</v>
      </c>
      <c r="BL1" s="254" t="s">
        <v>1608</v>
      </c>
      <c r="BM1" s="254" t="s">
        <v>1609</v>
      </c>
      <c r="BN1" s="254" t="s">
        <v>1610</v>
      </c>
      <c r="BO1" s="254" t="s">
        <v>1611</v>
      </c>
      <c r="BP1" s="254" t="s">
        <v>1612</v>
      </c>
      <c r="BQ1" s="254" t="s">
        <v>1613</v>
      </c>
      <c r="BR1" s="254" t="s">
        <v>1614</v>
      </c>
      <c r="BS1" s="254" t="s">
        <v>1615</v>
      </c>
      <c r="BT1" s="254" t="s">
        <v>1616</v>
      </c>
      <c r="BU1" s="254" t="s">
        <v>1617</v>
      </c>
      <c r="BV1" s="254" t="s">
        <v>1618</v>
      </c>
      <c r="BW1" s="254" t="s">
        <v>1619</v>
      </c>
      <c r="BX1" s="254" t="s">
        <v>1620</v>
      </c>
      <c r="BY1" s="254" t="s">
        <v>1621</v>
      </c>
      <c r="BZ1" s="254" t="s">
        <v>1622</v>
      </c>
      <c r="CA1" s="254" t="s">
        <v>1623</v>
      </c>
    </row>
    <row r="2" spans="1:79">
      <c r="A2" s="245">
        <v>11404</v>
      </c>
      <c r="B2" s="243" t="s">
        <v>1624</v>
      </c>
      <c r="C2" s="212" t="s">
        <v>1625</v>
      </c>
      <c r="D2" s="246">
        <v>2</v>
      </c>
      <c r="E2" s="248">
        <v>91.314461182336203</v>
      </c>
      <c r="F2" s="244">
        <v>86.240111524216502</v>
      </c>
      <c r="G2" s="244">
        <v>3.1846548575498601</v>
      </c>
      <c r="H2" s="244">
        <v>4.3251403988604</v>
      </c>
      <c r="I2" s="244">
        <v>9.2245573076923097</v>
      </c>
      <c r="J2" s="244">
        <v>1.9732346723646701</v>
      </c>
      <c r="K2" s="244">
        <v>4.7336524216524199E-2</v>
      </c>
      <c r="L2" s="244">
        <v>2.0941588319088301E-2</v>
      </c>
      <c r="M2" s="244">
        <v>0.38759388888888902</v>
      </c>
      <c r="N2" s="244">
        <v>0.15073462962963</v>
      </c>
      <c r="O2" s="244">
        <v>4.8874586894586902E-2</v>
      </c>
      <c r="P2" s="244">
        <v>3.6988264957264998</v>
      </c>
      <c r="Q2" s="244">
        <v>0</v>
      </c>
      <c r="R2" s="244">
        <v>2.8998132336182301</v>
      </c>
      <c r="S2" s="244">
        <v>0.35642152421652401</v>
      </c>
      <c r="T2" s="244">
        <v>0.20930216524216499</v>
      </c>
      <c r="U2" s="244">
        <v>14.5610699430199</v>
      </c>
      <c r="V2" s="244">
        <v>0</v>
      </c>
      <c r="W2" s="244">
        <v>4.6022804273504301</v>
      </c>
      <c r="X2" s="244">
        <v>1.0060401709401701</v>
      </c>
      <c r="Y2" s="244">
        <v>50.475112849002898</v>
      </c>
      <c r="Z2" s="244">
        <v>127.336655128205</v>
      </c>
      <c r="AA2" s="244">
        <v>7.2672364672364695E-2</v>
      </c>
      <c r="AB2" s="244">
        <v>3.2829059829059801</v>
      </c>
      <c r="AC2" s="244">
        <v>6.3814883333333299</v>
      </c>
      <c r="AD2" s="244">
        <v>13.1572877492878</v>
      </c>
      <c r="AE2" s="244">
        <v>0.11300277777777799</v>
      </c>
      <c r="AF2" s="244">
        <v>0.82933005698005702</v>
      </c>
      <c r="AG2" s="244">
        <v>0.59478254985754997</v>
      </c>
      <c r="AH2" s="244">
        <v>36.250420626780603</v>
      </c>
      <c r="AI2" s="244">
        <v>101.156200683761</v>
      </c>
      <c r="AJ2" s="244">
        <v>0.67634408831908799</v>
      </c>
      <c r="AK2" s="244">
        <v>0.49044414529914498</v>
      </c>
      <c r="AL2" s="244">
        <v>0.68362975783475799</v>
      </c>
      <c r="AM2" s="244">
        <v>0.98211834757834804</v>
      </c>
      <c r="AN2" s="244">
        <v>2.4580932193732199</v>
      </c>
      <c r="AO2" s="244">
        <v>0</v>
      </c>
      <c r="AP2" s="244">
        <v>7.1156541310541305E-2</v>
      </c>
      <c r="AQ2" s="244">
        <v>0.119981054131054</v>
      </c>
      <c r="AR2" s="244">
        <v>0.21565471225071201</v>
      </c>
      <c r="AS2" s="244">
        <v>0.21323198860398901</v>
      </c>
      <c r="AT2" s="244">
        <v>2.12245185185185E-2</v>
      </c>
      <c r="AU2" s="244">
        <v>2.56110911680912E-2</v>
      </c>
      <c r="AV2" s="244">
        <v>0.14995850427350399</v>
      </c>
      <c r="AW2" s="244">
        <v>0.114135683760684</v>
      </c>
      <c r="AX2" s="244">
        <v>2.9557071225071199E-2</v>
      </c>
      <c r="AY2" s="244">
        <v>0.15415350997151001</v>
      </c>
      <c r="AZ2" s="244">
        <v>0.190710988603989</v>
      </c>
      <c r="BA2" s="244">
        <v>0.26036654131054099</v>
      </c>
      <c r="BB2" s="244">
        <v>0.36685207977208001</v>
      </c>
      <c r="BC2" s="244">
        <v>0.58503656125356096</v>
      </c>
      <c r="BD2" s="244">
        <v>0.13937974928774899</v>
      </c>
      <c r="BE2" s="244">
        <v>0.124011256410256</v>
      </c>
      <c r="BF2" s="244">
        <v>0.163122088319088</v>
      </c>
      <c r="BG2" s="244">
        <v>9.0914014245014302E-2</v>
      </c>
      <c r="BH2" s="244">
        <v>6.9040712250712302</v>
      </c>
      <c r="BI2" s="244">
        <v>24.138629629629602</v>
      </c>
      <c r="BJ2" s="244">
        <v>3.3663461538461501</v>
      </c>
      <c r="BK2" s="244">
        <v>3.8070370370370399</v>
      </c>
      <c r="BL2" s="244">
        <v>0</v>
      </c>
      <c r="BM2" s="244">
        <v>0.158641025641026</v>
      </c>
      <c r="BN2" s="244">
        <v>0.89280341880341896</v>
      </c>
      <c r="BO2" s="244">
        <v>25.083094017094002</v>
      </c>
      <c r="BP2" s="244">
        <v>3.82090455840456</v>
      </c>
      <c r="BQ2" s="244">
        <v>45.362185185185197</v>
      </c>
      <c r="BR2" s="244">
        <v>0.17208547008547001</v>
      </c>
      <c r="BS2" s="244">
        <v>0.299216524216524</v>
      </c>
      <c r="BT2" s="244">
        <v>57.487915954415897</v>
      </c>
      <c r="BU2" s="244">
        <v>12.4398632478633</v>
      </c>
      <c r="BV2" s="244">
        <v>3.2259259259259299</v>
      </c>
      <c r="BW2" s="244">
        <v>8.7428774928774905E-2</v>
      </c>
      <c r="BX2" s="244">
        <v>5.1707635327635302</v>
      </c>
      <c r="BY2" s="244">
        <v>4.1803418803418799E-2</v>
      </c>
      <c r="BZ2" s="244">
        <v>0</v>
      </c>
      <c r="CA2" s="244">
        <v>0.813675213675214</v>
      </c>
    </row>
    <row r="3" spans="1:79">
      <c r="A3" s="245">
        <v>12302</v>
      </c>
      <c r="B3" s="243" t="s">
        <v>1626</v>
      </c>
      <c r="C3" s="212" t="s">
        <v>1625</v>
      </c>
      <c r="D3" s="246">
        <v>3</v>
      </c>
      <c r="E3" s="248">
        <v>233.50442477876101</v>
      </c>
      <c r="F3" s="244">
        <v>65.136407079646006</v>
      </c>
      <c r="G3" s="244">
        <v>7.8930088495575204</v>
      </c>
      <c r="H3" s="244">
        <v>1.4611504424778801</v>
      </c>
      <c r="I3" s="244">
        <v>43.470973451327403</v>
      </c>
      <c r="J3" s="244">
        <v>7.4805309734513301</v>
      </c>
      <c r="K3" s="244">
        <v>0.25692477876106201</v>
      </c>
      <c r="L3" s="244">
        <v>0.112907079646018</v>
      </c>
      <c r="M3" s="244">
        <v>2.5238053097345099</v>
      </c>
      <c r="N3" s="244">
        <v>0.60823008849557503</v>
      </c>
      <c r="O3" s="244">
        <v>0.25797345132743399</v>
      </c>
      <c r="P3" s="244">
        <v>10.1371681415929</v>
      </c>
      <c r="Q3" s="244">
        <v>0</v>
      </c>
      <c r="R3" s="244">
        <v>0</v>
      </c>
      <c r="S3" s="244">
        <v>12.1506194690265</v>
      </c>
      <c r="T3" s="244">
        <v>0.50336283185840702</v>
      </c>
      <c r="U3" s="244">
        <v>1.2234513274336301</v>
      </c>
      <c r="V3" s="244">
        <v>0</v>
      </c>
      <c r="W3" s="244">
        <v>0.26426548672566402</v>
      </c>
      <c r="X3" s="244">
        <v>0</v>
      </c>
      <c r="Y3" s="244">
        <v>3.1460176991150401</v>
      </c>
      <c r="Z3" s="244">
        <v>26.502053097345101</v>
      </c>
      <c r="AA3" s="244">
        <v>0</v>
      </c>
      <c r="AB3" s="244">
        <v>0</v>
      </c>
      <c r="AC3" s="244">
        <v>0.82425663716814201</v>
      </c>
      <c r="AD3" s="244">
        <v>36.8105309734513</v>
      </c>
      <c r="AE3" s="244">
        <v>0.37053097345132702</v>
      </c>
      <c r="AF3" s="244">
        <v>3.4256637168141602</v>
      </c>
      <c r="AG3" s="244">
        <v>2.2303752212389401</v>
      </c>
      <c r="AH3" s="244">
        <v>213.92920353982299</v>
      </c>
      <c r="AI3" s="244">
        <v>198.56106194690301</v>
      </c>
      <c r="AJ3" s="244">
        <v>33.389734513274298</v>
      </c>
      <c r="AK3" s="244">
        <v>2.1113274336283201</v>
      </c>
      <c r="AL3" s="244">
        <v>0.14681415929203501</v>
      </c>
      <c r="AM3" s="244">
        <v>0.104867256637168</v>
      </c>
      <c r="AN3" s="244">
        <v>0.51734513274336302</v>
      </c>
      <c r="AO3" s="244">
        <v>0</v>
      </c>
      <c r="AP3" s="244">
        <v>0.18876106194690301</v>
      </c>
      <c r="AQ3" s="244">
        <v>0.27964601769911501</v>
      </c>
      <c r="AR3" s="244">
        <v>0.45442477876106202</v>
      </c>
      <c r="AS3" s="244">
        <v>0.18176991150442501</v>
      </c>
      <c r="AT3" s="244">
        <v>0.13283185840708001</v>
      </c>
      <c r="AU3" s="244">
        <v>0.16778761061946901</v>
      </c>
      <c r="AV3" s="244">
        <v>0.37053097345132702</v>
      </c>
      <c r="AW3" s="244">
        <v>0.18876106194690301</v>
      </c>
      <c r="AX3" s="244">
        <v>6.9911504424778795E-2</v>
      </c>
      <c r="AY3" s="244">
        <v>0.37752212389380502</v>
      </c>
      <c r="AZ3" s="244">
        <v>0.28663716814159301</v>
      </c>
      <c r="BA3" s="244">
        <v>0.34955752212389402</v>
      </c>
      <c r="BB3" s="244">
        <v>0.37053097345132702</v>
      </c>
      <c r="BC3" s="244">
        <v>2.1882300884955699</v>
      </c>
      <c r="BD3" s="244">
        <v>0.27964601769911501</v>
      </c>
      <c r="BE3" s="244">
        <v>0.76203539823008903</v>
      </c>
      <c r="BF3" s="244">
        <v>0.34955752212389402</v>
      </c>
      <c r="BG3" s="244">
        <v>0</v>
      </c>
      <c r="BH3" s="244">
        <v>10.0183185840708</v>
      </c>
      <c r="BI3" s="244">
        <v>441.84070796460202</v>
      </c>
      <c r="BJ3" s="244">
        <v>5.5929203539822998</v>
      </c>
      <c r="BK3" s="244">
        <v>0</v>
      </c>
      <c r="BL3" s="244">
        <v>0</v>
      </c>
      <c r="BM3" s="244">
        <v>0</v>
      </c>
      <c r="BN3" s="244">
        <v>0</v>
      </c>
      <c r="BO3" s="244">
        <v>123.044247787611</v>
      </c>
      <c r="BP3" s="244">
        <v>0</v>
      </c>
      <c r="BQ3" s="244">
        <v>98.575221238938099</v>
      </c>
      <c r="BR3" s="244">
        <v>0</v>
      </c>
      <c r="BS3" s="244">
        <v>0</v>
      </c>
      <c r="BT3" s="244">
        <v>430.65486725663698</v>
      </c>
      <c r="BU3" s="244">
        <v>26.922920353982299</v>
      </c>
      <c r="BV3" s="244">
        <v>0</v>
      </c>
      <c r="BW3" s="244">
        <v>0</v>
      </c>
      <c r="BX3" s="244">
        <v>10.3678761061947</v>
      </c>
      <c r="BY3" s="244">
        <v>0</v>
      </c>
      <c r="BZ3" s="244">
        <v>0</v>
      </c>
      <c r="CA3" s="244">
        <v>0.27256637168141601</v>
      </c>
    </row>
    <row r="4" spans="1:79">
      <c r="A4" s="245">
        <v>13102</v>
      </c>
      <c r="B4" s="243" t="s">
        <v>1627</v>
      </c>
      <c r="C4" s="212" t="s">
        <v>1625</v>
      </c>
      <c r="D4" s="246">
        <v>4</v>
      </c>
      <c r="E4" s="248">
        <v>139.76714986619101</v>
      </c>
      <c r="F4" s="244">
        <v>119.94857270294401</v>
      </c>
      <c r="G4" s="244">
        <v>5.1783452274754698</v>
      </c>
      <c r="H4" s="244">
        <v>6.5753211418376498</v>
      </c>
      <c r="I4" s="244">
        <v>12.9510704727922</v>
      </c>
      <c r="J4" s="244">
        <v>4.9013380909901896</v>
      </c>
      <c r="K4" s="244">
        <v>5.6712399643175697E-2</v>
      </c>
      <c r="L4" s="244">
        <v>6.4856723907225702E-2</v>
      </c>
      <c r="M4" s="244">
        <v>0.51245671275646698</v>
      </c>
      <c r="N4" s="244">
        <v>0.59871659232827801</v>
      </c>
      <c r="O4" s="244">
        <v>0.142681534344335</v>
      </c>
      <c r="P4" s="244">
        <v>24.1816904549509</v>
      </c>
      <c r="Q4" s="244">
        <v>0</v>
      </c>
      <c r="R4" s="244">
        <v>4.5570439116859998</v>
      </c>
      <c r="S4" s="244">
        <v>0.43235504014273002</v>
      </c>
      <c r="T4" s="244">
        <v>0.83015878679750199</v>
      </c>
      <c r="U4" s="244">
        <v>18.483629794826001</v>
      </c>
      <c r="V4" s="244">
        <v>0</v>
      </c>
      <c r="W4" s="244">
        <v>7.3477160124888501</v>
      </c>
      <c r="X4" s="244">
        <v>0.99623104371097204</v>
      </c>
      <c r="Y4" s="244">
        <v>81.372959277430894</v>
      </c>
      <c r="Z4" s="244">
        <v>183.30662042818901</v>
      </c>
      <c r="AA4" s="244">
        <v>0.11377341659232799</v>
      </c>
      <c r="AB4" s="244">
        <v>5.1396074933095504</v>
      </c>
      <c r="AC4" s="244">
        <v>10.0273752453167</v>
      </c>
      <c r="AD4" s="244">
        <v>55.994217662801098</v>
      </c>
      <c r="AE4" s="244">
        <v>0.25449330954504901</v>
      </c>
      <c r="AF4" s="244">
        <v>2.45647992863515</v>
      </c>
      <c r="AG4" s="244">
        <v>1.2704933095450499</v>
      </c>
      <c r="AH4" s="244">
        <v>86.227954504906293</v>
      </c>
      <c r="AI4" s="244">
        <v>199.99973461195401</v>
      </c>
      <c r="AJ4" s="244">
        <v>10.106534344335399</v>
      </c>
      <c r="AK4" s="244">
        <v>0.72209366636931305</v>
      </c>
      <c r="AL4" s="244">
        <v>0.939950936663693</v>
      </c>
      <c r="AM4" s="244">
        <v>1.41048751115076</v>
      </c>
      <c r="AN4" s="244">
        <v>3.5029322033898298</v>
      </c>
      <c r="AO4" s="244">
        <v>0</v>
      </c>
      <c r="AP4" s="244">
        <v>0.13954148082069601</v>
      </c>
      <c r="AQ4" s="244">
        <v>0.21838938447814399</v>
      </c>
      <c r="AR4" s="244">
        <v>0.36825602140945601</v>
      </c>
      <c r="AS4" s="244">
        <v>0.33051338090990201</v>
      </c>
      <c r="AT4" s="244">
        <v>6.7313113291703905E-2</v>
      </c>
      <c r="AU4" s="244">
        <v>6.9709634255129396E-2</v>
      </c>
      <c r="AV4" s="244">
        <v>0.27295272078501298</v>
      </c>
      <c r="AW4" s="244">
        <v>0.19429348795718099</v>
      </c>
      <c r="AX4" s="244">
        <v>5.2362176628010702E-2</v>
      </c>
      <c r="AY4" s="244">
        <v>0.21949107939339901</v>
      </c>
      <c r="AZ4" s="244">
        <v>0.23392640499553999</v>
      </c>
      <c r="BA4" s="244">
        <v>0.49723416592328301</v>
      </c>
      <c r="BB4" s="244">
        <v>0.64113113291703805</v>
      </c>
      <c r="BC4" s="244">
        <v>0.92939250669045503</v>
      </c>
      <c r="BD4" s="244">
        <v>0.229107493309545</v>
      </c>
      <c r="BE4" s="244">
        <v>0.218950490633363</v>
      </c>
      <c r="BF4" s="244">
        <v>0.26146253345227499</v>
      </c>
      <c r="BG4" s="244">
        <v>0.13339562890276499</v>
      </c>
      <c r="BH4" s="244">
        <v>25.159977698483502</v>
      </c>
      <c r="BI4" s="244">
        <v>161.12657002676201</v>
      </c>
      <c r="BJ4" s="244">
        <v>2.6400535236396099</v>
      </c>
      <c r="BK4" s="244">
        <v>10.242863514719</v>
      </c>
      <c r="BL4" s="244">
        <v>0</v>
      </c>
      <c r="BM4" s="244">
        <v>0.29155664585191798</v>
      </c>
      <c r="BN4" s="244">
        <v>1.35235950044603</v>
      </c>
      <c r="BO4" s="244">
        <v>101.906115075825</v>
      </c>
      <c r="BP4" s="244">
        <v>6.2439785905441596</v>
      </c>
      <c r="BQ4" s="244">
        <v>227.56231489741299</v>
      </c>
      <c r="BR4" s="244">
        <v>2.8825602140945601</v>
      </c>
      <c r="BS4" s="244">
        <v>0.73405441570026797</v>
      </c>
      <c r="BT4" s="244">
        <v>544.59303300624504</v>
      </c>
      <c r="BU4" s="244">
        <v>35.047876895628903</v>
      </c>
      <c r="BV4" s="244">
        <v>4.5981266726137404</v>
      </c>
      <c r="BW4" s="244">
        <v>0.21900089206066001</v>
      </c>
      <c r="BX4" s="244">
        <v>20.184808206958099</v>
      </c>
      <c r="BY4" s="244">
        <v>5.9585191793041899E-2</v>
      </c>
      <c r="BZ4" s="244">
        <v>0</v>
      </c>
      <c r="CA4" s="244">
        <v>0.74174843889384501</v>
      </c>
    </row>
    <row r="5" spans="1:79">
      <c r="A5" s="245">
        <v>13101</v>
      </c>
      <c r="B5" s="243" t="s">
        <v>1628</v>
      </c>
      <c r="C5" s="212" t="s">
        <v>1625</v>
      </c>
      <c r="D5" s="246">
        <v>5</v>
      </c>
      <c r="E5" s="248">
        <v>55.046071700991597</v>
      </c>
      <c r="F5" s="244">
        <v>113.836784897025</v>
      </c>
      <c r="G5" s="244">
        <v>2.8563501144164798</v>
      </c>
      <c r="H5" s="244">
        <v>2.2697330282227299</v>
      </c>
      <c r="I5" s="244">
        <v>5.1837414187643001</v>
      </c>
      <c r="J5" s="244">
        <v>1.5440579710144899</v>
      </c>
      <c r="K5" s="244">
        <v>5.16130434782609E-2</v>
      </c>
      <c r="L5" s="244">
        <v>1.54093344774981E-2</v>
      </c>
      <c r="M5" s="244">
        <v>0.20574368802440901</v>
      </c>
      <c r="N5" s="244">
        <v>0.175069565217391</v>
      </c>
      <c r="O5" s="244">
        <v>4.46936308161709E-2</v>
      </c>
      <c r="P5" s="244">
        <v>2.3515446224256298</v>
      </c>
      <c r="Q5" s="244">
        <v>0</v>
      </c>
      <c r="R5" s="244">
        <v>1.1022776125095299</v>
      </c>
      <c r="S5" s="244">
        <v>0.233962623951182</v>
      </c>
      <c r="T5" s="244">
        <v>6.8762013729977103E-2</v>
      </c>
      <c r="U5" s="244">
        <v>4.29097101449275</v>
      </c>
      <c r="V5" s="244">
        <v>0</v>
      </c>
      <c r="W5" s="244">
        <v>0.57371819221968001</v>
      </c>
      <c r="X5" s="244">
        <v>0</v>
      </c>
      <c r="Y5" s="244">
        <v>6.8055342868039697</v>
      </c>
      <c r="Z5" s="244">
        <v>2.9128710907704001</v>
      </c>
      <c r="AA5" s="244">
        <v>0</v>
      </c>
      <c r="AB5" s="244">
        <v>0</v>
      </c>
      <c r="AC5" s="244">
        <v>0.49734786422578198</v>
      </c>
      <c r="AD5" s="244">
        <v>6.39334477498093</v>
      </c>
      <c r="AE5" s="244">
        <v>7.6103356216628504E-2</v>
      </c>
      <c r="AF5" s="244">
        <v>0.69833905415713204</v>
      </c>
      <c r="AG5" s="244">
        <v>0.367434782608696</v>
      </c>
      <c r="AH5" s="244">
        <v>27.339763539282998</v>
      </c>
      <c r="AI5" s="244">
        <v>71.320274599542302</v>
      </c>
      <c r="AJ5" s="244">
        <v>0.37321891685736103</v>
      </c>
      <c r="AK5" s="244">
        <v>0.40769298245614</v>
      </c>
      <c r="AL5" s="244">
        <v>0.36136918382913802</v>
      </c>
      <c r="AM5" s="244">
        <v>0.52912166285278395</v>
      </c>
      <c r="AN5" s="244">
        <v>1.3010019069412699</v>
      </c>
      <c r="AO5" s="244">
        <v>0</v>
      </c>
      <c r="AP5" s="244">
        <v>6.4918001525553007E-2</v>
      </c>
      <c r="AQ5" s="244">
        <v>0.107919145690313</v>
      </c>
      <c r="AR5" s="244">
        <v>0.20487719298245599</v>
      </c>
      <c r="AS5" s="244">
        <v>0.21170709382151001</v>
      </c>
      <c r="AT5" s="244">
        <v>1.65442410373761E-2</v>
      </c>
      <c r="AU5" s="244">
        <v>2.37993897787948E-2</v>
      </c>
      <c r="AV5" s="244">
        <v>0.145476353928299</v>
      </c>
      <c r="AW5" s="244">
        <v>0.105866514111365</v>
      </c>
      <c r="AX5" s="244">
        <v>2.71086956521739E-2</v>
      </c>
      <c r="AY5" s="244">
        <v>0.140067887109077</v>
      </c>
      <c r="AZ5" s="244">
        <v>0.192434019832189</v>
      </c>
      <c r="BA5" s="244">
        <v>0.238144164759725</v>
      </c>
      <c r="BB5" s="244">
        <v>0.33536651411136498</v>
      </c>
      <c r="BC5" s="244">
        <v>0.56192562929061796</v>
      </c>
      <c r="BD5" s="244">
        <v>0.120544241037376</v>
      </c>
      <c r="BE5" s="244">
        <v>0.111779938977879</v>
      </c>
      <c r="BF5" s="244">
        <v>0.15284820747521</v>
      </c>
      <c r="BG5" s="244">
        <v>8.6135774218154104E-2</v>
      </c>
      <c r="BH5" s="244">
        <v>4.0604691075514898</v>
      </c>
      <c r="BI5" s="244">
        <v>15.032063310450001</v>
      </c>
      <c r="BJ5" s="244">
        <v>0.31617086193745197</v>
      </c>
      <c r="BK5" s="244">
        <v>3.5047673531655201</v>
      </c>
      <c r="BL5" s="244">
        <v>0</v>
      </c>
      <c r="BM5" s="244">
        <v>0.120034324942792</v>
      </c>
      <c r="BN5" s="244">
        <v>0.103733790999237</v>
      </c>
      <c r="BO5" s="244">
        <v>12.168199847444701</v>
      </c>
      <c r="BP5" s="244">
        <v>0</v>
      </c>
      <c r="BQ5" s="244">
        <v>13.575953470633101</v>
      </c>
      <c r="BR5" s="244">
        <v>0</v>
      </c>
      <c r="BS5" s="244">
        <v>0</v>
      </c>
      <c r="BT5" s="244">
        <v>36.835118230358503</v>
      </c>
      <c r="BU5" s="244">
        <v>8.4944965675057205</v>
      </c>
      <c r="BV5" s="244">
        <v>0</v>
      </c>
      <c r="BW5" s="244">
        <v>0</v>
      </c>
      <c r="BX5" s="244">
        <v>2.8553051106025902</v>
      </c>
      <c r="BY5" s="244">
        <v>0</v>
      </c>
      <c r="BZ5" s="244">
        <v>0</v>
      </c>
      <c r="CA5" s="244">
        <v>1.0903890160183101</v>
      </c>
    </row>
    <row r="6" spans="1:79">
      <c r="A6" s="245">
        <v>24601</v>
      </c>
      <c r="B6" s="243" t="s">
        <v>1629</v>
      </c>
      <c r="C6" s="212" t="s">
        <v>1625</v>
      </c>
      <c r="D6" s="246">
        <v>6</v>
      </c>
      <c r="E6" s="248">
        <v>110.95871559632999</v>
      </c>
      <c r="F6" s="244">
        <v>97.875596330275201</v>
      </c>
      <c r="G6" s="244">
        <v>1.66422018348624</v>
      </c>
      <c r="H6" s="244">
        <v>3.4747706422018299</v>
      </c>
      <c r="I6" s="244">
        <v>16.9469724770642</v>
      </c>
      <c r="J6" s="244">
        <v>2.8158715596330302</v>
      </c>
      <c r="K6" s="244">
        <v>8.4233944954128503E-2</v>
      </c>
      <c r="L6" s="244">
        <v>0.108447247706422</v>
      </c>
      <c r="M6" s="244">
        <v>0.44676605504587202</v>
      </c>
      <c r="N6" s="244">
        <v>0.480454128440367</v>
      </c>
      <c r="O6" s="244">
        <v>0.27529816513761501</v>
      </c>
      <c r="P6" s="244">
        <v>15.6</v>
      </c>
      <c r="Q6" s="244">
        <v>0</v>
      </c>
      <c r="R6" s="244">
        <v>15.224908256880701</v>
      </c>
      <c r="S6" s="244">
        <v>0.270183486238532</v>
      </c>
      <c r="T6" s="244">
        <v>0.295091743119266</v>
      </c>
      <c r="U6" s="244">
        <v>6.2495412844036702</v>
      </c>
      <c r="V6" s="244">
        <v>0</v>
      </c>
      <c r="W6" s="244">
        <v>11.777371559633</v>
      </c>
      <c r="X6" s="244">
        <v>0</v>
      </c>
      <c r="Y6" s="244">
        <v>127.456100917431</v>
      </c>
      <c r="Z6" s="244">
        <v>32.038394495412803</v>
      </c>
      <c r="AA6" s="244">
        <v>0.451321100917431</v>
      </c>
      <c r="AB6" s="244">
        <v>19.804128440366998</v>
      </c>
      <c r="AC6" s="244">
        <v>157.44268348623899</v>
      </c>
      <c r="AD6" s="244">
        <v>17.904174311926599</v>
      </c>
      <c r="AE6" s="244">
        <v>0.46293577981651401</v>
      </c>
      <c r="AF6" s="244">
        <v>0.66141743119266105</v>
      </c>
      <c r="AG6" s="244">
        <v>0.20127522935779801</v>
      </c>
      <c r="AH6" s="244">
        <v>47.270642201834903</v>
      </c>
      <c r="AI6" s="244">
        <v>298.192752293578</v>
      </c>
      <c r="AJ6" s="244">
        <v>1.0985779816513801</v>
      </c>
      <c r="AK6" s="244">
        <v>0.84068807339449503</v>
      </c>
      <c r="AL6" s="244">
        <v>0.241376146788991</v>
      </c>
      <c r="AM6" s="244">
        <v>2.1204128440367001</v>
      </c>
      <c r="AN6" s="244">
        <v>0.66536238532110104</v>
      </c>
      <c r="AO6" s="244">
        <v>0</v>
      </c>
      <c r="AP6" s="244">
        <v>2.2174311926605499E-2</v>
      </c>
      <c r="AQ6" s="244">
        <v>5.03577981651376E-2</v>
      </c>
      <c r="AR6" s="244">
        <v>9.0275229357798206E-2</v>
      </c>
      <c r="AS6" s="244">
        <v>7.4477064220183506E-2</v>
      </c>
      <c r="AT6" s="244">
        <v>1.6972477064220198E-2</v>
      </c>
      <c r="AU6" s="244">
        <v>1.4096330275229401E-2</v>
      </c>
      <c r="AV6" s="244">
        <v>6.8431192660550505E-2</v>
      </c>
      <c r="AW6" s="244">
        <v>5.5798165137614701E-2</v>
      </c>
      <c r="AX6" s="244">
        <v>1.6472477064220201E-2</v>
      </c>
      <c r="AY6" s="244">
        <v>5.81926605504587E-2</v>
      </c>
      <c r="AZ6" s="244">
        <v>8.7224770642201896E-2</v>
      </c>
      <c r="BA6" s="244">
        <v>7.6866972477064199E-2</v>
      </c>
      <c r="BB6" s="244">
        <v>0.18063761467889899</v>
      </c>
      <c r="BC6" s="244">
        <v>0.29680733944954102</v>
      </c>
      <c r="BD6" s="244">
        <v>5.3499999999999999E-2</v>
      </c>
      <c r="BE6" s="244">
        <v>5.3165137614678899E-2</v>
      </c>
      <c r="BF6" s="244">
        <v>6.1486238532110098E-2</v>
      </c>
      <c r="BG6" s="244">
        <v>4.6082568807339498E-2</v>
      </c>
      <c r="BH6" s="244">
        <v>33.701376146789002</v>
      </c>
      <c r="BI6" s="244">
        <v>67.7866972477064</v>
      </c>
      <c r="BJ6" s="244">
        <v>13.9954128440367</v>
      </c>
      <c r="BK6" s="244">
        <v>16.187614678899099</v>
      </c>
      <c r="BL6" s="244">
        <v>0</v>
      </c>
      <c r="BM6" s="244">
        <v>0</v>
      </c>
      <c r="BN6" s="244">
        <v>0.82926605504587203</v>
      </c>
      <c r="BO6" s="244">
        <v>57.188073394495397</v>
      </c>
      <c r="BP6" s="244">
        <v>0</v>
      </c>
      <c r="BQ6" s="244">
        <v>18.589908256880701</v>
      </c>
      <c r="BR6" s="244">
        <v>9.2889908256880802E-2</v>
      </c>
      <c r="BS6" s="244">
        <v>0</v>
      </c>
      <c r="BT6" s="244">
        <v>158.974770642202</v>
      </c>
      <c r="BU6" s="244">
        <v>37.009633027522902</v>
      </c>
      <c r="BV6" s="244">
        <v>0</v>
      </c>
      <c r="BW6" s="244">
        <v>0</v>
      </c>
      <c r="BX6" s="244">
        <v>17.011926605504598</v>
      </c>
      <c r="BY6" s="244">
        <v>0</v>
      </c>
      <c r="BZ6" s="244">
        <v>0</v>
      </c>
      <c r="CA6" s="244">
        <v>2.1376146788990802</v>
      </c>
    </row>
    <row r="7" spans="1:79">
      <c r="A7" s="245">
        <v>21301</v>
      </c>
      <c r="B7" s="243" t="s">
        <v>1630</v>
      </c>
      <c r="C7" s="212" t="s">
        <v>1625</v>
      </c>
      <c r="D7" s="246">
        <v>7</v>
      </c>
      <c r="E7" s="248">
        <v>165.735632183908</v>
      </c>
      <c r="F7" s="244">
        <v>182.07666666666699</v>
      </c>
      <c r="G7" s="244">
        <v>5.6868582375478898</v>
      </c>
      <c r="H7" s="244">
        <v>10.7028735632184</v>
      </c>
      <c r="I7" s="244">
        <v>9.1822988505747105</v>
      </c>
      <c r="J7" s="244">
        <v>5.6276245210728</v>
      </c>
      <c r="K7" s="244">
        <v>3.90727969348659E-2</v>
      </c>
      <c r="L7" s="244">
        <v>0.45510536398467399</v>
      </c>
      <c r="M7" s="244">
        <v>1.12916858237548</v>
      </c>
      <c r="N7" s="244">
        <v>0.65222222222222204</v>
      </c>
      <c r="O7" s="244">
        <v>0.37477394636015299</v>
      </c>
      <c r="P7" s="244">
        <v>96.801149425287406</v>
      </c>
      <c r="Q7" s="244">
        <v>0</v>
      </c>
      <c r="R7" s="244">
        <v>59.943819923371599</v>
      </c>
      <c r="S7" s="244">
        <v>23.462835249042101</v>
      </c>
      <c r="T7" s="244">
        <v>0.89717241379310297</v>
      </c>
      <c r="U7" s="244">
        <v>481.42909578544101</v>
      </c>
      <c r="V7" s="244">
        <v>0</v>
      </c>
      <c r="W7" s="244">
        <v>1011.7134137931</v>
      </c>
      <c r="X7" s="244">
        <v>261.04137931034501</v>
      </c>
      <c r="Y7" s="244">
        <v>11950.061758620701</v>
      </c>
      <c r="Z7" s="244">
        <v>10515.931609195401</v>
      </c>
      <c r="AA7" s="244">
        <v>0</v>
      </c>
      <c r="AB7" s="244">
        <v>0</v>
      </c>
      <c r="AC7" s="244">
        <v>169.17318390804601</v>
      </c>
      <c r="AD7" s="244">
        <v>385.71137931034502</v>
      </c>
      <c r="AE7" s="244">
        <v>0.35942528735632201</v>
      </c>
      <c r="AF7" s="244">
        <v>3.0053256704980802</v>
      </c>
      <c r="AG7" s="244">
        <v>3.39774712643678</v>
      </c>
      <c r="AH7" s="244">
        <v>134.59578544061301</v>
      </c>
      <c r="AI7" s="244">
        <v>408.32118773946399</v>
      </c>
      <c r="AJ7" s="244">
        <v>34.370689655172399</v>
      </c>
      <c r="AK7" s="244">
        <v>2.1779693486589999</v>
      </c>
      <c r="AL7" s="244">
        <v>1.9640996168582401</v>
      </c>
      <c r="AM7" s="244">
        <v>2.4501532567049802</v>
      </c>
      <c r="AN7" s="244">
        <v>6.5159003831417603</v>
      </c>
      <c r="AO7" s="244">
        <v>0</v>
      </c>
      <c r="AP7" s="244">
        <v>0.13694252873563201</v>
      </c>
      <c r="AQ7" s="244">
        <v>0.28764367816092001</v>
      </c>
      <c r="AR7" s="244">
        <v>0.53423371647509599</v>
      </c>
      <c r="AS7" s="244">
        <v>0.36790038314176299</v>
      </c>
      <c r="AT7" s="244">
        <v>0.110448275862069</v>
      </c>
      <c r="AU7" s="244">
        <v>7.1567049808429095E-2</v>
      </c>
      <c r="AV7" s="244">
        <v>0.32256704980842899</v>
      </c>
      <c r="AW7" s="244">
        <v>0.27349042145593899</v>
      </c>
      <c r="AX7" s="244">
        <v>8.1049808429118797E-2</v>
      </c>
      <c r="AY7" s="244">
        <v>0.34959003831417601</v>
      </c>
      <c r="AZ7" s="244">
        <v>0.43982758620689699</v>
      </c>
      <c r="BA7" s="244">
        <v>0.47752107279693501</v>
      </c>
      <c r="BB7" s="244">
        <v>0.65896168582375503</v>
      </c>
      <c r="BC7" s="244">
        <v>1.00172796934866</v>
      </c>
      <c r="BD7" s="244">
        <v>0.35566666666666702</v>
      </c>
      <c r="BE7" s="244">
        <v>0.27431417624521098</v>
      </c>
      <c r="BF7" s="244">
        <v>0.30248275862069002</v>
      </c>
      <c r="BG7" s="244">
        <v>0.20460919540229899</v>
      </c>
      <c r="BH7" s="244">
        <v>63.845057471264397</v>
      </c>
      <c r="BI7" s="244">
        <v>21.9443295019157</v>
      </c>
      <c r="BJ7" s="244">
        <v>3.2337164750957901</v>
      </c>
      <c r="BK7" s="244">
        <v>34.8735632183908</v>
      </c>
      <c r="BL7" s="244">
        <v>0</v>
      </c>
      <c r="BM7" s="244">
        <v>0</v>
      </c>
      <c r="BN7" s="244">
        <v>31.208965517241399</v>
      </c>
      <c r="BO7" s="244">
        <v>270.39180076628401</v>
      </c>
      <c r="BP7" s="244">
        <v>0</v>
      </c>
      <c r="BQ7" s="244">
        <v>70.093716475095803</v>
      </c>
      <c r="BR7" s="244">
        <v>2.1089655172413799</v>
      </c>
      <c r="BS7" s="244">
        <v>0</v>
      </c>
      <c r="BT7" s="244">
        <v>246.15095785440599</v>
      </c>
      <c r="BU7" s="244">
        <v>331.17796934865902</v>
      </c>
      <c r="BV7" s="244">
        <v>0</v>
      </c>
      <c r="BW7" s="244">
        <v>0</v>
      </c>
      <c r="BX7" s="244">
        <v>56.412873563218398</v>
      </c>
      <c r="BY7" s="244">
        <v>0</v>
      </c>
      <c r="BZ7" s="244">
        <v>0</v>
      </c>
      <c r="CA7" s="244">
        <v>1.98850574712644</v>
      </c>
    </row>
    <row r="8" spans="1:79">
      <c r="A8" s="245">
        <v>25317</v>
      </c>
      <c r="B8" s="243" t="s">
        <v>1631</v>
      </c>
      <c r="C8" s="212" t="s">
        <v>1625</v>
      </c>
      <c r="D8" s="246">
        <v>8</v>
      </c>
      <c r="E8" s="248">
        <v>69.366799669785394</v>
      </c>
      <c r="F8" s="244">
        <v>98.364568519537698</v>
      </c>
      <c r="G8" s="244">
        <v>1.84451375894331</v>
      </c>
      <c r="H8" s="244">
        <v>3.9592495872317</v>
      </c>
      <c r="I8" s="244">
        <v>5.8674616125481602</v>
      </c>
      <c r="J8" s="244">
        <v>2.75419661529995</v>
      </c>
      <c r="K8" s="244">
        <v>5.2252531645569603E-2</v>
      </c>
      <c r="L8" s="244">
        <v>5.8002442212438103E-2</v>
      </c>
      <c r="M8" s="244">
        <v>0.55301927627958203</v>
      </c>
      <c r="N8" s="244">
        <v>0.303434975233902</v>
      </c>
      <c r="O8" s="244">
        <v>0.113257347275729</v>
      </c>
      <c r="P8" s="244">
        <v>21.182597550908099</v>
      </c>
      <c r="Q8" s="244">
        <v>0</v>
      </c>
      <c r="R8" s="244">
        <v>22.2464522564667</v>
      </c>
      <c r="S8" s="244">
        <v>2.18357718767199</v>
      </c>
      <c r="T8" s="244">
        <v>0.49676664832140899</v>
      </c>
      <c r="U8" s="244">
        <v>45.806008255366002</v>
      </c>
      <c r="V8" s="244">
        <v>0</v>
      </c>
      <c r="W8" s="244">
        <v>128.414426362135</v>
      </c>
      <c r="X8" s="244">
        <v>417.08669909191002</v>
      </c>
      <c r="Y8" s="244">
        <v>1127.2927112273001</v>
      </c>
      <c r="Z8" s="244">
        <v>329.20833654375298</v>
      </c>
      <c r="AA8" s="244">
        <v>6.0165107319757799E-2</v>
      </c>
      <c r="AB8" s="244">
        <v>2.6400660429278999</v>
      </c>
      <c r="AC8" s="244">
        <v>21.293603302146401</v>
      </c>
      <c r="AD8" s="244">
        <v>38.311829939460601</v>
      </c>
      <c r="AE8" s="244">
        <v>0.160295129334067</v>
      </c>
      <c r="AF8" s="244">
        <v>1.0953563566318101</v>
      </c>
      <c r="AG8" s="244">
        <v>0.51497743533296703</v>
      </c>
      <c r="AH8" s="244">
        <v>35.474037837094102</v>
      </c>
      <c r="AI8" s="244">
        <v>264.68502848101298</v>
      </c>
      <c r="AJ8" s="244">
        <v>0.79737685745734699</v>
      </c>
      <c r="AK8" s="244">
        <v>0.35281796917996699</v>
      </c>
      <c r="AL8" s="244">
        <v>0.67043698403962604</v>
      </c>
      <c r="AM8" s="244">
        <v>0.88156177765547605</v>
      </c>
      <c r="AN8" s="244">
        <v>2.2745326086956501</v>
      </c>
      <c r="AO8" s="244">
        <v>0</v>
      </c>
      <c r="AP8" s="244">
        <v>3.4330187121629101E-2</v>
      </c>
      <c r="AQ8" s="244">
        <v>6.8442006053935106E-2</v>
      </c>
      <c r="AR8" s="244">
        <v>0.106233035222895</v>
      </c>
      <c r="AS8" s="244">
        <v>8.0812039075398995E-2</v>
      </c>
      <c r="AT8" s="244">
        <v>1.7909988992845301E-2</v>
      </c>
      <c r="AU8" s="244">
        <v>1.80101678591084E-2</v>
      </c>
      <c r="AV8" s="244">
        <v>7.2660979636763906E-2</v>
      </c>
      <c r="AW8" s="244">
        <v>6.8635319207484793E-2</v>
      </c>
      <c r="AX8" s="244">
        <v>1.8805462300495301E-2</v>
      </c>
      <c r="AY8" s="244">
        <v>9.0426265822784804E-2</v>
      </c>
      <c r="AZ8" s="244">
        <v>0.107441400660429</v>
      </c>
      <c r="BA8" s="244">
        <v>0.103790836543753</v>
      </c>
      <c r="BB8" s="244">
        <v>0.225642061089708</v>
      </c>
      <c r="BC8" s="244">
        <v>0.32164438635112802</v>
      </c>
      <c r="BD8" s="244">
        <v>8.2922894881673107E-2</v>
      </c>
      <c r="BE8" s="244">
        <v>6.9730503577325298E-2</v>
      </c>
      <c r="BF8" s="244">
        <v>8.5337149146945498E-2</v>
      </c>
      <c r="BG8" s="244">
        <v>5.0532292239955999E-2</v>
      </c>
      <c r="BH8" s="244">
        <v>24.926051183269099</v>
      </c>
      <c r="BI8" s="244">
        <v>26.1713401210787</v>
      </c>
      <c r="BJ8" s="244">
        <v>4.5459548706659296</v>
      </c>
      <c r="BK8" s="244">
        <v>13.629774353329701</v>
      </c>
      <c r="BL8" s="244">
        <v>0</v>
      </c>
      <c r="BM8" s="244">
        <v>0.153227848101266</v>
      </c>
      <c r="BN8" s="244">
        <v>1.28627682993946</v>
      </c>
      <c r="BO8" s="244">
        <v>51.662916895982399</v>
      </c>
      <c r="BP8" s="244">
        <v>4.7839845899834899</v>
      </c>
      <c r="BQ8" s="244">
        <v>35.678863511282302</v>
      </c>
      <c r="BR8" s="244">
        <v>0.23753164556962</v>
      </c>
      <c r="BS8" s="244">
        <v>0.28460374243258102</v>
      </c>
      <c r="BT8" s="244">
        <v>98.0221821684095</v>
      </c>
      <c r="BU8" s="244">
        <v>39.024749587231703</v>
      </c>
      <c r="BV8" s="244">
        <v>4.60401761144744</v>
      </c>
      <c r="BW8" s="244">
        <v>8.1067694001100699E-2</v>
      </c>
      <c r="BX8" s="244">
        <v>13.4332085855806</v>
      </c>
      <c r="BY8" s="244">
        <v>5.96615299944964E-2</v>
      </c>
      <c r="BZ8" s="244">
        <v>0</v>
      </c>
      <c r="CA8" s="244">
        <v>0.80544854155200896</v>
      </c>
    </row>
    <row r="9" spans="1:79">
      <c r="A9" s="245">
        <v>51101</v>
      </c>
      <c r="B9" s="243" t="s">
        <v>1632</v>
      </c>
      <c r="C9" s="212" t="s">
        <v>1625</v>
      </c>
      <c r="D9" s="246">
        <v>9</v>
      </c>
      <c r="E9" s="248">
        <v>248.39490046449899</v>
      </c>
      <c r="F9" s="244">
        <v>88.279621765096195</v>
      </c>
      <c r="G9" s="244">
        <v>15.6739781021898</v>
      </c>
      <c r="H9" s="244">
        <v>18.800404777703999</v>
      </c>
      <c r="I9" s="244">
        <v>3.9899203715992</v>
      </c>
      <c r="J9" s="244">
        <v>1.0469807564698099</v>
      </c>
      <c r="K9" s="244">
        <v>7.4471134704711298E-2</v>
      </c>
      <c r="L9" s="244">
        <v>9.2709024552090305E-2</v>
      </c>
      <c r="M9" s="244">
        <v>1.9167232913072301</v>
      </c>
      <c r="N9" s="244">
        <v>0.45849037823490402</v>
      </c>
      <c r="O9" s="244">
        <v>0.29155209024552098</v>
      </c>
      <c r="P9" s="244">
        <v>7.12772395487724</v>
      </c>
      <c r="Q9" s="244">
        <v>0</v>
      </c>
      <c r="R9" s="244">
        <v>1.56893662906437</v>
      </c>
      <c r="S9" s="244">
        <v>1.0044293297942899</v>
      </c>
      <c r="T9" s="244">
        <v>0.62196615792966203</v>
      </c>
      <c r="U9" s="244">
        <v>21.0448341074983</v>
      </c>
      <c r="V9" s="244">
        <v>9.4765600530855991</v>
      </c>
      <c r="W9" s="244">
        <v>6.7117252820172499</v>
      </c>
      <c r="X9" s="244">
        <v>2.7571333775713299E-2</v>
      </c>
      <c r="Y9" s="244">
        <v>72.021619110816204</v>
      </c>
      <c r="Z9" s="244">
        <v>18.8742899800929</v>
      </c>
      <c r="AA9" s="244">
        <v>0.27807564698075599</v>
      </c>
      <c r="AB9" s="244">
        <v>12.475779694757801</v>
      </c>
      <c r="AC9" s="244">
        <v>21.809505640345101</v>
      </c>
      <c r="AD9" s="244">
        <v>35.197450564034497</v>
      </c>
      <c r="AE9" s="244">
        <v>0.27045786330457899</v>
      </c>
      <c r="AF9" s="244">
        <v>1.4898420703384201</v>
      </c>
      <c r="AG9" s="244">
        <v>0.42328798938287998</v>
      </c>
      <c r="AH9" s="244">
        <v>145.75786330457899</v>
      </c>
      <c r="AI9" s="244">
        <v>226.674303251493</v>
      </c>
      <c r="AJ9" s="244">
        <v>16.190232249502301</v>
      </c>
      <c r="AK9" s="244">
        <v>1.6152123424021201</v>
      </c>
      <c r="AL9" s="244">
        <v>1.9329396151294</v>
      </c>
      <c r="AM9" s="244">
        <v>2.7527670869276699</v>
      </c>
      <c r="AN9" s="244">
        <v>5.8064960185799599</v>
      </c>
      <c r="AO9" s="244">
        <v>59.110749834107501</v>
      </c>
      <c r="AP9" s="244">
        <v>0.72078931652289302</v>
      </c>
      <c r="AQ9" s="244">
        <v>0.49842468480424701</v>
      </c>
      <c r="AR9" s="244">
        <v>1.2091950895819501</v>
      </c>
      <c r="AS9" s="244">
        <v>1.35777903118779</v>
      </c>
      <c r="AT9" s="244">
        <v>0.93761347047113497</v>
      </c>
      <c r="AU9" s="244">
        <v>1.37525315195753</v>
      </c>
      <c r="AV9" s="244">
        <v>1.1152412076974101</v>
      </c>
      <c r="AW9" s="244">
        <v>0.821594558725946</v>
      </c>
      <c r="AX9" s="244">
        <v>0.21225016589250201</v>
      </c>
      <c r="AY9" s="244">
        <v>0.81044392833444001</v>
      </c>
      <c r="AZ9" s="244">
        <v>0.436837425348374</v>
      </c>
      <c r="BA9" s="244">
        <v>2.4210587259455898</v>
      </c>
      <c r="BB9" s="244">
        <v>0.76589747843397504</v>
      </c>
      <c r="BC9" s="244">
        <v>0.35811015262110202</v>
      </c>
      <c r="BD9" s="244">
        <v>0.72954080955540801</v>
      </c>
      <c r="BE9" s="244">
        <v>0.775691108161911</v>
      </c>
      <c r="BF9" s="244">
        <v>0.75128798938287999</v>
      </c>
      <c r="BG9" s="244">
        <v>0.61817319177173202</v>
      </c>
      <c r="BH9" s="244">
        <v>20.331214333112101</v>
      </c>
      <c r="BI9" s="244">
        <v>12.719243530192401</v>
      </c>
      <c r="BJ9" s="244">
        <v>1.6224286662242899</v>
      </c>
      <c r="BK9" s="244">
        <v>62.561877903118798</v>
      </c>
      <c r="BL9" s="244">
        <v>0</v>
      </c>
      <c r="BM9" s="244">
        <v>0.52211347047113499</v>
      </c>
      <c r="BN9" s="244">
        <v>19.375099535501001</v>
      </c>
      <c r="BO9" s="244">
        <v>679.72083278035802</v>
      </c>
      <c r="BP9" s="244">
        <v>163.34804246848</v>
      </c>
      <c r="BQ9" s="244">
        <v>1139.6409522229601</v>
      </c>
      <c r="BR9" s="244">
        <v>10.531303915063001</v>
      </c>
      <c r="BS9" s="244">
        <v>0.74319840743198395</v>
      </c>
      <c r="BT9" s="244">
        <v>590.46646980756498</v>
      </c>
      <c r="BU9" s="244">
        <v>28.1606536164565</v>
      </c>
      <c r="BV9" s="244">
        <v>0</v>
      </c>
      <c r="BW9" s="244">
        <v>0.22806901128068999</v>
      </c>
      <c r="BX9" s="244">
        <v>229.534273390843</v>
      </c>
      <c r="BY9" s="244">
        <v>0</v>
      </c>
      <c r="BZ9" s="244">
        <v>0</v>
      </c>
      <c r="CA9" s="244">
        <v>5.7000663570006598</v>
      </c>
    </row>
    <row r="10" spans="1:79">
      <c r="A10" s="245">
        <v>41100</v>
      </c>
      <c r="B10" s="243" t="s">
        <v>1633</v>
      </c>
      <c r="C10" s="212" t="s">
        <v>1625</v>
      </c>
      <c r="D10" s="246">
        <v>10</v>
      </c>
      <c r="E10" s="248">
        <v>211.572207084469</v>
      </c>
      <c r="F10" s="244">
        <v>136.87148501362401</v>
      </c>
      <c r="G10" s="244">
        <v>11.4341689373297</v>
      </c>
      <c r="H10" s="244">
        <v>15.3660626702997</v>
      </c>
      <c r="I10" s="244">
        <v>6.5276294277929203</v>
      </c>
      <c r="J10" s="244">
        <v>1.8152861035422301</v>
      </c>
      <c r="K10" s="244">
        <v>2.6703678474114399E-2</v>
      </c>
      <c r="L10" s="244">
        <v>6.7431914168937401E-2</v>
      </c>
      <c r="M10" s="244">
        <v>0.232068732970027</v>
      </c>
      <c r="N10" s="244">
        <v>0.13620136239781999</v>
      </c>
      <c r="O10" s="244">
        <v>9.9940463215258901E-2</v>
      </c>
      <c r="P10" s="244">
        <v>8.7248501362397803</v>
      </c>
      <c r="Q10" s="244">
        <v>4.7836512261580397</v>
      </c>
      <c r="R10" s="244">
        <v>13.7867840599455</v>
      </c>
      <c r="S10" s="244">
        <v>0.77441416893732995</v>
      </c>
      <c r="T10" s="244">
        <v>0.42361307901907402</v>
      </c>
      <c r="U10" s="244">
        <v>43.529196185286096</v>
      </c>
      <c r="V10" s="244">
        <v>0</v>
      </c>
      <c r="W10" s="244">
        <v>1311.1494557220699</v>
      </c>
      <c r="X10" s="244">
        <v>2.2070844686648501</v>
      </c>
      <c r="Y10" s="244">
        <v>111.136467983651</v>
      </c>
      <c r="Z10" s="244">
        <v>412.12529700272501</v>
      </c>
      <c r="AA10" s="244">
        <v>0</v>
      </c>
      <c r="AB10" s="244">
        <v>0</v>
      </c>
      <c r="AC10" s="244">
        <v>4.7284543596730302</v>
      </c>
      <c r="AD10" s="244">
        <v>489.36084468664899</v>
      </c>
      <c r="AE10" s="244">
        <v>0.25734468664850102</v>
      </c>
      <c r="AF10" s="244">
        <v>2.66017166212534</v>
      </c>
      <c r="AG10" s="244">
        <v>0.25212806539509502</v>
      </c>
      <c r="AH10" s="244">
        <v>223.046389645777</v>
      </c>
      <c r="AI10" s="244">
        <v>234.931553133515</v>
      </c>
      <c r="AJ10" s="244">
        <v>0.24303814713896499</v>
      </c>
      <c r="AK10" s="244">
        <v>2.33437329700272</v>
      </c>
      <c r="AL10" s="244">
        <v>2.01885558583106</v>
      </c>
      <c r="AM10" s="244">
        <v>2.9447138964577699</v>
      </c>
      <c r="AN10" s="244">
        <v>7.3952724795640297</v>
      </c>
      <c r="AO10" s="244">
        <v>0</v>
      </c>
      <c r="AP10" s="244">
        <v>2.0441416893733001E-2</v>
      </c>
      <c r="AQ10" s="244">
        <v>3.9294277929155297E-2</v>
      </c>
      <c r="AR10" s="244">
        <v>5.94305177111717E-2</v>
      </c>
      <c r="AS10" s="244">
        <v>4.0301089918256101E-2</v>
      </c>
      <c r="AT10" s="244">
        <v>1.43460490463215E-2</v>
      </c>
      <c r="AU10" s="244">
        <v>1.3177111716621301E-2</v>
      </c>
      <c r="AV10" s="244">
        <v>4.5629427792915497E-2</v>
      </c>
      <c r="AW10" s="244">
        <v>3.9260217983651202E-2</v>
      </c>
      <c r="AX10" s="244">
        <v>1.3291553133515E-2</v>
      </c>
      <c r="AY10" s="244">
        <v>4.4325613079019097E-2</v>
      </c>
      <c r="AZ10" s="244">
        <v>5.78923705722071E-2</v>
      </c>
      <c r="BA10" s="244">
        <v>0.119561307901907</v>
      </c>
      <c r="BB10" s="244">
        <v>0.143602179836512</v>
      </c>
      <c r="BC10" s="244">
        <v>0.26028065395095401</v>
      </c>
      <c r="BD10" s="244">
        <v>6.1235694822888299E-2</v>
      </c>
      <c r="BE10" s="244">
        <v>3.6783378746594E-2</v>
      </c>
      <c r="BF10" s="244">
        <v>4.0982288828337897E-2</v>
      </c>
      <c r="BG10" s="244">
        <v>3.00762942779292E-2</v>
      </c>
      <c r="BH10" s="244">
        <v>29.9898910081744</v>
      </c>
      <c r="BI10" s="244">
        <v>10.695245231607601</v>
      </c>
      <c r="BJ10" s="244">
        <v>6.8147138964577696</v>
      </c>
      <c r="BK10" s="244">
        <v>5.8132152588555899</v>
      </c>
      <c r="BL10" s="244">
        <v>0</v>
      </c>
      <c r="BM10" s="244">
        <v>0</v>
      </c>
      <c r="BN10" s="244">
        <v>0.494141689373297</v>
      </c>
      <c r="BO10" s="244">
        <v>38.427942779291598</v>
      </c>
      <c r="BP10" s="244">
        <v>8.8283378746594003</v>
      </c>
      <c r="BQ10" s="244">
        <v>59.94</v>
      </c>
      <c r="BR10" s="244">
        <v>0.50946866485013598</v>
      </c>
      <c r="BS10" s="244">
        <v>4.5980926430517703E-2</v>
      </c>
      <c r="BT10" s="244">
        <v>111.101852861035</v>
      </c>
      <c r="BU10" s="244">
        <v>18.9808174386921</v>
      </c>
      <c r="BV10" s="244">
        <v>10.361035422343299</v>
      </c>
      <c r="BW10" s="244">
        <v>0</v>
      </c>
      <c r="BX10" s="244">
        <v>30.3509673024523</v>
      </c>
      <c r="BY10" s="244">
        <v>0.13426430517711199</v>
      </c>
      <c r="BZ10" s="244">
        <v>0</v>
      </c>
      <c r="CA10" s="244">
        <v>3.0681198910081702</v>
      </c>
    </row>
    <row r="11" spans="1:79">
      <c r="A11" s="245">
        <v>43101</v>
      </c>
      <c r="B11" s="243" t="s">
        <v>1634</v>
      </c>
      <c r="C11" s="212" t="s">
        <v>1625</v>
      </c>
      <c r="D11" s="246">
        <v>11</v>
      </c>
      <c r="E11" s="248">
        <v>139.996433666191</v>
      </c>
      <c r="F11" s="244">
        <v>121.918452211127</v>
      </c>
      <c r="G11" s="244">
        <v>11.290584878744699</v>
      </c>
      <c r="H11" s="244">
        <v>9.3031883024251094</v>
      </c>
      <c r="I11" s="244">
        <v>2.8521398002853098</v>
      </c>
      <c r="J11" s="244">
        <v>0.84545649072753204</v>
      </c>
      <c r="K11" s="244">
        <v>3.2551854493580598E-2</v>
      </c>
      <c r="L11" s="244">
        <v>5.60271398002853E-2</v>
      </c>
      <c r="M11" s="244">
        <v>0.43928109843081298</v>
      </c>
      <c r="N11" s="244">
        <v>0.820912410841655</v>
      </c>
      <c r="O11" s="244">
        <v>8.6053281027104203E-2</v>
      </c>
      <c r="P11" s="244">
        <v>4.0178815977175502</v>
      </c>
      <c r="Q11" s="244">
        <v>3.2310984308131201</v>
      </c>
      <c r="R11" s="244">
        <v>6.0182806348074198</v>
      </c>
      <c r="S11" s="244">
        <v>0.76835406562054198</v>
      </c>
      <c r="T11" s="244">
        <v>0.26113694721825997</v>
      </c>
      <c r="U11" s="244">
        <v>23.7605049928673</v>
      </c>
      <c r="V11" s="244">
        <v>0</v>
      </c>
      <c r="W11" s="244">
        <v>5.99315606276748</v>
      </c>
      <c r="X11" s="244">
        <v>1.1298145506419399</v>
      </c>
      <c r="Y11" s="244">
        <v>66.659754065620604</v>
      </c>
      <c r="Z11" s="244">
        <v>210.164542796006</v>
      </c>
      <c r="AA11" s="244">
        <v>5.1982881597717502E-2</v>
      </c>
      <c r="AB11" s="244">
        <v>2.2810271041369501</v>
      </c>
      <c r="AC11" s="244">
        <v>5.8333136947218298</v>
      </c>
      <c r="AD11" s="244">
        <v>435.14671184022802</v>
      </c>
      <c r="AE11" s="244">
        <v>0.29354885877318099</v>
      </c>
      <c r="AF11" s="244">
        <v>1.10372325249643</v>
      </c>
      <c r="AG11" s="244">
        <v>0.26204707560627699</v>
      </c>
      <c r="AH11" s="244">
        <v>96.899793152639106</v>
      </c>
      <c r="AI11" s="244">
        <v>197.142674750357</v>
      </c>
      <c r="AJ11" s="244">
        <v>33.618537803138402</v>
      </c>
      <c r="AK11" s="244">
        <v>0.91656918687589195</v>
      </c>
      <c r="AL11" s="244">
        <v>1.3337018544935799</v>
      </c>
      <c r="AM11" s="244">
        <v>1.8474643366619099</v>
      </c>
      <c r="AN11" s="244">
        <v>4.5370977175463603</v>
      </c>
      <c r="AO11" s="244">
        <v>34.191483594864501</v>
      </c>
      <c r="AP11" s="244">
        <v>0.61671469329529305</v>
      </c>
      <c r="AQ11" s="244">
        <v>0.538658345221113</v>
      </c>
      <c r="AR11" s="244">
        <v>0.82610699001426502</v>
      </c>
      <c r="AS11" s="244">
        <v>1.04077460770328</v>
      </c>
      <c r="AT11" s="244">
        <v>0.715611982881598</v>
      </c>
      <c r="AU11" s="244">
        <v>1.93277032810271</v>
      </c>
      <c r="AV11" s="244">
        <v>0.69035520684736096</v>
      </c>
      <c r="AW11" s="244">
        <v>0.38732382310984298</v>
      </c>
      <c r="AX11" s="244">
        <v>0.138724679029957</v>
      </c>
      <c r="AY11" s="244">
        <v>0.70650356633380895</v>
      </c>
      <c r="AZ11" s="244">
        <v>0.33721469329529202</v>
      </c>
      <c r="BA11" s="244">
        <v>0.51803994293865896</v>
      </c>
      <c r="BB11" s="244">
        <v>0.25044864479315299</v>
      </c>
      <c r="BC11" s="244">
        <v>1.02227888730385</v>
      </c>
      <c r="BD11" s="244">
        <v>1.24975820256776</v>
      </c>
      <c r="BE11" s="244">
        <v>0.83336233951497796</v>
      </c>
      <c r="BF11" s="244">
        <v>0.60821897289586302</v>
      </c>
      <c r="BG11" s="244">
        <v>0.44670328102710399</v>
      </c>
      <c r="BH11" s="244">
        <v>12.394293865905899</v>
      </c>
      <c r="BI11" s="244">
        <v>4.9790370898716096</v>
      </c>
      <c r="BJ11" s="244">
        <v>2.9878744650499298</v>
      </c>
      <c r="BK11" s="244">
        <v>55.469686162624797</v>
      </c>
      <c r="BL11" s="244">
        <v>0</v>
      </c>
      <c r="BM11" s="244">
        <v>8.6340941512125499E-2</v>
      </c>
      <c r="BN11" s="244">
        <v>0.30049215406562102</v>
      </c>
      <c r="BO11" s="244">
        <v>18.174550641940101</v>
      </c>
      <c r="BP11" s="244">
        <v>4.5192582025677597</v>
      </c>
      <c r="BQ11" s="244">
        <v>41.512931526390901</v>
      </c>
      <c r="BR11" s="244">
        <v>79.755449358059906</v>
      </c>
      <c r="BS11" s="244">
        <v>2.3537803138373802E-2</v>
      </c>
      <c r="BT11" s="244">
        <v>57.736176890156898</v>
      </c>
      <c r="BU11" s="244">
        <v>9.37319543509272</v>
      </c>
      <c r="BV11" s="244">
        <v>5.3038516405135496</v>
      </c>
      <c r="BW11" s="244">
        <v>29.021726105563499</v>
      </c>
      <c r="BX11" s="244">
        <v>1455.7395577746099</v>
      </c>
      <c r="BY11" s="244">
        <v>34.6544079885877</v>
      </c>
      <c r="BZ11" s="244">
        <v>30.1913837375178</v>
      </c>
      <c r="CA11" s="244">
        <v>1.12268188302425</v>
      </c>
    </row>
    <row r="12" spans="1:79">
      <c r="A12" s="245">
        <v>81203</v>
      </c>
      <c r="B12" s="243" t="s">
        <v>1635</v>
      </c>
      <c r="C12" s="212" t="s">
        <v>1625</v>
      </c>
      <c r="D12" s="246">
        <v>12</v>
      </c>
      <c r="E12" s="248">
        <v>155.119686174724</v>
      </c>
      <c r="F12" s="244">
        <v>103.97312637828701</v>
      </c>
      <c r="G12" s="244">
        <v>3.0725754877014402</v>
      </c>
      <c r="H12" s="244">
        <v>3.67242917726887</v>
      </c>
      <c r="I12" s="244">
        <v>27.001633163697999</v>
      </c>
      <c r="J12" s="244">
        <v>1.6019465648855</v>
      </c>
      <c r="K12" s="244">
        <v>4.9751908396946598E-2</v>
      </c>
      <c r="L12" s="244">
        <v>0.23944783715012699</v>
      </c>
      <c r="M12" s="244">
        <v>0.28439906700593698</v>
      </c>
      <c r="N12" s="244">
        <v>0.30629346904156102</v>
      </c>
      <c r="O12" s="244">
        <v>4.3463528413910102E-2</v>
      </c>
      <c r="P12" s="244">
        <v>5.7248049194232404</v>
      </c>
      <c r="Q12" s="244">
        <v>0.22073791348600499</v>
      </c>
      <c r="R12" s="244">
        <v>1.2810474978795601</v>
      </c>
      <c r="S12" s="244">
        <v>1.0389058524173</v>
      </c>
      <c r="T12" s="244">
        <v>0.228261238337574</v>
      </c>
      <c r="U12" s="244">
        <v>0.20989821882951701</v>
      </c>
      <c r="V12" s="244">
        <v>26.647480916030499</v>
      </c>
      <c r="W12" s="244">
        <v>28.018745122985599</v>
      </c>
      <c r="X12" s="244">
        <v>0</v>
      </c>
      <c r="Y12" s="244">
        <v>14.1905852417303</v>
      </c>
      <c r="Z12" s="244">
        <v>8.7222731128074606</v>
      </c>
      <c r="AA12" s="244">
        <v>0</v>
      </c>
      <c r="AB12" s="244">
        <v>0</v>
      </c>
      <c r="AC12" s="244">
        <v>4.4882866836302</v>
      </c>
      <c r="AD12" s="244">
        <v>114.17336726038999</v>
      </c>
      <c r="AE12" s="244">
        <v>6.1359626802374903E-2</v>
      </c>
      <c r="AF12" s="244">
        <v>0.47782018659881298</v>
      </c>
      <c r="AG12" s="244">
        <v>0.13385962680237501</v>
      </c>
      <c r="AH12" s="244">
        <v>86.840534351144996</v>
      </c>
      <c r="AI12" s="244">
        <v>357.79391009329998</v>
      </c>
      <c r="AJ12" s="244">
        <v>0.99306191687871104</v>
      </c>
      <c r="AK12" s="244">
        <v>0.464703138252757</v>
      </c>
      <c r="AL12" s="244">
        <v>1.7420610687022899</v>
      </c>
      <c r="AM12" s="244">
        <v>1.06150127226463</v>
      </c>
      <c r="AN12" s="244">
        <v>0.21246819338422401</v>
      </c>
      <c r="AO12" s="244">
        <v>13.208956743002499</v>
      </c>
      <c r="AP12" s="244">
        <v>7.0738761662425806E-2</v>
      </c>
      <c r="AQ12" s="244">
        <v>0.11855131467345199</v>
      </c>
      <c r="AR12" s="244">
        <v>0.24092451229855799</v>
      </c>
      <c r="AS12" s="244">
        <v>0.20158439355385899</v>
      </c>
      <c r="AT12" s="244">
        <v>6.2410517387616597E-2</v>
      </c>
      <c r="AU12" s="244">
        <v>1.95733672603902E-2</v>
      </c>
      <c r="AV12" s="244">
        <v>0.126654792196777</v>
      </c>
      <c r="AW12" s="244">
        <v>0.113014418999152</v>
      </c>
      <c r="AX12" s="244">
        <v>3.0236641221374001E-2</v>
      </c>
      <c r="AY12" s="244">
        <v>0.17037574215436799</v>
      </c>
      <c r="AZ12" s="244">
        <v>0.14412977099236601</v>
      </c>
      <c r="BA12" s="244">
        <v>0.106375742154368</v>
      </c>
      <c r="BB12" s="244">
        <v>0.20057675996607299</v>
      </c>
      <c r="BC12" s="244">
        <v>0.66216709075487701</v>
      </c>
      <c r="BD12" s="244">
        <v>6.1977947413061903E-2</v>
      </c>
      <c r="BE12" s="244">
        <v>0.23847582697201</v>
      </c>
      <c r="BF12" s="244">
        <v>0.14755470737913501</v>
      </c>
      <c r="BG12" s="244">
        <v>0.127595419847328</v>
      </c>
      <c r="BH12" s="244">
        <v>3.3693469041560702</v>
      </c>
      <c r="BI12" s="244">
        <v>6.2711874469889697</v>
      </c>
      <c r="BJ12" s="244">
        <v>0</v>
      </c>
      <c r="BK12" s="244">
        <v>16.3172179813401</v>
      </c>
      <c r="BL12" s="244">
        <v>74.167938931297698</v>
      </c>
      <c r="BM12" s="244">
        <v>85.646310432570004</v>
      </c>
      <c r="BN12" s="244">
        <v>267.91138252756599</v>
      </c>
      <c r="BO12" s="244">
        <v>785.40435114503805</v>
      </c>
      <c r="BP12" s="244">
        <v>41.597116200169602</v>
      </c>
      <c r="BQ12" s="244">
        <v>847.99895674300296</v>
      </c>
      <c r="BR12" s="244">
        <v>3.7912044105173899</v>
      </c>
      <c r="BS12" s="244">
        <v>0</v>
      </c>
      <c r="BT12" s="244">
        <v>187.38083121289199</v>
      </c>
      <c r="BU12" s="244">
        <v>13.184452926208699</v>
      </c>
      <c r="BV12" s="244">
        <v>1.76590330788804</v>
      </c>
      <c r="BW12" s="244">
        <v>3.5318066157760799</v>
      </c>
      <c r="BX12" s="244">
        <v>294.09336726038998</v>
      </c>
      <c r="BY12" s="244">
        <v>0.88295165394401998</v>
      </c>
      <c r="BZ12" s="244">
        <v>0</v>
      </c>
      <c r="CA12" s="244">
        <v>27.406276505513102</v>
      </c>
    </row>
    <row r="13" spans="1:79">
      <c r="A13" s="245">
        <v>53101</v>
      </c>
      <c r="B13" s="243" t="s">
        <v>1636</v>
      </c>
      <c r="C13" s="212" t="s">
        <v>1625</v>
      </c>
      <c r="D13" s="246">
        <v>13</v>
      </c>
      <c r="E13" s="248">
        <v>208.91763608087101</v>
      </c>
      <c r="F13" s="244">
        <v>166.62653608087101</v>
      </c>
      <c r="G13" s="244">
        <v>19.182199844479001</v>
      </c>
      <c r="H13" s="244">
        <v>10.439342923794699</v>
      </c>
      <c r="I13" s="244">
        <v>7.65133514774495</v>
      </c>
      <c r="J13" s="244">
        <v>1.8569659409020201</v>
      </c>
      <c r="K13" s="244">
        <v>4.9653188180404401E-2</v>
      </c>
      <c r="L13" s="244">
        <v>0.104554898911353</v>
      </c>
      <c r="M13" s="244">
        <v>3.61146423017107</v>
      </c>
      <c r="N13" s="244">
        <v>0.91102768273717005</v>
      </c>
      <c r="O13" s="244">
        <v>0.30710046656298601</v>
      </c>
      <c r="P13" s="244">
        <v>9.3818079315707603</v>
      </c>
      <c r="Q13" s="244">
        <v>1.7860031104199099</v>
      </c>
      <c r="R13" s="244">
        <v>3.5178110419906701</v>
      </c>
      <c r="S13" s="244">
        <v>1.0688953343701399</v>
      </c>
      <c r="T13" s="244">
        <v>0.59334867807154001</v>
      </c>
      <c r="U13" s="244">
        <v>18.714494556765199</v>
      </c>
      <c r="V13" s="244">
        <v>12.177293934681201</v>
      </c>
      <c r="W13" s="244">
        <v>20.6631465007776</v>
      </c>
      <c r="X13" s="244">
        <v>2.4212286158631399E-2</v>
      </c>
      <c r="Y13" s="244">
        <v>91.747548522550602</v>
      </c>
      <c r="Z13" s="244">
        <v>22.6861648522551</v>
      </c>
      <c r="AA13" s="244">
        <v>0.34003110419906701</v>
      </c>
      <c r="AB13" s="244">
        <v>15.0669517884914</v>
      </c>
      <c r="AC13" s="244">
        <v>26.4420272161742</v>
      </c>
      <c r="AD13" s="244">
        <v>32.998825816485201</v>
      </c>
      <c r="AE13" s="244">
        <v>0.27989440124416798</v>
      </c>
      <c r="AF13" s="244">
        <v>3.0179214618973602</v>
      </c>
      <c r="AG13" s="244">
        <v>0.66822099533436996</v>
      </c>
      <c r="AH13" s="244">
        <v>140.636403888025</v>
      </c>
      <c r="AI13" s="244">
        <v>345.78847076205301</v>
      </c>
      <c r="AJ13" s="244">
        <v>10.9111082426128</v>
      </c>
      <c r="AK13" s="244">
        <v>3.3492082426127499</v>
      </c>
      <c r="AL13" s="244">
        <v>2.0872645412130599</v>
      </c>
      <c r="AM13" s="244">
        <v>2.7092471228615902</v>
      </c>
      <c r="AN13" s="244">
        <v>4.9842872472783801</v>
      </c>
      <c r="AO13" s="244">
        <v>92.953343701399703</v>
      </c>
      <c r="AP13" s="244">
        <v>0.68108690513219305</v>
      </c>
      <c r="AQ13" s="244">
        <v>0.90596275272161697</v>
      </c>
      <c r="AR13" s="244">
        <v>1.5453715707620499</v>
      </c>
      <c r="AS13" s="244">
        <v>1.6064224105754299</v>
      </c>
      <c r="AT13" s="244">
        <v>0.49960241057542798</v>
      </c>
      <c r="AU13" s="244">
        <v>0.14951702954898899</v>
      </c>
      <c r="AV13" s="244">
        <v>0.80942654743390396</v>
      </c>
      <c r="AW13" s="244">
        <v>0.86196636080870903</v>
      </c>
      <c r="AX13" s="244">
        <v>0.213234727838258</v>
      </c>
      <c r="AY13" s="244">
        <v>1.00456863141524</v>
      </c>
      <c r="AZ13" s="244">
        <v>1.1973517107309499</v>
      </c>
      <c r="BA13" s="244">
        <v>1.2989906065318799</v>
      </c>
      <c r="BB13" s="244">
        <v>1.8263211041990699</v>
      </c>
      <c r="BC13" s="244">
        <v>2.9866928304821099</v>
      </c>
      <c r="BD13" s="244">
        <v>1.0219409331259699</v>
      </c>
      <c r="BE13" s="244">
        <v>0.80883211508553698</v>
      </c>
      <c r="BF13" s="244">
        <v>0.81200157076205304</v>
      </c>
      <c r="BG13" s="244">
        <v>0.67200003110419904</v>
      </c>
      <c r="BH13" s="244">
        <v>35.320466562985999</v>
      </c>
      <c r="BI13" s="244">
        <v>18.075038880248801</v>
      </c>
      <c r="BJ13" s="244">
        <v>2.3172628304821199</v>
      </c>
      <c r="BK13" s="244">
        <v>58.574805598755802</v>
      </c>
      <c r="BL13" s="244">
        <v>0</v>
      </c>
      <c r="BM13" s="244">
        <v>13.694307931570799</v>
      </c>
      <c r="BN13" s="244">
        <v>154.022892690513</v>
      </c>
      <c r="BO13" s="244">
        <v>1511.94642301711</v>
      </c>
      <c r="BP13" s="244">
        <v>191.76671850699799</v>
      </c>
      <c r="BQ13" s="244">
        <v>2315.5469362363901</v>
      </c>
      <c r="BR13" s="244">
        <v>28.032877138413699</v>
      </c>
      <c r="BS13" s="244">
        <v>0.99533437013996895</v>
      </c>
      <c r="BT13" s="244">
        <v>352.28651632970502</v>
      </c>
      <c r="BU13" s="244">
        <v>71.233514774494594</v>
      </c>
      <c r="BV13" s="244">
        <v>0</v>
      </c>
      <c r="BW13" s="244">
        <v>110.352099533437</v>
      </c>
      <c r="BX13" s="244">
        <v>1104.2731430793201</v>
      </c>
      <c r="BY13" s="244">
        <v>0</v>
      </c>
      <c r="BZ13" s="244">
        <v>0</v>
      </c>
      <c r="CA13" s="244">
        <v>11.432348367029499</v>
      </c>
    </row>
    <row r="14" spans="1:79">
      <c r="A14" s="245">
        <v>42100</v>
      </c>
      <c r="B14" s="243" t="s">
        <v>1637</v>
      </c>
      <c r="C14" s="212" t="s">
        <v>1625</v>
      </c>
      <c r="D14" s="246">
        <v>14</v>
      </c>
      <c r="E14" s="248">
        <v>264.48648648648702</v>
      </c>
      <c r="F14" s="244">
        <v>168.38201663201701</v>
      </c>
      <c r="G14" s="244">
        <v>13.676777546777499</v>
      </c>
      <c r="H14" s="244">
        <v>21.3082536382536</v>
      </c>
      <c r="I14" s="244">
        <v>4.9093139293139298</v>
      </c>
      <c r="J14" s="244">
        <v>0.99983367983367999</v>
      </c>
      <c r="K14" s="244">
        <v>5.7046361746361803E-2</v>
      </c>
      <c r="L14" s="244">
        <v>9.7169178794178801E-2</v>
      </c>
      <c r="M14" s="244">
        <v>0.97968783783783797</v>
      </c>
      <c r="N14" s="244">
        <v>6.5347609147609204E-2</v>
      </c>
      <c r="O14" s="244">
        <v>0.19540270270270299</v>
      </c>
      <c r="P14" s="244">
        <v>3.69334719334719</v>
      </c>
      <c r="Q14" s="244">
        <v>0</v>
      </c>
      <c r="R14" s="244">
        <v>2.6928914760914799</v>
      </c>
      <c r="S14" s="244">
        <v>0.32322245322245302</v>
      </c>
      <c r="T14" s="244">
        <v>0.36282328482328502</v>
      </c>
      <c r="U14" s="244">
        <v>33.953600831600802</v>
      </c>
      <c r="V14" s="244">
        <v>0</v>
      </c>
      <c r="W14" s="244">
        <v>2.4382093555093598</v>
      </c>
      <c r="X14" s="244">
        <v>0</v>
      </c>
      <c r="Y14" s="244">
        <v>27.175478794178801</v>
      </c>
      <c r="Z14" s="244">
        <v>11.842474012474</v>
      </c>
      <c r="AA14" s="244">
        <v>7.5758835758835796E-2</v>
      </c>
      <c r="AB14" s="244">
        <v>3.3243243243243201</v>
      </c>
      <c r="AC14" s="244">
        <v>6.7673133056133103</v>
      </c>
      <c r="AD14" s="244">
        <v>417.56293139293098</v>
      </c>
      <c r="AE14" s="244">
        <v>0.26596580041579998</v>
      </c>
      <c r="AF14" s="244">
        <v>1.45802162162162</v>
      </c>
      <c r="AG14" s="244">
        <v>0.14775051975052</v>
      </c>
      <c r="AH14" s="244">
        <v>138.727650727651</v>
      </c>
      <c r="AI14" s="244">
        <v>205.60283264033299</v>
      </c>
      <c r="AJ14" s="244">
        <v>0.20962577962578</v>
      </c>
      <c r="AK14" s="244">
        <v>0.98989604989604996</v>
      </c>
      <c r="AL14" s="244">
        <v>2.7272349272349299</v>
      </c>
      <c r="AM14" s="244">
        <v>3.9902286902286899</v>
      </c>
      <c r="AN14" s="244">
        <v>10.079340956340999</v>
      </c>
      <c r="AO14" s="244">
        <v>0</v>
      </c>
      <c r="AP14" s="244">
        <v>1.13742203742204E-2</v>
      </c>
      <c r="AQ14" s="244">
        <v>2.1484407484407501E-2</v>
      </c>
      <c r="AR14" s="244">
        <v>3.1311850311850298E-2</v>
      </c>
      <c r="AS14" s="244">
        <v>2.18336798336798E-2</v>
      </c>
      <c r="AT14" s="244">
        <v>9.1205821205821193E-3</v>
      </c>
      <c r="AU14" s="244">
        <v>7.9022869022868994E-3</v>
      </c>
      <c r="AV14" s="244">
        <v>2.5498960498960499E-2</v>
      </c>
      <c r="AW14" s="244">
        <v>2.08045738045738E-2</v>
      </c>
      <c r="AX14" s="244">
        <v>6.9625779625779602E-3</v>
      </c>
      <c r="AY14" s="244">
        <v>2.4515592515592498E-2</v>
      </c>
      <c r="AZ14" s="244">
        <v>3.0625779625779601E-2</v>
      </c>
      <c r="BA14" s="244">
        <v>7.6968814968814997E-2</v>
      </c>
      <c r="BB14" s="244">
        <v>7.0912681912681894E-2</v>
      </c>
      <c r="BC14" s="244">
        <v>0.160043659043659</v>
      </c>
      <c r="BD14" s="244">
        <v>3.4525987525987498E-2</v>
      </c>
      <c r="BE14" s="244">
        <v>1.9577962577962599E-2</v>
      </c>
      <c r="BF14" s="244">
        <v>2.1284823284823302E-2</v>
      </c>
      <c r="BG14" s="244">
        <v>1.53659043659044E-2</v>
      </c>
      <c r="BH14" s="244">
        <v>19.117380457380499</v>
      </c>
      <c r="BI14" s="244">
        <v>6.7766735966736</v>
      </c>
      <c r="BJ14" s="244">
        <v>1.8004158004158</v>
      </c>
      <c r="BK14" s="244">
        <v>2.8848232848232902</v>
      </c>
      <c r="BL14" s="244">
        <v>0</v>
      </c>
      <c r="BM14" s="244">
        <v>0</v>
      </c>
      <c r="BN14" s="244">
        <v>0.25288981288981299</v>
      </c>
      <c r="BO14" s="244">
        <v>27.6438253638254</v>
      </c>
      <c r="BP14" s="244">
        <v>0</v>
      </c>
      <c r="BQ14" s="244">
        <v>39.366444906444897</v>
      </c>
      <c r="BR14" s="244">
        <v>1.4033264033263999E-2</v>
      </c>
      <c r="BS14" s="244">
        <v>0</v>
      </c>
      <c r="BT14" s="244">
        <v>76.207359667359697</v>
      </c>
      <c r="BU14" s="244">
        <v>6.9104781704781697</v>
      </c>
      <c r="BV14" s="244">
        <v>0</v>
      </c>
      <c r="BW14" s="244">
        <v>0</v>
      </c>
      <c r="BX14" s="244">
        <v>22.759043659043702</v>
      </c>
      <c r="BY14" s="244">
        <v>0</v>
      </c>
      <c r="BZ14" s="244">
        <v>0</v>
      </c>
      <c r="CA14" s="244">
        <v>1.48856548856549</v>
      </c>
    </row>
    <row r="15" spans="1:79">
      <c r="A15" s="245">
        <v>67201</v>
      </c>
      <c r="B15" s="243" t="s">
        <v>1638</v>
      </c>
      <c r="C15" s="212" t="s">
        <v>1625</v>
      </c>
      <c r="D15" s="246">
        <v>15</v>
      </c>
      <c r="E15" s="248">
        <v>347.31605839416102</v>
      </c>
      <c r="F15" s="244">
        <v>51.131131386861298</v>
      </c>
      <c r="G15" s="244">
        <v>4.3153503649634999</v>
      </c>
      <c r="H15" s="244">
        <v>9.4202627737226301</v>
      </c>
      <c r="I15" s="244">
        <v>61.304715328467204</v>
      </c>
      <c r="J15" s="244">
        <v>0.67801459854014601</v>
      </c>
      <c r="K15" s="244">
        <v>2.9539708029197101E-2</v>
      </c>
      <c r="L15" s="244">
        <v>4.4019708029197101E-2</v>
      </c>
      <c r="M15" s="244">
        <v>0.98179562043795598</v>
      </c>
      <c r="N15" s="244">
        <v>0.25756496350364999</v>
      </c>
      <c r="O15" s="244">
        <v>1.33357664233577E-2</v>
      </c>
      <c r="P15" s="244">
        <v>2.6467153284671499</v>
      </c>
      <c r="Q15" s="244">
        <v>8.1751824817518304E-2</v>
      </c>
      <c r="R15" s="244">
        <v>0</v>
      </c>
      <c r="S15" s="244">
        <v>0.75636788321167903</v>
      </c>
      <c r="T15" s="244">
        <v>0.20690948905109499</v>
      </c>
      <c r="U15" s="244">
        <v>15.4713138686131</v>
      </c>
      <c r="V15" s="244">
        <v>13.715547445255501</v>
      </c>
      <c r="W15" s="244">
        <v>13.715547445255501</v>
      </c>
      <c r="X15" s="244">
        <v>0</v>
      </c>
      <c r="Y15" s="244">
        <v>0.20872773722627699</v>
      </c>
      <c r="Z15" s="244">
        <v>0</v>
      </c>
      <c r="AA15" s="244">
        <v>0</v>
      </c>
      <c r="AB15" s="244">
        <v>0</v>
      </c>
      <c r="AC15" s="244">
        <v>0</v>
      </c>
      <c r="AD15" s="244">
        <v>13.8795693430657</v>
      </c>
      <c r="AE15" s="244">
        <v>6.0036496350365003E-2</v>
      </c>
      <c r="AF15" s="244">
        <v>0.88095620437956201</v>
      </c>
      <c r="AG15" s="244">
        <v>0.50343503649635002</v>
      </c>
      <c r="AH15" s="244">
        <v>43.530656934306599</v>
      </c>
      <c r="AI15" s="244">
        <v>39.5337299270073</v>
      </c>
      <c r="AJ15" s="244">
        <v>11.214802919707999</v>
      </c>
      <c r="AK15" s="244">
        <v>0.25800000000000001</v>
      </c>
      <c r="AL15" s="244">
        <v>1.4754452554744499</v>
      </c>
      <c r="AM15" s="244">
        <v>2.0699635036496402</v>
      </c>
      <c r="AN15" s="244">
        <v>4.9562992700729902</v>
      </c>
      <c r="AO15" s="244">
        <v>12.646189781021899</v>
      </c>
      <c r="AP15" s="244">
        <v>2.79846715328467E-2</v>
      </c>
      <c r="AQ15" s="244">
        <v>6.3986131386861295E-2</v>
      </c>
      <c r="AR15" s="244">
        <v>0.102940875912409</v>
      </c>
      <c r="AS15" s="244">
        <v>4.9316788321167898E-2</v>
      </c>
      <c r="AT15" s="244">
        <v>3.7708029197080301E-2</v>
      </c>
      <c r="AU15" s="244">
        <v>3.4550364963503701E-2</v>
      </c>
      <c r="AV15" s="244">
        <v>9.1659124087591207E-2</v>
      </c>
      <c r="AW15" s="244">
        <v>4.41255474452555E-2</v>
      </c>
      <c r="AX15" s="244">
        <v>1.9763503649635E-2</v>
      </c>
      <c r="AY15" s="244">
        <v>7.6366423357664304E-2</v>
      </c>
      <c r="AZ15" s="244">
        <v>0.101229197080292</v>
      </c>
      <c r="BA15" s="244">
        <v>6.4543065693430698E-2</v>
      </c>
      <c r="BB15" s="244">
        <v>0.108326277372263</v>
      </c>
      <c r="BC15" s="244">
        <v>0.38996131386861299</v>
      </c>
      <c r="BD15" s="244">
        <v>6.0394160583941599E-2</v>
      </c>
      <c r="BE15" s="244">
        <v>0.113149635036496</v>
      </c>
      <c r="BF15" s="244">
        <v>8.8951094890511007E-2</v>
      </c>
      <c r="BG15" s="244">
        <v>3.7105109489051102E-2</v>
      </c>
      <c r="BH15" s="244">
        <v>0</v>
      </c>
      <c r="BI15" s="244">
        <v>19.804379562043799</v>
      </c>
      <c r="BJ15" s="244">
        <v>0</v>
      </c>
      <c r="BK15" s="244">
        <v>13.6934306569343</v>
      </c>
      <c r="BL15" s="244">
        <v>0</v>
      </c>
      <c r="BM15" s="244">
        <v>0</v>
      </c>
      <c r="BN15" s="244">
        <v>1.44128467153285</v>
      </c>
      <c r="BO15" s="244">
        <v>132.20891240875901</v>
      </c>
      <c r="BP15" s="244">
        <v>10.3824817518248</v>
      </c>
      <c r="BQ15" s="244">
        <v>206.838868613139</v>
      </c>
      <c r="BR15" s="244">
        <v>1.72986861313869</v>
      </c>
      <c r="BS15" s="244">
        <v>0</v>
      </c>
      <c r="BT15" s="244">
        <v>103.503211678832</v>
      </c>
      <c r="BU15" s="244">
        <v>3.5852189781021901</v>
      </c>
      <c r="BV15" s="244">
        <v>0</v>
      </c>
      <c r="BW15" s="244">
        <v>0</v>
      </c>
      <c r="BX15" s="244">
        <v>5.9493795620438004</v>
      </c>
      <c r="BY15" s="244">
        <v>0</v>
      </c>
      <c r="BZ15" s="244">
        <v>3.7793868613138701</v>
      </c>
      <c r="CA15" s="244">
        <v>0.163503649635037</v>
      </c>
    </row>
    <row r="16" spans="1:79">
      <c r="A16" s="245">
        <v>13108</v>
      </c>
      <c r="B16" s="243" t="s">
        <v>1639</v>
      </c>
      <c r="C16" s="212" t="s">
        <v>1625</v>
      </c>
      <c r="D16" s="246">
        <v>16</v>
      </c>
      <c r="E16" s="248">
        <v>76.317002881844402</v>
      </c>
      <c r="F16" s="244">
        <v>133.999495677233</v>
      </c>
      <c r="G16" s="244">
        <v>2.44149855907781</v>
      </c>
      <c r="H16" s="244">
        <v>4.00181556195965</v>
      </c>
      <c r="I16" s="244">
        <v>6.6027377521613797</v>
      </c>
      <c r="J16" s="244">
        <v>2.50870317002882</v>
      </c>
      <c r="K16" s="244">
        <v>5.4407002881844399E-2</v>
      </c>
      <c r="L16" s="244">
        <v>4.99409221902017E-2</v>
      </c>
      <c r="M16" s="244">
        <v>0.40375504322766598</v>
      </c>
      <c r="N16" s="244">
        <v>0.370938904899136</v>
      </c>
      <c r="O16" s="244">
        <v>8.69599423631124E-2</v>
      </c>
      <c r="P16" s="244">
        <v>14.3411527377522</v>
      </c>
      <c r="Q16" s="244">
        <v>0</v>
      </c>
      <c r="R16" s="244">
        <v>10.7230703170029</v>
      </c>
      <c r="S16" s="244">
        <v>1.5179827089337199</v>
      </c>
      <c r="T16" s="244">
        <v>0.21365417867435199</v>
      </c>
      <c r="U16" s="244">
        <v>11.6213198847262</v>
      </c>
      <c r="V16" s="244">
        <v>0</v>
      </c>
      <c r="W16" s="244">
        <v>1.6908178674351599</v>
      </c>
      <c r="X16" s="244">
        <v>0</v>
      </c>
      <c r="Y16" s="244">
        <v>20.009963112391901</v>
      </c>
      <c r="Z16" s="244">
        <v>52.500069164265099</v>
      </c>
      <c r="AA16" s="244">
        <v>0</v>
      </c>
      <c r="AB16" s="244">
        <v>0</v>
      </c>
      <c r="AC16" s="244">
        <v>19.818379827089299</v>
      </c>
      <c r="AD16" s="244">
        <v>24.4700144092219</v>
      </c>
      <c r="AE16" s="244">
        <v>0.25557204610951001</v>
      </c>
      <c r="AF16" s="244">
        <v>1.03678674351585</v>
      </c>
      <c r="AG16" s="244">
        <v>0.177394812680115</v>
      </c>
      <c r="AH16" s="244">
        <v>42.303746397694503</v>
      </c>
      <c r="AI16" s="244">
        <v>203.352564841499</v>
      </c>
      <c r="AJ16" s="244">
        <v>0.67217579250720505</v>
      </c>
      <c r="AK16" s="244">
        <v>0.46870317002881801</v>
      </c>
      <c r="AL16" s="244">
        <v>0.65139769452449603</v>
      </c>
      <c r="AM16" s="244">
        <v>0.89681556195965395</v>
      </c>
      <c r="AN16" s="244">
        <v>2.3078530259366001</v>
      </c>
      <c r="AO16" s="244">
        <v>0</v>
      </c>
      <c r="AP16" s="244">
        <v>5.5063400576368902E-2</v>
      </c>
      <c r="AQ16" s="244">
        <v>7.9195965417867401E-2</v>
      </c>
      <c r="AR16" s="244">
        <v>0.15794524495677201</v>
      </c>
      <c r="AS16" s="244">
        <v>0.128337175792507</v>
      </c>
      <c r="AT16" s="244">
        <v>2.5793948126801199E-2</v>
      </c>
      <c r="AU16" s="244">
        <v>1.47132564841499E-2</v>
      </c>
      <c r="AV16" s="244">
        <v>0.118959654178674</v>
      </c>
      <c r="AW16" s="244">
        <v>7.0234870317002901E-2</v>
      </c>
      <c r="AX16" s="244">
        <v>2.15907780979827E-2</v>
      </c>
      <c r="AY16" s="244">
        <v>9.8315561959654199E-2</v>
      </c>
      <c r="AZ16" s="244">
        <v>0.11734726224783899</v>
      </c>
      <c r="BA16" s="244">
        <v>0.13280691642651299</v>
      </c>
      <c r="BB16" s="244">
        <v>0.28434726224783902</v>
      </c>
      <c r="BC16" s="244">
        <v>0.43824207492795397</v>
      </c>
      <c r="BD16" s="244">
        <v>9.0695965417867397E-2</v>
      </c>
      <c r="BE16" s="244">
        <v>8.8011527377521603E-2</v>
      </c>
      <c r="BF16" s="244">
        <v>0.111544668587896</v>
      </c>
      <c r="BG16" s="244">
        <v>6.7151296829971202E-2</v>
      </c>
      <c r="BH16" s="244">
        <v>13.381988472622499</v>
      </c>
      <c r="BI16" s="244">
        <v>61.171873198847301</v>
      </c>
      <c r="BJ16" s="244">
        <v>2.3054755043227702</v>
      </c>
      <c r="BK16" s="244">
        <v>9.6097982708933696</v>
      </c>
      <c r="BL16" s="244">
        <v>0</v>
      </c>
      <c r="BM16" s="244">
        <v>0</v>
      </c>
      <c r="BN16" s="244">
        <v>0.56507204610951001</v>
      </c>
      <c r="BO16" s="244">
        <v>46.263487031700301</v>
      </c>
      <c r="BP16" s="244">
        <v>0</v>
      </c>
      <c r="BQ16" s="244">
        <v>34.947060518732002</v>
      </c>
      <c r="BR16" s="244">
        <v>0</v>
      </c>
      <c r="BS16" s="244">
        <v>0</v>
      </c>
      <c r="BT16" s="244">
        <v>78.551412103746401</v>
      </c>
      <c r="BU16" s="244">
        <v>59.257608069164299</v>
      </c>
      <c r="BV16" s="244">
        <v>0</v>
      </c>
      <c r="BW16" s="244">
        <v>0</v>
      </c>
      <c r="BX16" s="244">
        <v>10.187939481268</v>
      </c>
      <c r="BY16" s="244">
        <v>0</v>
      </c>
      <c r="BZ16" s="244">
        <v>0</v>
      </c>
      <c r="CA16" s="244">
        <v>0.64553314121037497</v>
      </c>
    </row>
    <row r="17" spans="1:79">
      <c r="A17" s="245">
        <v>82502</v>
      </c>
      <c r="B17" s="243" t="s">
        <v>1640</v>
      </c>
      <c r="C17" s="212" t="s">
        <v>1625</v>
      </c>
      <c r="D17" s="246">
        <v>17</v>
      </c>
      <c r="E17" s="248">
        <v>641.22471910112404</v>
      </c>
      <c r="F17" s="244">
        <v>20.567865168539299</v>
      </c>
      <c r="G17" s="244">
        <v>10.1574157303371</v>
      </c>
      <c r="H17" s="244">
        <v>31.371516853932601</v>
      </c>
      <c r="I17" s="244">
        <v>79.295505617977497</v>
      </c>
      <c r="J17" s="244">
        <v>2.86011235955056</v>
      </c>
      <c r="K17" s="244">
        <v>0.14217977528089901</v>
      </c>
      <c r="L17" s="244">
        <v>8.4897752808988799E-2</v>
      </c>
      <c r="M17" s="244">
        <v>1.3979101123595501</v>
      </c>
      <c r="N17" s="244">
        <v>0.65803146067415696</v>
      </c>
      <c r="O17" s="244">
        <v>8.3093258426966299E-2</v>
      </c>
      <c r="P17" s="244">
        <v>36.9623595505618</v>
      </c>
      <c r="Q17" s="244">
        <v>0.31460674157303398</v>
      </c>
      <c r="R17" s="244">
        <v>0</v>
      </c>
      <c r="S17" s="244">
        <v>6.4141685393258401</v>
      </c>
      <c r="T17" s="244">
        <v>0.67692134831460704</v>
      </c>
      <c r="U17" s="244">
        <v>54.180898876404498</v>
      </c>
      <c r="V17" s="244">
        <v>24.6946629213483</v>
      </c>
      <c r="W17" s="244">
        <v>24.714887640449401</v>
      </c>
      <c r="X17" s="244">
        <v>0</v>
      </c>
      <c r="Y17" s="244">
        <v>1.2640449438202199</v>
      </c>
      <c r="Z17" s="244">
        <v>18.9227528089888</v>
      </c>
      <c r="AA17" s="244">
        <v>0</v>
      </c>
      <c r="AB17" s="244">
        <v>0</v>
      </c>
      <c r="AC17" s="244">
        <v>0.82162921348314599</v>
      </c>
      <c r="AD17" s="244">
        <v>20.462078651685399</v>
      </c>
      <c r="AE17" s="244">
        <v>0.26805617977528101</v>
      </c>
      <c r="AF17" s="244">
        <v>1.1094662921348299</v>
      </c>
      <c r="AG17" s="244">
        <v>1.4127415730337101</v>
      </c>
      <c r="AH17" s="244">
        <v>111.997191011236</v>
      </c>
      <c r="AI17" s="244">
        <v>139.06061797752801</v>
      </c>
      <c r="AJ17" s="244">
        <v>17.7488202247191</v>
      </c>
      <c r="AK17" s="244">
        <v>1.96581460674157</v>
      </c>
      <c r="AL17" s="244">
        <v>5.1273370786516903</v>
      </c>
      <c r="AM17" s="244">
        <v>7.3044943820224697</v>
      </c>
      <c r="AN17" s="244">
        <v>17.339269662921399</v>
      </c>
      <c r="AO17" s="244">
        <v>48.666516853932599</v>
      </c>
      <c r="AP17" s="244">
        <v>0.22145505617977501</v>
      </c>
      <c r="AQ17" s="244">
        <v>0.41749438202247202</v>
      </c>
      <c r="AR17" s="244">
        <v>0.70168539325842705</v>
      </c>
      <c r="AS17" s="244">
        <v>0.30047752808988798</v>
      </c>
      <c r="AT17" s="244">
        <v>0.197275280898876</v>
      </c>
      <c r="AU17" s="244">
        <v>0.20334831460674199</v>
      </c>
      <c r="AV17" s="244">
        <v>0.57527528089887603</v>
      </c>
      <c r="AW17" s="244">
        <v>0.28582022471910101</v>
      </c>
      <c r="AX17" s="244">
        <v>0.11747191011236</v>
      </c>
      <c r="AY17" s="244">
        <v>0.500904494382022</v>
      </c>
      <c r="AZ17" s="244">
        <v>0.48039325842696601</v>
      </c>
      <c r="BA17" s="244">
        <v>0.44821348314606702</v>
      </c>
      <c r="BB17" s="244">
        <v>0.64273033707865201</v>
      </c>
      <c r="BC17" s="244">
        <v>2.7994213483146102</v>
      </c>
      <c r="BD17" s="244">
        <v>0.374191011235955</v>
      </c>
      <c r="BE17" s="244">
        <v>0.83786516853932602</v>
      </c>
      <c r="BF17" s="244">
        <v>0.52814044943820204</v>
      </c>
      <c r="BG17" s="244">
        <v>0.292005617977528</v>
      </c>
      <c r="BH17" s="244">
        <v>4.56460674157303</v>
      </c>
      <c r="BI17" s="244">
        <v>257.72471910112398</v>
      </c>
      <c r="BJ17" s="244">
        <v>0</v>
      </c>
      <c r="BK17" s="244">
        <v>52.696629213483199</v>
      </c>
      <c r="BL17" s="244">
        <v>0</v>
      </c>
      <c r="BM17" s="244">
        <v>0</v>
      </c>
      <c r="BN17" s="244">
        <v>5.54651685393259</v>
      </c>
      <c r="BO17" s="244">
        <v>503.23884831460703</v>
      </c>
      <c r="BP17" s="244">
        <v>39.955056179775298</v>
      </c>
      <c r="BQ17" s="244">
        <v>810.13162921348305</v>
      </c>
      <c r="BR17" s="244">
        <v>6.6570786516853904</v>
      </c>
      <c r="BS17" s="244">
        <v>0</v>
      </c>
      <c r="BT17" s="244">
        <v>479.19308988763999</v>
      </c>
      <c r="BU17" s="244">
        <v>21.2789325842697</v>
      </c>
      <c r="BV17" s="244">
        <v>0</v>
      </c>
      <c r="BW17" s="244">
        <v>0</v>
      </c>
      <c r="BX17" s="244">
        <v>12.2934831460674</v>
      </c>
      <c r="BY17" s="244">
        <v>0</v>
      </c>
      <c r="BZ17" s="244">
        <v>14.5442696629213</v>
      </c>
      <c r="CA17" s="244">
        <v>0.62921348314606795</v>
      </c>
    </row>
    <row r="18" spans="1:79">
      <c r="A18" s="245">
        <v>25301</v>
      </c>
      <c r="B18" s="243" t="s">
        <v>1641</v>
      </c>
      <c r="C18" s="212" t="s">
        <v>1625</v>
      </c>
      <c r="D18" s="246">
        <v>18</v>
      </c>
      <c r="E18" s="248">
        <v>318.61309523809501</v>
      </c>
      <c r="F18" s="244">
        <v>135.53386904761899</v>
      </c>
      <c r="G18" s="244">
        <v>2.8298809523809498</v>
      </c>
      <c r="H18" s="244">
        <v>31.096904761904799</v>
      </c>
      <c r="I18" s="244">
        <v>5.2072619047619</v>
      </c>
      <c r="J18" s="244">
        <v>5.85809523809524</v>
      </c>
      <c r="K18" s="244">
        <v>4.4249999999999998E-2</v>
      </c>
      <c r="L18" s="244">
        <v>0.11195833333333299</v>
      </c>
      <c r="M18" s="244">
        <v>1.0543452380952401</v>
      </c>
      <c r="N18" s="244">
        <v>0.399952380952381</v>
      </c>
      <c r="O18" s="244">
        <v>0.13244642857142899</v>
      </c>
      <c r="P18" s="244">
        <v>33.457142857142898</v>
      </c>
      <c r="Q18" s="244">
        <v>0</v>
      </c>
      <c r="R18" s="244">
        <v>4.9318928571428602</v>
      </c>
      <c r="S18" s="244">
        <v>1.44714285714286</v>
      </c>
      <c r="T18" s="244">
        <v>0.667333333333333</v>
      </c>
      <c r="U18" s="244">
        <v>74.104785714285697</v>
      </c>
      <c r="V18" s="244">
        <v>0</v>
      </c>
      <c r="W18" s="244">
        <v>5.0384166666666701</v>
      </c>
      <c r="X18" s="244">
        <v>0</v>
      </c>
      <c r="Y18" s="244">
        <v>60.667369047619097</v>
      </c>
      <c r="Z18" s="244">
        <v>177.13511904761901</v>
      </c>
      <c r="AA18" s="244">
        <v>0</v>
      </c>
      <c r="AB18" s="244">
        <v>0</v>
      </c>
      <c r="AC18" s="244">
        <v>5.0596547619047598</v>
      </c>
      <c r="AD18" s="244">
        <v>34.397440476190503</v>
      </c>
      <c r="AE18" s="244">
        <v>0.974404761904762</v>
      </c>
      <c r="AF18" s="244">
        <v>0.90255952380952398</v>
      </c>
      <c r="AG18" s="244">
        <v>0.32034523809523802</v>
      </c>
      <c r="AH18" s="244">
        <v>68.339285714285694</v>
      </c>
      <c r="AI18" s="244">
        <v>292.21416666666698</v>
      </c>
      <c r="AJ18" s="244">
        <v>0.100654761904762</v>
      </c>
      <c r="AK18" s="244">
        <v>0.90202380952381001</v>
      </c>
      <c r="AL18" s="244">
        <v>4.9418452380952402</v>
      </c>
      <c r="AM18" s="244">
        <v>7.1032738095238104</v>
      </c>
      <c r="AN18" s="244">
        <v>18.156726190476199</v>
      </c>
      <c r="AO18" s="244">
        <v>0</v>
      </c>
      <c r="AP18" s="244">
        <v>4.4428571428571401E-2</v>
      </c>
      <c r="AQ18" s="244">
        <v>8.3071428571428602E-2</v>
      </c>
      <c r="AR18" s="244">
        <v>0.12705952380952401</v>
      </c>
      <c r="AS18" s="244">
        <v>8.5892857142857201E-2</v>
      </c>
      <c r="AT18" s="244">
        <v>2.0982142857142901E-2</v>
      </c>
      <c r="AU18" s="244">
        <v>1.9065476190476199E-2</v>
      </c>
      <c r="AV18" s="244">
        <v>0.106678571428571</v>
      </c>
      <c r="AW18" s="244">
        <v>7.0065476190476206E-2</v>
      </c>
      <c r="AX18" s="244">
        <v>1.9869047619047599E-2</v>
      </c>
      <c r="AY18" s="244">
        <v>0.103291666666667</v>
      </c>
      <c r="AZ18" s="244">
        <v>0.120779761904762</v>
      </c>
      <c r="BA18" s="244">
        <v>0.139476190476191</v>
      </c>
      <c r="BB18" s="244">
        <v>0.35325595238095198</v>
      </c>
      <c r="BC18" s="244">
        <v>0.488202380952381</v>
      </c>
      <c r="BD18" s="244">
        <v>9.9601190476190496E-2</v>
      </c>
      <c r="BE18" s="244">
        <v>7.9940476190476201E-2</v>
      </c>
      <c r="BF18" s="244">
        <v>8.7428571428571397E-2</v>
      </c>
      <c r="BG18" s="244">
        <v>6.3886904761904798E-2</v>
      </c>
      <c r="BH18" s="244">
        <v>30.584523809523802</v>
      </c>
      <c r="BI18" s="244">
        <v>20.377738095238101</v>
      </c>
      <c r="BJ18" s="244">
        <v>1.5714285714285701</v>
      </c>
      <c r="BK18" s="244">
        <v>11.185714285714299</v>
      </c>
      <c r="BL18" s="244">
        <v>0</v>
      </c>
      <c r="BM18" s="244">
        <v>0</v>
      </c>
      <c r="BN18" s="244">
        <v>0.19928571428571401</v>
      </c>
      <c r="BO18" s="244">
        <v>68.121785714285707</v>
      </c>
      <c r="BP18" s="244">
        <v>0</v>
      </c>
      <c r="BQ18" s="244">
        <v>45.716666666666697</v>
      </c>
      <c r="BR18" s="244">
        <v>0</v>
      </c>
      <c r="BS18" s="244">
        <v>0</v>
      </c>
      <c r="BT18" s="244">
        <v>220.616428571429</v>
      </c>
      <c r="BU18" s="244">
        <v>35.699642857142898</v>
      </c>
      <c r="BV18" s="244">
        <v>0</v>
      </c>
      <c r="BW18" s="244">
        <v>0</v>
      </c>
      <c r="BX18" s="244">
        <v>21.375416666666698</v>
      </c>
      <c r="BY18" s="244">
        <v>0</v>
      </c>
      <c r="BZ18" s="244">
        <v>0</v>
      </c>
      <c r="CA18" s="244">
        <v>1.4047619047619</v>
      </c>
    </row>
    <row r="19" spans="1:79">
      <c r="A19" s="245">
        <v>25308</v>
      </c>
      <c r="B19" s="243" t="s">
        <v>1642</v>
      </c>
      <c r="C19" s="212" t="s">
        <v>1625</v>
      </c>
      <c r="D19" s="246">
        <v>19</v>
      </c>
      <c r="E19" s="248">
        <v>266.18115942028999</v>
      </c>
      <c r="F19" s="244">
        <v>189.723985507246</v>
      </c>
      <c r="G19" s="244">
        <v>4.1572463768116004</v>
      </c>
      <c r="H19" s="244">
        <v>23.846521739130399</v>
      </c>
      <c r="I19" s="244">
        <v>7.4404347826087003</v>
      </c>
      <c r="J19" s="244">
        <v>4.7584057971014504</v>
      </c>
      <c r="K19" s="244">
        <v>0.28721739130434798</v>
      </c>
      <c r="L19" s="244">
        <v>8.5355072463768097E-2</v>
      </c>
      <c r="M19" s="244">
        <v>1.4614347826087</v>
      </c>
      <c r="N19" s="244">
        <v>0.457260869565217</v>
      </c>
      <c r="O19" s="244">
        <v>0.118123188405797</v>
      </c>
      <c r="P19" s="244">
        <v>24.113043478260899</v>
      </c>
      <c r="Q19" s="244">
        <v>0</v>
      </c>
      <c r="R19" s="244">
        <v>32.407072463768102</v>
      </c>
      <c r="S19" s="244">
        <v>1.59927536231884</v>
      </c>
      <c r="T19" s="244">
        <v>0.49095652173913001</v>
      </c>
      <c r="U19" s="244">
        <v>58.090985507246401</v>
      </c>
      <c r="V19" s="244">
        <v>0</v>
      </c>
      <c r="W19" s="244">
        <v>9.5238695652173906</v>
      </c>
      <c r="X19" s="244">
        <v>0</v>
      </c>
      <c r="Y19" s="244">
        <v>114.577550724638</v>
      </c>
      <c r="Z19" s="244">
        <v>533.71420289855098</v>
      </c>
      <c r="AA19" s="244">
        <v>0</v>
      </c>
      <c r="AB19" s="244">
        <v>0</v>
      </c>
      <c r="AC19" s="244">
        <v>19.082333333333299</v>
      </c>
      <c r="AD19" s="244">
        <v>37.012101449275399</v>
      </c>
      <c r="AE19" s="244">
        <v>0.43260869565217402</v>
      </c>
      <c r="AF19" s="244">
        <v>3.5967391304347802</v>
      </c>
      <c r="AG19" s="244">
        <v>0.36053623188405798</v>
      </c>
      <c r="AH19" s="244">
        <v>41.697681159420299</v>
      </c>
      <c r="AI19" s="244">
        <v>346.39971014492801</v>
      </c>
      <c r="AJ19" s="244">
        <v>4.2968840579710204</v>
      </c>
      <c r="AK19" s="244">
        <v>0.929275362318841</v>
      </c>
      <c r="AL19" s="244">
        <v>3.8261594202898599</v>
      </c>
      <c r="AM19" s="244">
        <v>5.33021739130435</v>
      </c>
      <c r="AN19" s="244">
        <v>13.705</v>
      </c>
      <c r="AO19" s="244">
        <v>0</v>
      </c>
      <c r="AP19" s="244">
        <v>5.4014492753623203E-2</v>
      </c>
      <c r="AQ19" s="244">
        <v>0.128753623188406</v>
      </c>
      <c r="AR19" s="244">
        <v>0.207275362318841</v>
      </c>
      <c r="AS19" s="244">
        <v>0.16501449275362301</v>
      </c>
      <c r="AT19" s="244">
        <v>4.1239130434782598E-2</v>
      </c>
      <c r="AU19" s="244">
        <v>2.78333333333333E-2</v>
      </c>
      <c r="AV19" s="244">
        <v>0.118173913043478</v>
      </c>
      <c r="AW19" s="244">
        <v>0.112355072463768</v>
      </c>
      <c r="AX19" s="244">
        <v>2.00144927536232E-2</v>
      </c>
      <c r="AY19" s="244">
        <v>0.16926811594202901</v>
      </c>
      <c r="AZ19" s="244">
        <v>0.19160144927536199</v>
      </c>
      <c r="BA19" s="244">
        <v>0.20799999999999999</v>
      </c>
      <c r="BB19" s="244">
        <v>0.30212318840579699</v>
      </c>
      <c r="BC19" s="244">
        <v>0.61182608695652196</v>
      </c>
      <c r="BD19" s="244">
        <v>0.18336956521739101</v>
      </c>
      <c r="BE19" s="244">
        <v>0.14801449275362299</v>
      </c>
      <c r="BF19" s="244">
        <v>0.138304347826087</v>
      </c>
      <c r="BG19" s="244">
        <v>8.62246376811594E-2</v>
      </c>
      <c r="BH19" s="244">
        <v>39.54</v>
      </c>
      <c r="BI19" s="244">
        <v>58.043188405797103</v>
      </c>
      <c r="BJ19" s="244">
        <v>1.9565217391304399</v>
      </c>
      <c r="BK19" s="244">
        <v>2.9057971014492798</v>
      </c>
      <c r="BL19" s="244">
        <v>0</v>
      </c>
      <c r="BM19" s="244">
        <v>0</v>
      </c>
      <c r="BN19" s="244">
        <v>5.5620289855072498</v>
      </c>
      <c r="BO19" s="244">
        <v>154.100434782609</v>
      </c>
      <c r="BP19" s="244">
        <v>0</v>
      </c>
      <c r="BQ19" s="244">
        <v>42.868405797101502</v>
      </c>
      <c r="BR19" s="244">
        <v>0</v>
      </c>
      <c r="BS19" s="244">
        <v>0</v>
      </c>
      <c r="BT19" s="244">
        <v>228.403768115942</v>
      </c>
      <c r="BU19" s="244">
        <v>43.921739130434801</v>
      </c>
      <c r="BV19" s="244">
        <v>0</v>
      </c>
      <c r="BW19" s="244">
        <v>0</v>
      </c>
      <c r="BX19" s="244">
        <v>21.709492753623199</v>
      </c>
      <c r="BY19" s="244">
        <v>0</v>
      </c>
      <c r="BZ19" s="244">
        <v>0</v>
      </c>
      <c r="CA19" s="244">
        <v>1.10144927536232</v>
      </c>
    </row>
    <row r="20" spans="1:79">
      <c r="A20" s="245">
        <v>67301</v>
      </c>
      <c r="B20" s="243" t="s">
        <v>1643</v>
      </c>
      <c r="C20" s="212" t="s">
        <v>1625</v>
      </c>
      <c r="D20" s="246">
        <v>20</v>
      </c>
      <c r="E20" s="248">
        <v>320.59670658682597</v>
      </c>
      <c r="F20" s="244">
        <v>129.07904191616799</v>
      </c>
      <c r="G20" s="244">
        <v>8.0622455089820395</v>
      </c>
      <c r="H20" s="244">
        <v>23.7305988023952</v>
      </c>
      <c r="I20" s="244">
        <v>18.329095808383201</v>
      </c>
      <c r="J20" s="244">
        <v>4.87383832335329</v>
      </c>
      <c r="K20" s="244">
        <v>0.146434131736527</v>
      </c>
      <c r="L20" s="244">
        <v>4.4733532934131702E-2</v>
      </c>
      <c r="M20" s="244">
        <v>0.79769461077844295</v>
      </c>
      <c r="N20" s="244">
        <v>0.45940419161676599</v>
      </c>
      <c r="O20" s="244">
        <v>0.195505988023952</v>
      </c>
      <c r="P20" s="244">
        <v>114.077245508982</v>
      </c>
      <c r="Q20" s="244">
        <v>0</v>
      </c>
      <c r="R20" s="244">
        <v>32.750958083832302</v>
      </c>
      <c r="S20" s="244">
        <v>0.74299401197604797</v>
      </c>
      <c r="T20" s="244">
        <v>0.61833233532934095</v>
      </c>
      <c r="U20" s="244">
        <v>49.680347305389198</v>
      </c>
      <c r="V20" s="244">
        <v>0</v>
      </c>
      <c r="W20" s="244">
        <v>1.26913473053892</v>
      </c>
      <c r="X20" s="244">
        <v>0</v>
      </c>
      <c r="Y20" s="244">
        <v>13.136721556886201</v>
      </c>
      <c r="Z20" s="244">
        <v>16.443425149700602</v>
      </c>
      <c r="AA20" s="244">
        <v>1.09101796407186E-2</v>
      </c>
      <c r="AB20" s="244">
        <v>0.47874251497005998</v>
      </c>
      <c r="AC20" s="244">
        <v>3.73498203592814</v>
      </c>
      <c r="AD20" s="244">
        <v>33.592814371257496</v>
      </c>
      <c r="AE20" s="244">
        <v>0.29005089820359298</v>
      </c>
      <c r="AF20" s="244">
        <v>2.19829341317365</v>
      </c>
      <c r="AG20" s="244">
        <v>0.60997005988024</v>
      </c>
      <c r="AH20" s="244">
        <v>121.752395209581</v>
      </c>
      <c r="AI20" s="244">
        <v>439.14071856287399</v>
      </c>
      <c r="AJ20" s="244">
        <v>2.7556886227544899</v>
      </c>
      <c r="AK20" s="244">
        <v>1.0749940119760499</v>
      </c>
      <c r="AL20" s="244">
        <v>3.67201796407186</v>
      </c>
      <c r="AM20" s="244">
        <v>5.3755449101796398</v>
      </c>
      <c r="AN20" s="244">
        <v>13.4553482035928</v>
      </c>
      <c r="AO20" s="244">
        <v>0</v>
      </c>
      <c r="AP20" s="244">
        <v>2.2032335329341301E-2</v>
      </c>
      <c r="AQ20" s="244">
        <v>4.68610778443114E-2</v>
      </c>
      <c r="AR20" s="244">
        <v>7.2853293413173703E-2</v>
      </c>
      <c r="AS20" s="244">
        <v>5.0255089820359297E-2</v>
      </c>
      <c r="AT20" s="244">
        <v>1.24311377245509E-2</v>
      </c>
      <c r="AU20" s="244">
        <v>6.8206586826347303E-3</v>
      </c>
      <c r="AV20" s="244">
        <v>4.6911976047904203E-2</v>
      </c>
      <c r="AW20" s="244">
        <v>4.8562275449101799E-2</v>
      </c>
      <c r="AX20" s="244">
        <v>1.29811377245509E-2</v>
      </c>
      <c r="AY20" s="244">
        <v>7.0542514970059894E-2</v>
      </c>
      <c r="AZ20" s="244">
        <v>9.6432634730538994E-2</v>
      </c>
      <c r="BA20" s="244">
        <v>5.0284131736526898E-2</v>
      </c>
      <c r="BB20" s="244">
        <v>0.128869161676647</v>
      </c>
      <c r="BC20" s="244">
        <v>0.251137125748503</v>
      </c>
      <c r="BD20" s="244">
        <v>5.0290718562874301E-2</v>
      </c>
      <c r="BE20" s="244">
        <v>4.1868263473053897E-2</v>
      </c>
      <c r="BF20" s="244">
        <v>6.26431137724551E-2</v>
      </c>
      <c r="BG20" s="244">
        <v>3.5015568862275498E-2</v>
      </c>
      <c r="BH20" s="244">
        <v>18.242754491018001</v>
      </c>
      <c r="BI20" s="244">
        <v>10.4809580838323</v>
      </c>
      <c r="BJ20" s="244">
        <v>2.0059880239520999E-2</v>
      </c>
      <c r="BK20" s="244">
        <v>24.9455988023952</v>
      </c>
      <c r="BL20" s="244">
        <v>0</v>
      </c>
      <c r="BM20" s="244">
        <v>0</v>
      </c>
      <c r="BN20" s="244">
        <v>0.99181437125748495</v>
      </c>
      <c r="BO20" s="244">
        <v>52.5620359281437</v>
      </c>
      <c r="BP20" s="244">
        <v>0</v>
      </c>
      <c r="BQ20" s="244">
        <v>19.3561676646707</v>
      </c>
      <c r="BR20" s="244">
        <v>2.0209580838323402E-3</v>
      </c>
      <c r="BS20" s="244">
        <v>0</v>
      </c>
      <c r="BT20" s="244">
        <v>68.455868263473107</v>
      </c>
      <c r="BU20" s="244">
        <v>67.031736526946105</v>
      </c>
      <c r="BV20" s="244">
        <v>0</v>
      </c>
      <c r="BW20" s="244">
        <v>0</v>
      </c>
      <c r="BX20" s="244">
        <v>4.6564071856287397</v>
      </c>
      <c r="BY20" s="244">
        <v>0</v>
      </c>
      <c r="BZ20" s="244">
        <v>0</v>
      </c>
      <c r="CA20" s="244">
        <v>1.31736526946108</v>
      </c>
    </row>
    <row r="21" spans="1:79">
      <c r="A21" s="245">
        <v>62401</v>
      </c>
      <c r="B21" s="243" t="s">
        <v>1644</v>
      </c>
      <c r="C21" s="212" t="s">
        <v>1625</v>
      </c>
      <c r="D21" s="246">
        <v>21</v>
      </c>
      <c r="E21" s="248">
        <v>336.92696629213498</v>
      </c>
      <c r="F21" s="244">
        <v>175.48174157303399</v>
      </c>
      <c r="G21" s="244">
        <v>9.93516853932584</v>
      </c>
      <c r="H21" s="244">
        <v>25.0470224719101</v>
      </c>
      <c r="I21" s="244">
        <v>17.994044943820199</v>
      </c>
      <c r="J21" s="244">
        <v>5.4969662921348297</v>
      </c>
      <c r="K21" s="244">
        <v>4.2219101123595497E-2</v>
      </c>
      <c r="L21" s="244">
        <v>9.9682584269663005E-2</v>
      </c>
      <c r="M21" s="244">
        <v>5.0915730337078698E-2</v>
      </c>
      <c r="N21" s="244">
        <v>0.35383146067415699</v>
      </c>
      <c r="O21" s="244">
        <v>6.5073033707865199E-2</v>
      </c>
      <c r="P21" s="244">
        <v>11.868539325842701</v>
      </c>
      <c r="Q21" s="244">
        <v>0.51235955056179805</v>
      </c>
      <c r="R21" s="244">
        <v>1.1472808988764001</v>
      </c>
      <c r="S21" s="244">
        <v>1.2273820224719101</v>
      </c>
      <c r="T21" s="244">
        <v>0.40886516853932597</v>
      </c>
      <c r="U21" s="244">
        <v>23.6475393258427</v>
      </c>
      <c r="V21" s="244">
        <v>40.105617977528098</v>
      </c>
      <c r="W21" s="244">
        <v>40.495578651685399</v>
      </c>
      <c r="X21" s="244">
        <v>0</v>
      </c>
      <c r="Y21" s="244">
        <v>4.6758820224719102</v>
      </c>
      <c r="Z21" s="244">
        <v>2.8531460674157301</v>
      </c>
      <c r="AA21" s="244">
        <v>0</v>
      </c>
      <c r="AB21" s="244">
        <v>0</v>
      </c>
      <c r="AC21" s="244">
        <v>0.47372471910112401</v>
      </c>
      <c r="AD21" s="244">
        <v>34.668988764044997</v>
      </c>
      <c r="AE21" s="244">
        <v>0.15050561797752801</v>
      </c>
      <c r="AF21" s="244">
        <v>1.82989438202247</v>
      </c>
      <c r="AG21" s="244">
        <v>5.01123595505618E-2</v>
      </c>
      <c r="AH21" s="244">
        <v>64.7078651685393</v>
      </c>
      <c r="AI21" s="244">
        <v>69.069550561797797</v>
      </c>
      <c r="AJ21" s="244">
        <v>16.871011235955098</v>
      </c>
      <c r="AK21" s="244">
        <v>0.72241573033707895</v>
      </c>
      <c r="AL21" s="244">
        <v>4.5872471910112402</v>
      </c>
      <c r="AM21" s="244">
        <v>3.7673595505618001</v>
      </c>
      <c r="AN21" s="244">
        <v>7.4672471910112401</v>
      </c>
      <c r="AO21" s="244">
        <v>83.428314606741594</v>
      </c>
      <c r="AP21" s="244">
        <v>5.8477528089887598E-2</v>
      </c>
      <c r="AQ21" s="244">
        <v>0.25560674157303398</v>
      </c>
      <c r="AR21" s="244">
        <v>0.29621910112359601</v>
      </c>
      <c r="AS21" s="244">
        <v>0.17684269662921301</v>
      </c>
      <c r="AT21" s="244">
        <v>0.12697752808988799</v>
      </c>
      <c r="AU21" s="244">
        <v>0.106612359550562</v>
      </c>
      <c r="AV21" s="244">
        <v>0.34336516853932603</v>
      </c>
      <c r="AW21" s="244">
        <v>0.128123595505618</v>
      </c>
      <c r="AX21" s="244">
        <v>6.2303370786516897E-2</v>
      </c>
      <c r="AY21" s="244">
        <v>0.25635393258426997</v>
      </c>
      <c r="AZ21" s="244">
        <v>0.36334269662921298</v>
      </c>
      <c r="BA21" s="244">
        <v>0.21241011235955101</v>
      </c>
      <c r="BB21" s="244">
        <v>0.45505056179775299</v>
      </c>
      <c r="BC21" s="244">
        <v>0.62350000000000005</v>
      </c>
      <c r="BD21" s="244">
        <v>0.178387640449438</v>
      </c>
      <c r="BE21" s="244">
        <v>0.14482584269662899</v>
      </c>
      <c r="BF21" s="244">
        <v>0.30647191011236002</v>
      </c>
      <c r="BG21" s="244">
        <v>9.6707865168539298E-2</v>
      </c>
      <c r="BH21" s="244">
        <v>6.6264044943820197</v>
      </c>
      <c r="BI21" s="244">
        <v>2.0688764044943802</v>
      </c>
      <c r="BJ21" s="244">
        <v>0.702247191011236</v>
      </c>
      <c r="BK21" s="244">
        <v>91.626404494382001</v>
      </c>
      <c r="BL21" s="244">
        <v>0</v>
      </c>
      <c r="BM21" s="244">
        <v>0</v>
      </c>
      <c r="BN21" s="244">
        <v>9.5396629213483202</v>
      </c>
      <c r="BO21" s="244">
        <v>746.72016853932598</v>
      </c>
      <c r="BP21" s="244">
        <v>68.494382022471896</v>
      </c>
      <c r="BQ21" s="244">
        <v>1295.1501123595499</v>
      </c>
      <c r="BR21" s="244">
        <v>11.412134831460699</v>
      </c>
      <c r="BS21" s="244">
        <v>0</v>
      </c>
      <c r="BT21" s="244">
        <v>436.17505617977503</v>
      </c>
      <c r="BU21" s="244">
        <v>12.85</v>
      </c>
      <c r="BV21" s="244">
        <v>0</v>
      </c>
      <c r="BW21" s="244">
        <v>0</v>
      </c>
      <c r="BX21" s="244">
        <v>12.859606741573</v>
      </c>
      <c r="BY21" s="244">
        <v>0</v>
      </c>
      <c r="BZ21" s="244">
        <v>24.933033707865199</v>
      </c>
      <c r="CA21" s="244">
        <v>1.4382022471910101</v>
      </c>
    </row>
    <row r="22" spans="1:79">
      <c r="A22" s="245">
        <v>67502</v>
      </c>
      <c r="B22" s="243" t="s">
        <v>1645</v>
      </c>
      <c r="C22" s="212" t="s">
        <v>1625</v>
      </c>
      <c r="D22" s="246">
        <v>22</v>
      </c>
      <c r="E22" s="248">
        <v>457.49626262626299</v>
      </c>
      <c r="F22" s="244">
        <v>70.159898989899006</v>
      </c>
      <c r="G22" s="244">
        <v>13.8108585858586</v>
      </c>
      <c r="H22" s="244">
        <v>21.3656565656566</v>
      </c>
      <c r="I22" s="244">
        <v>49.0228282828283</v>
      </c>
      <c r="J22" s="244">
        <v>8.5307575757575709</v>
      </c>
      <c r="K22" s="244">
        <v>0.305858585858586</v>
      </c>
      <c r="L22" s="244">
        <v>9.6626262626262602E-2</v>
      </c>
      <c r="M22" s="244">
        <v>1.71513131313131</v>
      </c>
      <c r="N22" s="244">
        <v>0.74387878787878803</v>
      </c>
      <c r="O22" s="244">
        <v>0.20314141414141401</v>
      </c>
      <c r="P22" s="244">
        <v>16.1828282828283</v>
      </c>
      <c r="Q22" s="244">
        <v>0</v>
      </c>
      <c r="R22" s="244">
        <v>73.583454545454501</v>
      </c>
      <c r="S22" s="244">
        <v>0.787979797979798</v>
      </c>
      <c r="T22" s="244">
        <v>0.73510101010101003</v>
      </c>
      <c r="U22" s="244">
        <v>39.517171717171699</v>
      </c>
      <c r="V22" s="244">
        <v>7</v>
      </c>
      <c r="W22" s="244">
        <v>19.6228787878788</v>
      </c>
      <c r="X22" s="244">
        <v>0</v>
      </c>
      <c r="Y22" s="244">
        <v>134.41398989899</v>
      </c>
      <c r="Z22" s="244">
        <v>30.470303030303</v>
      </c>
      <c r="AA22" s="244">
        <v>0.55212121212121201</v>
      </c>
      <c r="AB22" s="244">
        <v>24.227272727272702</v>
      </c>
      <c r="AC22" s="244">
        <v>41.356969696969699</v>
      </c>
      <c r="AD22" s="244">
        <v>87.542878787878806</v>
      </c>
      <c r="AE22" s="244">
        <v>0.34065656565656599</v>
      </c>
      <c r="AF22" s="244">
        <v>4.3392929292929301</v>
      </c>
      <c r="AG22" s="244">
        <v>1.2108787878787901</v>
      </c>
      <c r="AH22" s="244">
        <v>125.666666666667</v>
      </c>
      <c r="AI22" s="244">
        <v>601.63924242424196</v>
      </c>
      <c r="AJ22" s="244">
        <v>5.7870202020201997</v>
      </c>
      <c r="AK22" s="244">
        <v>1.52181818181818</v>
      </c>
      <c r="AL22" s="244">
        <v>3.2490404040404002</v>
      </c>
      <c r="AM22" s="244">
        <v>4.7163131313131297</v>
      </c>
      <c r="AN22" s="244">
        <v>12.0694898989899</v>
      </c>
      <c r="AO22" s="244">
        <v>0</v>
      </c>
      <c r="AP22" s="244">
        <v>0.23330303030303001</v>
      </c>
      <c r="AQ22" s="244">
        <v>0.38905050505050498</v>
      </c>
      <c r="AR22" s="244">
        <v>0.74332323232323205</v>
      </c>
      <c r="AS22" s="244">
        <v>0.76739393939393896</v>
      </c>
      <c r="AT22" s="244">
        <v>5.8500000000000003E-2</v>
      </c>
      <c r="AU22" s="244">
        <v>8.2909090909090905E-2</v>
      </c>
      <c r="AV22" s="244">
        <v>0.52906060606060601</v>
      </c>
      <c r="AW22" s="244">
        <v>0.38356060606060599</v>
      </c>
      <c r="AX22" s="244">
        <v>9.6964646464646503E-2</v>
      </c>
      <c r="AY22" s="244">
        <v>0.50561111111111101</v>
      </c>
      <c r="AZ22" s="244">
        <v>0.70033333333333303</v>
      </c>
      <c r="BA22" s="244">
        <v>0.84219696969697</v>
      </c>
      <c r="BB22" s="244">
        <v>1.20378787878788</v>
      </c>
      <c r="BC22" s="244">
        <v>2.0374242424242399</v>
      </c>
      <c r="BD22" s="244">
        <v>0.432111111111111</v>
      </c>
      <c r="BE22" s="244">
        <v>0.39956565656565701</v>
      </c>
      <c r="BF22" s="244">
        <v>0.55478787878787905</v>
      </c>
      <c r="BG22" s="244">
        <v>0.309358585858586</v>
      </c>
      <c r="BH22" s="244">
        <v>20.228939393939399</v>
      </c>
      <c r="BI22" s="244">
        <v>57.788686868686902</v>
      </c>
      <c r="BJ22" s="244">
        <v>1.37878787878788</v>
      </c>
      <c r="BK22" s="244">
        <v>12.0065656565657</v>
      </c>
      <c r="BL22" s="244">
        <v>0</v>
      </c>
      <c r="BM22" s="244">
        <v>0</v>
      </c>
      <c r="BN22" s="244">
        <v>0.91303030303030297</v>
      </c>
      <c r="BO22" s="244">
        <v>61.465858585858598</v>
      </c>
      <c r="BP22" s="244">
        <v>0</v>
      </c>
      <c r="BQ22" s="244">
        <v>65.803232323232294</v>
      </c>
      <c r="BR22" s="244">
        <v>0.102272727272727</v>
      </c>
      <c r="BS22" s="244">
        <v>0</v>
      </c>
      <c r="BT22" s="244">
        <v>187.591919191919</v>
      </c>
      <c r="BU22" s="244">
        <v>35.120808080808096</v>
      </c>
      <c r="BV22" s="244">
        <v>0</v>
      </c>
      <c r="BW22" s="244">
        <v>0</v>
      </c>
      <c r="BX22" s="244">
        <v>16.276515151515198</v>
      </c>
      <c r="BY22" s="244">
        <v>0</v>
      </c>
      <c r="BZ22" s="244">
        <v>0</v>
      </c>
      <c r="CA22" s="244">
        <v>3.91919191919192</v>
      </c>
    </row>
    <row r="23" spans="1:79">
      <c r="A23" s="245">
        <v>13109</v>
      </c>
      <c r="B23" s="243" t="s">
        <v>1646</v>
      </c>
      <c r="C23" s="212" t="s">
        <v>1625</v>
      </c>
      <c r="D23" s="246">
        <v>23</v>
      </c>
      <c r="E23" s="248">
        <v>267.83566920565801</v>
      </c>
      <c r="F23" s="244">
        <v>78.0836126224157</v>
      </c>
      <c r="G23" s="244">
        <v>11.2987377584331</v>
      </c>
      <c r="H23" s="244">
        <v>11.2840587595212</v>
      </c>
      <c r="I23" s="244">
        <v>25.662720348204601</v>
      </c>
      <c r="J23" s="244">
        <v>9.8312295973884591</v>
      </c>
      <c r="K23" s="244">
        <v>0.111404026115343</v>
      </c>
      <c r="L23" s="244">
        <v>0.122672062023939</v>
      </c>
      <c r="M23" s="244">
        <v>0.71096980413492905</v>
      </c>
      <c r="N23" s="244">
        <v>1.3150905331882501</v>
      </c>
      <c r="O23" s="244">
        <v>0.22470979325353599</v>
      </c>
      <c r="P23" s="244">
        <v>51.6238084874864</v>
      </c>
      <c r="Q23" s="244">
        <v>0</v>
      </c>
      <c r="R23" s="244">
        <v>1.7954393906420001</v>
      </c>
      <c r="S23" s="244">
        <v>0.15121871599564701</v>
      </c>
      <c r="T23" s="244">
        <v>1.5551664853101199</v>
      </c>
      <c r="U23" s="244">
        <v>16.8762807399347</v>
      </c>
      <c r="V23" s="244">
        <v>0</v>
      </c>
      <c r="W23" s="244">
        <v>2.1550007616975</v>
      </c>
      <c r="X23" s="244">
        <v>0</v>
      </c>
      <c r="Y23" s="244">
        <v>25.926984004352601</v>
      </c>
      <c r="Z23" s="244">
        <v>5.9777693144722504</v>
      </c>
      <c r="AA23" s="244">
        <v>0</v>
      </c>
      <c r="AB23" s="244">
        <v>0</v>
      </c>
      <c r="AC23" s="244">
        <v>0.81617486398258998</v>
      </c>
      <c r="AD23" s="244">
        <v>98.871719260065305</v>
      </c>
      <c r="AE23" s="244">
        <v>0.52301414581066397</v>
      </c>
      <c r="AF23" s="244">
        <v>4.2925244831338398</v>
      </c>
      <c r="AG23" s="244">
        <v>1.5198585418933599</v>
      </c>
      <c r="AH23" s="244">
        <v>184.35963003264399</v>
      </c>
      <c r="AI23" s="244">
        <v>323.91707290533202</v>
      </c>
      <c r="AJ23" s="244">
        <v>22.478161044613699</v>
      </c>
      <c r="AK23" s="244">
        <v>1.4072470076169801</v>
      </c>
      <c r="AL23" s="244">
        <v>1.49445048966268</v>
      </c>
      <c r="AM23" s="244">
        <v>2.3194124047878102</v>
      </c>
      <c r="AN23" s="244">
        <v>5.8937976060935799</v>
      </c>
      <c r="AO23" s="244">
        <v>0</v>
      </c>
      <c r="AP23" s="244">
        <v>0.31436887921654</v>
      </c>
      <c r="AQ23" s="244">
        <v>0.491579978237214</v>
      </c>
      <c r="AR23" s="244">
        <v>0.81187486398259001</v>
      </c>
      <c r="AS23" s="244">
        <v>0.75829597388465697</v>
      </c>
      <c r="AT23" s="244">
        <v>0.150677910772579</v>
      </c>
      <c r="AU23" s="244">
        <v>0.15322306855277501</v>
      </c>
      <c r="AV23" s="244">
        <v>0.61124809575625705</v>
      </c>
      <c r="AW23" s="244">
        <v>0.42570946681175198</v>
      </c>
      <c r="AX23" s="244">
        <v>0.11013710554951001</v>
      </c>
      <c r="AY23" s="244">
        <v>0.48324265505984798</v>
      </c>
      <c r="AZ23" s="244">
        <v>0.496346028291621</v>
      </c>
      <c r="BA23" s="244">
        <v>1.0803949945593001</v>
      </c>
      <c r="BB23" s="244">
        <v>1.34638737758433</v>
      </c>
      <c r="BC23" s="244">
        <v>2.0301991294885702</v>
      </c>
      <c r="BD23" s="244">
        <v>0.48680304678998898</v>
      </c>
      <c r="BE23" s="244">
        <v>0.47273884657236098</v>
      </c>
      <c r="BF23" s="244">
        <v>0.57663329706202404</v>
      </c>
      <c r="BG23" s="244">
        <v>0.28659521218716</v>
      </c>
      <c r="BH23" s="244">
        <v>40.736082698585399</v>
      </c>
      <c r="BI23" s="244">
        <v>376.40498367791099</v>
      </c>
      <c r="BJ23" s="244">
        <v>2.7018498367791102</v>
      </c>
      <c r="BK23" s="244">
        <v>22.968770402611501</v>
      </c>
      <c r="BL23" s="244">
        <v>0</v>
      </c>
      <c r="BM23" s="244">
        <v>0</v>
      </c>
      <c r="BN23" s="244">
        <v>0.12750816104461399</v>
      </c>
      <c r="BO23" s="244">
        <v>216.86537540805199</v>
      </c>
      <c r="BP23" s="244">
        <v>0</v>
      </c>
      <c r="BQ23" s="244">
        <v>498.50561479869401</v>
      </c>
      <c r="BR23" s="244">
        <v>6.4036996735582203</v>
      </c>
      <c r="BS23" s="244">
        <v>0</v>
      </c>
      <c r="BT23" s="244">
        <v>1240.3372578890101</v>
      </c>
      <c r="BU23" s="244">
        <v>66.138128400435306</v>
      </c>
      <c r="BV23" s="244">
        <v>0</v>
      </c>
      <c r="BW23" s="244">
        <v>0</v>
      </c>
      <c r="BX23" s="244">
        <v>37.869532100108799</v>
      </c>
      <c r="BY23" s="244">
        <v>0</v>
      </c>
      <c r="BZ23" s="244">
        <v>0</v>
      </c>
      <c r="CA23" s="244">
        <v>0.41349292709466801</v>
      </c>
    </row>
    <row r="24" spans="1:79">
      <c r="A24" s="245">
        <v>25119</v>
      </c>
      <c r="B24" s="243" t="s">
        <v>1647</v>
      </c>
      <c r="C24" s="212" t="s">
        <v>1625</v>
      </c>
      <c r="D24" s="246">
        <v>24</v>
      </c>
      <c r="E24" s="248">
        <v>62.908959537572301</v>
      </c>
      <c r="F24" s="244">
        <v>134.83145953757199</v>
      </c>
      <c r="G24" s="244">
        <v>1.2821820809248601</v>
      </c>
      <c r="H24" s="244">
        <v>4.6588583815028901</v>
      </c>
      <c r="I24" s="244">
        <v>3.2650144508670502</v>
      </c>
      <c r="J24" s="244">
        <v>1.9127312138728301</v>
      </c>
      <c r="K24" s="244">
        <v>6.4207947976878593E-2</v>
      </c>
      <c r="L24" s="244">
        <v>3.7443533236994203E-2</v>
      </c>
      <c r="M24" s="244">
        <v>0.46042145953757202</v>
      </c>
      <c r="N24" s="244">
        <v>0.17516502890173399</v>
      </c>
      <c r="O24" s="244">
        <v>6.3596098265896003E-2</v>
      </c>
      <c r="P24" s="244">
        <v>10.130700867051999</v>
      </c>
      <c r="Q24" s="244">
        <v>0</v>
      </c>
      <c r="R24" s="244">
        <v>8.2197615606936392</v>
      </c>
      <c r="S24" s="244">
        <v>0.51367052023121396</v>
      </c>
      <c r="T24" s="244">
        <v>0.12305780346820799</v>
      </c>
      <c r="U24" s="244">
        <v>14.2813670520231</v>
      </c>
      <c r="V24" s="244">
        <v>0</v>
      </c>
      <c r="W24" s="244">
        <v>2.7268382947976901</v>
      </c>
      <c r="X24" s="244">
        <v>0</v>
      </c>
      <c r="Y24" s="244">
        <v>32.7678445086705</v>
      </c>
      <c r="Z24" s="244">
        <v>122.205541907514</v>
      </c>
      <c r="AA24" s="244">
        <v>0</v>
      </c>
      <c r="AB24" s="244">
        <v>0</v>
      </c>
      <c r="AC24" s="244">
        <v>16.200042774566501</v>
      </c>
      <c r="AD24" s="244">
        <v>13.9447543352601</v>
      </c>
      <c r="AE24" s="244">
        <v>0.26389739884393099</v>
      </c>
      <c r="AF24" s="244">
        <v>0.87572254335260102</v>
      </c>
      <c r="AG24" s="244">
        <v>0.12056069364161801</v>
      </c>
      <c r="AH24" s="244">
        <v>21.7075</v>
      </c>
      <c r="AI24" s="244">
        <v>131.16410404624301</v>
      </c>
      <c r="AJ24" s="244">
        <v>0.84210982658959499</v>
      </c>
      <c r="AK24" s="244">
        <v>0.38528901734103999</v>
      </c>
      <c r="AL24" s="244">
        <v>0.75729768786127205</v>
      </c>
      <c r="AM24" s="244">
        <v>1.0548843930635801</v>
      </c>
      <c r="AN24" s="244">
        <v>2.6963439306358401</v>
      </c>
      <c r="AO24" s="244">
        <v>0</v>
      </c>
      <c r="AP24" s="244">
        <v>1.70765895953757E-2</v>
      </c>
      <c r="AQ24" s="244">
        <v>3.7663294797687902E-2</v>
      </c>
      <c r="AR24" s="244">
        <v>6.0871387283237002E-2</v>
      </c>
      <c r="AS24" s="244">
        <v>4.6819364161849703E-2</v>
      </c>
      <c r="AT24" s="244">
        <v>1.1027456647398799E-2</v>
      </c>
      <c r="AU24" s="244">
        <v>8.2384393063583798E-3</v>
      </c>
      <c r="AV24" s="244">
        <v>4.0780346820809298E-2</v>
      </c>
      <c r="AW24" s="244">
        <v>3.3471098265895997E-2</v>
      </c>
      <c r="AX24" s="244">
        <v>7.3179190751445104E-3</v>
      </c>
      <c r="AY24" s="244">
        <v>4.8290462427745699E-2</v>
      </c>
      <c r="AZ24" s="244">
        <v>5.71228323699422E-2</v>
      </c>
      <c r="BA24" s="244">
        <v>5.6109826589595402E-2</v>
      </c>
      <c r="BB24" s="244">
        <v>0.11723554913294799</v>
      </c>
      <c r="BC24" s="244">
        <v>0.19228612716762999</v>
      </c>
      <c r="BD24" s="244">
        <v>4.8567919075144503E-2</v>
      </c>
      <c r="BE24" s="244">
        <v>4.0758670520231202E-2</v>
      </c>
      <c r="BF24" s="244">
        <v>4.12904624277457E-2</v>
      </c>
      <c r="BG24" s="244">
        <v>2.7583815028901702E-2</v>
      </c>
      <c r="BH24" s="244">
        <v>12.756589595375701</v>
      </c>
      <c r="BI24" s="244">
        <v>18.9128901734104</v>
      </c>
      <c r="BJ24" s="244">
        <v>1.89739884393064</v>
      </c>
      <c r="BK24" s="244">
        <v>3.68395953757225</v>
      </c>
      <c r="BL24" s="244">
        <v>0</v>
      </c>
      <c r="BM24" s="244">
        <v>0</v>
      </c>
      <c r="BN24" s="244">
        <v>1.0415895953757199</v>
      </c>
      <c r="BO24" s="244">
        <v>40.051936416185001</v>
      </c>
      <c r="BP24" s="244">
        <v>0</v>
      </c>
      <c r="BQ24" s="244">
        <v>24.674855491329499</v>
      </c>
      <c r="BR24" s="244">
        <v>0</v>
      </c>
      <c r="BS24" s="244">
        <v>0</v>
      </c>
      <c r="BT24" s="244">
        <v>85.727832369942206</v>
      </c>
      <c r="BU24" s="244">
        <v>16.0458092485549</v>
      </c>
      <c r="BV24" s="244">
        <v>0</v>
      </c>
      <c r="BW24" s="244">
        <v>0</v>
      </c>
      <c r="BX24" s="244">
        <v>5.9654624277456696</v>
      </c>
      <c r="BY24" s="244">
        <v>0</v>
      </c>
      <c r="BZ24" s="244">
        <v>0</v>
      </c>
      <c r="CA24" s="244">
        <v>0.75578034682080897</v>
      </c>
    </row>
    <row r="25" spans="1:79">
      <c r="A25" s="245">
        <v>25124</v>
      </c>
      <c r="B25" s="243" t="s">
        <v>1648</v>
      </c>
      <c r="C25" s="212" t="s">
        <v>1625</v>
      </c>
      <c r="D25" s="246">
        <v>25</v>
      </c>
      <c r="E25" s="248">
        <v>83.674917491749198</v>
      </c>
      <c r="F25" s="244">
        <v>159.83462046204599</v>
      </c>
      <c r="G25" s="244">
        <v>1.0123102310231</v>
      </c>
      <c r="H25" s="244">
        <v>5.7256105610560999</v>
      </c>
      <c r="I25" s="244">
        <v>6.50217821782178</v>
      </c>
      <c r="J25" s="244">
        <v>1.7609405940594101</v>
      </c>
      <c r="K25" s="244">
        <v>4.0419141914191402E-2</v>
      </c>
      <c r="L25" s="244">
        <v>5.6918193069306899E-2</v>
      </c>
      <c r="M25" s="244">
        <v>0.57853490099009897</v>
      </c>
      <c r="N25" s="244">
        <v>0.203722112211221</v>
      </c>
      <c r="O25" s="244">
        <v>9.2109900990098997E-2</v>
      </c>
      <c r="P25" s="244">
        <v>12.025858085808601</v>
      </c>
      <c r="Q25" s="244">
        <v>0</v>
      </c>
      <c r="R25" s="244">
        <v>11.222020379538</v>
      </c>
      <c r="S25" s="244">
        <v>1.58358085808581</v>
      </c>
      <c r="T25" s="244">
        <v>0.159881188118812</v>
      </c>
      <c r="U25" s="244">
        <v>16.777161716171602</v>
      </c>
      <c r="V25" s="244">
        <v>0</v>
      </c>
      <c r="W25" s="244">
        <v>1.53717739273927</v>
      </c>
      <c r="X25" s="244">
        <v>0</v>
      </c>
      <c r="Y25" s="244">
        <v>41.193330858085801</v>
      </c>
      <c r="Z25" s="244">
        <v>41.963778877887798</v>
      </c>
      <c r="AA25" s="244">
        <v>0</v>
      </c>
      <c r="AB25" s="244">
        <v>0</v>
      </c>
      <c r="AC25" s="244">
        <v>21.5353308580858</v>
      </c>
      <c r="AD25" s="244">
        <v>26.0135478547855</v>
      </c>
      <c r="AE25" s="244">
        <v>0.30541914191419101</v>
      </c>
      <c r="AF25" s="244">
        <v>0.74425742574257503</v>
      </c>
      <c r="AG25" s="244">
        <v>0.188584158415842</v>
      </c>
      <c r="AH25" s="244">
        <v>34.330297029702997</v>
      </c>
      <c r="AI25" s="244">
        <v>197.22519801980201</v>
      </c>
      <c r="AJ25" s="244">
        <v>0.18773927392739301</v>
      </c>
      <c r="AK25" s="244">
        <v>0.46372937293729399</v>
      </c>
      <c r="AL25" s="244">
        <v>0.92660066006600705</v>
      </c>
      <c r="AM25" s="244">
        <v>1.3032013201320101</v>
      </c>
      <c r="AN25" s="244">
        <v>3.3004042904290398</v>
      </c>
      <c r="AO25" s="244">
        <v>0</v>
      </c>
      <c r="AP25" s="244">
        <v>1.8496699669967E-2</v>
      </c>
      <c r="AQ25" s="244">
        <v>3.9239273927392702E-2</v>
      </c>
      <c r="AR25" s="244">
        <v>6.1909240924092397E-2</v>
      </c>
      <c r="AS25" s="244">
        <v>4.6952145214521498E-2</v>
      </c>
      <c r="AT25" s="244">
        <v>1.0191419141914199E-2</v>
      </c>
      <c r="AU25" s="244">
        <v>9.4389438943894392E-3</v>
      </c>
      <c r="AV25" s="244">
        <v>4.8638613861386099E-2</v>
      </c>
      <c r="AW25" s="244">
        <v>3.6409240924092402E-2</v>
      </c>
      <c r="AX25" s="244">
        <v>9.6039603960396108E-3</v>
      </c>
      <c r="AY25" s="244">
        <v>5.1435643564356398E-2</v>
      </c>
      <c r="AZ25" s="244">
        <v>5.0897689768976899E-2</v>
      </c>
      <c r="BA25" s="244">
        <v>4.7457095709570997E-2</v>
      </c>
      <c r="BB25" s="244">
        <v>0.110062706270627</v>
      </c>
      <c r="BC25" s="244">
        <v>0.17714521452145199</v>
      </c>
      <c r="BD25" s="244">
        <v>3.6810231023102297E-2</v>
      </c>
      <c r="BE25" s="244">
        <v>3.1173267326732701E-2</v>
      </c>
      <c r="BF25" s="244">
        <v>3.7321782178217799E-2</v>
      </c>
      <c r="BG25" s="244">
        <v>3.2580858085808601E-2</v>
      </c>
      <c r="BH25" s="244">
        <v>18.0950165016502</v>
      </c>
      <c r="BI25" s="244">
        <v>19.519207920792098</v>
      </c>
      <c r="BJ25" s="244">
        <v>2.7326732673267302</v>
      </c>
      <c r="BK25" s="244">
        <v>4.36171617161716</v>
      </c>
      <c r="BL25" s="244">
        <v>0</v>
      </c>
      <c r="BM25" s="244">
        <v>0</v>
      </c>
      <c r="BN25" s="244">
        <v>0.13811881188118799</v>
      </c>
      <c r="BO25" s="244">
        <v>53.003481848184798</v>
      </c>
      <c r="BP25" s="244">
        <v>0</v>
      </c>
      <c r="BQ25" s="244">
        <v>39.799768976897703</v>
      </c>
      <c r="BR25" s="244">
        <v>0</v>
      </c>
      <c r="BS25" s="244">
        <v>0</v>
      </c>
      <c r="BT25" s="244">
        <v>92.036386138613906</v>
      </c>
      <c r="BU25" s="244">
        <v>35.020907590759101</v>
      </c>
      <c r="BV25" s="244">
        <v>0</v>
      </c>
      <c r="BW25" s="244">
        <v>0</v>
      </c>
      <c r="BX25" s="244">
        <v>10.746831683168301</v>
      </c>
      <c r="BY25" s="244">
        <v>0</v>
      </c>
      <c r="BZ25" s="244">
        <v>0</v>
      </c>
      <c r="CA25" s="244">
        <v>1.0330033003300301</v>
      </c>
    </row>
    <row r="26" spans="1:79">
      <c r="A26" s="245">
        <v>25125</v>
      </c>
      <c r="B26" s="243" t="s">
        <v>1649</v>
      </c>
      <c r="C26" s="212" t="s">
        <v>1625</v>
      </c>
      <c r="D26" s="246">
        <v>26</v>
      </c>
      <c r="E26" s="248">
        <v>80.424471299093696</v>
      </c>
      <c r="F26" s="244">
        <v>229.105755287009</v>
      </c>
      <c r="G26" s="244">
        <v>1.25179758308157</v>
      </c>
      <c r="H26" s="244">
        <v>5.79889728096677</v>
      </c>
      <c r="I26" s="244">
        <v>5.1135498489425997</v>
      </c>
      <c r="J26" s="244">
        <v>2.0957552870090601</v>
      </c>
      <c r="K26" s="244">
        <v>2.52942598187311E-2</v>
      </c>
      <c r="L26" s="244">
        <v>3.7756797583081599E-2</v>
      </c>
      <c r="M26" s="244">
        <v>0.21934441087613299</v>
      </c>
      <c r="N26" s="244">
        <v>0.41205166163141999</v>
      </c>
      <c r="O26" s="244">
        <v>7.8378851963746193E-2</v>
      </c>
      <c r="P26" s="244">
        <v>24.480181268882198</v>
      </c>
      <c r="Q26" s="244">
        <v>0</v>
      </c>
      <c r="R26" s="244">
        <v>9.0341049848942596</v>
      </c>
      <c r="S26" s="244">
        <v>0.73851963746223603</v>
      </c>
      <c r="T26" s="244">
        <v>0.140848942598187</v>
      </c>
      <c r="U26" s="244">
        <v>12.761226586102699</v>
      </c>
      <c r="V26" s="244">
        <v>0</v>
      </c>
      <c r="W26" s="244">
        <v>3.3462178247734098</v>
      </c>
      <c r="X26" s="244">
        <v>0</v>
      </c>
      <c r="Y26" s="244">
        <v>38.657997432024203</v>
      </c>
      <c r="Z26" s="244">
        <v>7.2206691842900304</v>
      </c>
      <c r="AA26" s="244">
        <v>0</v>
      </c>
      <c r="AB26" s="244">
        <v>0</v>
      </c>
      <c r="AC26" s="244">
        <v>23.1752049848943</v>
      </c>
      <c r="AD26" s="244">
        <v>26.461480362537799</v>
      </c>
      <c r="AE26" s="244">
        <v>0.16578700906344401</v>
      </c>
      <c r="AF26" s="244">
        <v>1.0463141993957701</v>
      </c>
      <c r="AG26" s="244">
        <v>0.17033232628398801</v>
      </c>
      <c r="AH26" s="244">
        <v>26.0196374622357</v>
      </c>
      <c r="AI26" s="244">
        <v>178.03157099697901</v>
      </c>
      <c r="AJ26" s="244">
        <v>1.3710876132930501</v>
      </c>
      <c r="AK26" s="244">
        <v>0.62114803625377701</v>
      </c>
      <c r="AL26" s="244">
        <v>1.1675377643504501</v>
      </c>
      <c r="AM26" s="244">
        <v>1.3488670694864</v>
      </c>
      <c r="AN26" s="244">
        <v>3.3579607250755301</v>
      </c>
      <c r="AO26" s="244">
        <v>0</v>
      </c>
      <c r="AP26" s="244">
        <v>1.1276435045317199E-2</v>
      </c>
      <c r="AQ26" s="244">
        <v>2.76631419939577E-2</v>
      </c>
      <c r="AR26" s="244">
        <v>4.5004531722054403E-2</v>
      </c>
      <c r="AS26" s="244">
        <v>3.1377643504531698E-2</v>
      </c>
      <c r="AT26" s="244">
        <v>7.3444108761329301E-3</v>
      </c>
      <c r="AU26" s="244">
        <v>5.3519637462235703E-3</v>
      </c>
      <c r="AV26" s="244">
        <v>2.7835347432024201E-2</v>
      </c>
      <c r="AW26" s="244">
        <v>2.6114803625377599E-2</v>
      </c>
      <c r="AX26" s="244">
        <v>9.2205438066465303E-3</v>
      </c>
      <c r="AY26" s="244">
        <v>3.4930513595166197E-2</v>
      </c>
      <c r="AZ26" s="244">
        <v>4.1959214501510599E-2</v>
      </c>
      <c r="BA26" s="244">
        <v>3.9818731117824802E-2</v>
      </c>
      <c r="BB26" s="244">
        <v>7.3764350453172201E-2</v>
      </c>
      <c r="BC26" s="244">
        <v>0.125098187311178</v>
      </c>
      <c r="BD26" s="244">
        <v>2.9273413897281001E-2</v>
      </c>
      <c r="BE26" s="244">
        <v>2.55453172205438E-2</v>
      </c>
      <c r="BF26" s="244">
        <v>2.9492447129909401E-2</v>
      </c>
      <c r="BG26" s="244">
        <v>2.0231117824773399E-2</v>
      </c>
      <c r="BH26" s="244">
        <v>33.588746223565003</v>
      </c>
      <c r="BI26" s="244">
        <v>35.178323262839903</v>
      </c>
      <c r="BJ26" s="244">
        <v>3.1389728096676701</v>
      </c>
      <c r="BK26" s="244">
        <v>3.8104229607250799</v>
      </c>
      <c r="BL26" s="244">
        <v>0</v>
      </c>
      <c r="BM26" s="244">
        <v>0</v>
      </c>
      <c r="BN26" s="244">
        <v>1.00622356495468</v>
      </c>
      <c r="BO26" s="244">
        <v>37.172129909365601</v>
      </c>
      <c r="BP26" s="244">
        <v>0</v>
      </c>
      <c r="BQ26" s="244">
        <v>46.084138972809697</v>
      </c>
      <c r="BR26" s="244">
        <v>0</v>
      </c>
      <c r="BS26" s="244">
        <v>0</v>
      </c>
      <c r="BT26" s="244">
        <v>85.908580060423006</v>
      </c>
      <c r="BU26" s="244">
        <v>25.33916918429</v>
      </c>
      <c r="BV26" s="244">
        <v>0</v>
      </c>
      <c r="BW26" s="244">
        <v>0</v>
      </c>
      <c r="BX26" s="244">
        <v>8.2082175226586092</v>
      </c>
      <c r="BY26" s="244">
        <v>0</v>
      </c>
      <c r="BZ26" s="244">
        <v>0</v>
      </c>
      <c r="CA26" s="244">
        <v>0.94712990936555896</v>
      </c>
    </row>
    <row r="27" spans="1:79">
      <c r="A27" s="245">
        <v>87201</v>
      </c>
      <c r="B27" s="243" t="s">
        <v>1650</v>
      </c>
      <c r="C27" s="212" t="s">
        <v>1625</v>
      </c>
      <c r="D27" s="246">
        <v>27</v>
      </c>
      <c r="E27" s="248">
        <v>215.29320388349501</v>
      </c>
      <c r="F27" s="244">
        <v>261.60976699029101</v>
      </c>
      <c r="G27" s="244">
        <v>3.8474563106796098</v>
      </c>
      <c r="H27" s="244">
        <v>3.9413980582524299</v>
      </c>
      <c r="I27" s="244">
        <v>39.8925242718447</v>
      </c>
      <c r="J27" s="244">
        <v>2.5037281553398101</v>
      </c>
      <c r="K27" s="244">
        <v>7.5089320388349506E-2</v>
      </c>
      <c r="L27" s="244">
        <v>0.31060970873786398</v>
      </c>
      <c r="M27" s="244">
        <v>0.34856310679611602</v>
      </c>
      <c r="N27" s="244">
        <v>0.59823300970873805</v>
      </c>
      <c r="O27" s="244">
        <v>0.12622038834951499</v>
      </c>
      <c r="P27" s="244">
        <v>14.1766699029126</v>
      </c>
      <c r="Q27" s="244">
        <v>0.244174757281553</v>
      </c>
      <c r="R27" s="244">
        <v>1.9750601941747601</v>
      </c>
      <c r="S27" s="244">
        <v>2.0758058252427198</v>
      </c>
      <c r="T27" s="244">
        <v>0.26858252427184498</v>
      </c>
      <c r="U27" s="244">
        <v>16.308349514563101</v>
      </c>
      <c r="V27" s="244">
        <v>29.476776699029099</v>
      </c>
      <c r="W27" s="244">
        <v>386.05153398058297</v>
      </c>
      <c r="X27" s="244">
        <v>2114.95650485437</v>
      </c>
      <c r="Y27" s="244">
        <v>3165.3993087378599</v>
      </c>
      <c r="Z27" s="244">
        <v>9.5229320388349503</v>
      </c>
      <c r="AA27" s="244">
        <v>0</v>
      </c>
      <c r="AB27" s="244">
        <v>0</v>
      </c>
      <c r="AC27" s="244">
        <v>4.9670679611650499</v>
      </c>
      <c r="AD27" s="244">
        <v>129.98873786407799</v>
      </c>
      <c r="AE27" s="244">
        <v>0.28173980582524299</v>
      </c>
      <c r="AF27" s="244">
        <v>0.51151456310679599</v>
      </c>
      <c r="AG27" s="244">
        <v>0.318866019417476</v>
      </c>
      <c r="AH27" s="244">
        <v>115.960388349515</v>
      </c>
      <c r="AI27" s="244">
        <v>191.181533980583</v>
      </c>
      <c r="AJ27" s="244">
        <v>1.3193592233009701</v>
      </c>
      <c r="AK27" s="244">
        <v>0.53306796116504895</v>
      </c>
      <c r="AL27" s="244">
        <v>2.0185048543689299</v>
      </c>
      <c r="AM27" s="244">
        <v>0.93772815533980602</v>
      </c>
      <c r="AN27" s="244">
        <v>0.38664077669902902</v>
      </c>
      <c r="AO27" s="244">
        <v>14.611417475728199</v>
      </c>
      <c r="AP27" s="244">
        <v>8.6984466019417506E-2</v>
      </c>
      <c r="AQ27" s="244">
        <v>0.158335922330097</v>
      </c>
      <c r="AR27" s="244">
        <v>0.30246213592233001</v>
      </c>
      <c r="AS27" s="244">
        <v>0.24850873786407801</v>
      </c>
      <c r="AT27" s="244">
        <v>7.3737864077669898E-2</v>
      </c>
      <c r="AU27" s="244">
        <v>2.8611650485436901E-2</v>
      </c>
      <c r="AV27" s="244">
        <v>0.15729126213592201</v>
      </c>
      <c r="AW27" s="244">
        <v>0.15518640776699</v>
      </c>
      <c r="AX27" s="244">
        <v>4.1215533980582503E-2</v>
      </c>
      <c r="AY27" s="244">
        <v>0.22199611650485401</v>
      </c>
      <c r="AZ27" s="244">
        <v>0.241893203883495</v>
      </c>
      <c r="BA27" s="244">
        <v>0.13120194174757299</v>
      </c>
      <c r="BB27" s="244">
        <v>0.32845048543689298</v>
      </c>
      <c r="BC27" s="244">
        <v>0.92217669902912602</v>
      </c>
      <c r="BD27" s="244">
        <v>9.2330097087378604E-2</v>
      </c>
      <c r="BE27" s="244">
        <v>0.29028737864077703</v>
      </c>
      <c r="BF27" s="244">
        <v>0.189042718446602</v>
      </c>
      <c r="BG27" s="244">
        <v>0.151217475728155</v>
      </c>
      <c r="BH27" s="244">
        <v>43.776000000000003</v>
      </c>
      <c r="BI27" s="244">
        <v>18.254873786407799</v>
      </c>
      <c r="BJ27" s="244">
        <v>5.3126213592233</v>
      </c>
      <c r="BK27" s="244">
        <v>24.645825242718399</v>
      </c>
      <c r="BL27" s="244">
        <v>82.042718446601896</v>
      </c>
      <c r="BM27" s="244">
        <v>94.739805825242698</v>
      </c>
      <c r="BN27" s="244">
        <v>295.93980582524301</v>
      </c>
      <c r="BO27" s="244">
        <v>916.48333980582504</v>
      </c>
      <c r="BP27" s="244">
        <v>45.904854368932</v>
      </c>
      <c r="BQ27" s="244">
        <v>704.78852427184495</v>
      </c>
      <c r="BR27" s="244">
        <v>3.9067961165048501</v>
      </c>
      <c r="BS27" s="244">
        <v>0</v>
      </c>
      <c r="BT27" s="244">
        <v>336.72796116504901</v>
      </c>
      <c r="BU27" s="244">
        <v>34.618019417475701</v>
      </c>
      <c r="BV27" s="244">
        <v>1.95339805825243</v>
      </c>
      <c r="BW27" s="244">
        <v>3.9067961165048501</v>
      </c>
      <c r="BX27" s="244">
        <v>310.85708737864098</v>
      </c>
      <c r="BY27" s="244">
        <v>0.97669902912621398</v>
      </c>
      <c r="BZ27" s="244">
        <v>0</v>
      </c>
      <c r="CA27" s="244">
        <v>32.048543689320397</v>
      </c>
    </row>
    <row r="28" spans="1:79">
      <c r="A28" s="245">
        <v>56101</v>
      </c>
      <c r="B28" s="243" t="s">
        <v>1651</v>
      </c>
      <c r="C28" s="212" t="s">
        <v>1625</v>
      </c>
      <c r="D28" s="246">
        <v>28</v>
      </c>
      <c r="E28" s="248">
        <v>265.33620689655203</v>
      </c>
      <c r="F28" s="244">
        <v>79.807293103448302</v>
      </c>
      <c r="G28" s="244">
        <v>11.142379310344801</v>
      </c>
      <c r="H28" s="244">
        <v>22.901551724137899</v>
      </c>
      <c r="I28" s="244">
        <v>4.0002413793103502</v>
      </c>
      <c r="J28" s="244">
        <v>0.75837931034482797</v>
      </c>
      <c r="K28" s="244">
        <v>8.8605862068965494E-2</v>
      </c>
      <c r="L28" s="244">
        <v>0.20373094827586199</v>
      </c>
      <c r="M28" s="244">
        <v>0.13069500000000001</v>
      </c>
      <c r="N28" s="244">
        <v>0.91706758620689699</v>
      </c>
      <c r="O28" s="244">
        <v>0.12888724137931001</v>
      </c>
      <c r="P28" s="244">
        <v>23.449862068965501</v>
      </c>
      <c r="Q28" s="244">
        <v>1.38896551724138</v>
      </c>
      <c r="R28" s="244">
        <v>2.5706106896551701</v>
      </c>
      <c r="S28" s="244">
        <v>3.1491524137931002</v>
      </c>
      <c r="T28" s="244">
        <v>0.84098620689655201</v>
      </c>
      <c r="U28" s="244">
        <v>31.612531034482799</v>
      </c>
      <c r="V28" s="244">
        <v>103.286948275862</v>
      </c>
      <c r="W28" s="244">
        <v>104.20357551724101</v>
      </c>
      <c r="X28" s="244">
        <v>0</v>
      </c>
      <c r="Y28" s="244">
        <v>11.047614137930999</v>
      </c>
      <c r="Z28" s="244">
        <v>7.5516965517241399</v>
      </c>
      <c r="AA28" s="244">
        <v>0</v>
      </c>
      <c r="AB28" s="244">
        <v>0</v>
      </c>
      <c r="AC28" s="244">
        <v>1.08849965517241</v>
      </c>
      <c r="AD28" s="244">
        <v>31.797017241379301</v>
      </c>
      <c r="AE28" s="244">
        <v>0.340472413793103</v>
      </c>
      <c r="AF28" s="244">
        <v>1.68234827586207</v>
      </c>
      <c r="AG28" s="244">
        <v>0.118313793103448</v>
      </c>
      <c r="AH28" s="244">
        <v>164.312068965517</v>
      </c>
      <c r="AI28" s="244">
        <v>156.57683448275901</v>
      </c>
      <c r="AJ28" s="244">
        <v>45.698155172413799</v>
      </c>
      <c r="AK28" s="244">
        <v>1.8328068965517199</v>
      </c>
      <c r="AL28" s="244">
        <v>4.5281551724137898</v>
      </c>
      <c r="AM28" s="244">
        <v>6.3157413793103503</v>
      </c>
      <c r="AN28" s="244">
        <v>10.2929137931035</v>
      </c>
      <c r="AO28" s="244">
        <v>226.167448275862</v>
      </c>
      <c r="AP28" s="244">
        <v>0.153989655172414</v>
      </c>
      <c r="AQ28" s="244">
        <v>0.684648275862069</v>
      </c>
      <c r="AR28" s="244">
        <v>0.79201379310344799</v>
      </c>
      <c r="AS28" s="244">
        <v>0.470937931034483</v>
      </c>
      <c r="AT28" s="244">
        <v>0.34021896551724101</v>
      </c>
      <c r="AU28" s="244">
        <v>0.28578793103448302</v>
      </c>
      <c r="AV28" s="244">
        <v>0.92168275862069005</v>
      </c>
      <c r="AW28" s="244">
        <v>0.33971896551724101</v>
      </c>
      <c r="AX28" s="244">
        <v>0.16627931034482801</v>
      </c>
      <c r="AY28" s="244">
        <v>0.686074137931034</v>
      </c>
      <c r="AZ28" s="244">
        <v>0.97220172413793104</v>
      </c>
      <c r="BA28" s="244">
        <v>0.53708965517241403</v>
      </c>
      <c r="BB28" s="244">
        <v>1.20997413793103</v>
      </c>
      <c r="BC28" s="244">
        <v>1.61585517241379</v>
      </c>
      <c r="BD28" s="244">
        <v>0.46871896551724102</v>
      </c>
      <c r="BE28" s="244">
        <v>0.38477586206896602</v>
      </c>
      <c r="BF28" s="244">
        <v>0.82336896551724204</v>
      </c>
      <c r="BG28" s="244">
        <v>0.25645344827586197</v>
      </c>
      <c r="BH28" s="244">
        <v>13.4618620689655</v>
      </c>
      <c r="BI28" s="244">
        <v>4.22896551724138</v>
      </c>
      <c r="BJ28" s="244">
        <v>1.58965517241379</v>
      </c>
      <c r="BK28" s="244">
        <v>247.53344827586201</v>
      </c>
      <c r="BL28" s="244">
        <v>0</v>
      </c>
      <c r="BM28" s="244">
        <v>0</v>
      </c>
      <c r="BN28" s="244">
        <v>25.910965517241401</v>
      </c>
      <c r="BO28" s="244">
        <v>2016.9923448275899</v>
      </c>
      <c r="BP28" s="244">
        <v>185.68275862069001</v>
      </c>
      <c r="BQ28" s="244">
        <v>3529.1687586206899</v>
      </c>
      <c r="BR28" s="244">
        <v>30.937379310344799</v>
      </c>
      <c r="BS28" s="244">
        <v>0</v>
      </c>
      <c r="BT28" s="244">
        <v>1174.5902068965499</v>
      </c>
      <c r="BU28" s="244">
        <v>33.856758620689703</v>
      </c>
      <c r="BV28" s="244">
        <v>0</v>
      </c>
      <c r="BW28" s="244">
        <v>0</v>
      </c>
      <c r="BX28" s="244">
        <v>22.989362068965502</v>
      </c>
      <c r="BY28" s="244">
        <v>0</v>
      </c>
      <c r="BZ28" s="244">
        <v>67.591448275862106</v>
      </c>
      <c r="CA28" s="244">
        <v>3.97241379310345</v>
      </c>
    </row>
    <row r="29" spans="1:79">
      <c r="A29" s="245">
        <v>85204</v>
      </c>
      <c r="B29" s="243" t="s">
        <v>1652</v>
      </c>
      <c r="C29" s="212" t="s">
        <v>1625</v>
      </c>
      <c r="D29" s="246">
        <v>29</v>
      </c>
      <c r="E29" s="248">
        <v>147.13557810578101</v>
      </c>
      <c r="F29" s="244">
        <v>91.393607626076303</v>
      </c>
      <c r="G29" s="244">
        <v>3.43807595325953</v>
      </c>
      <c r="H29" s="244">
        <v>2.8179913899139</v>
      </c>
      <c r="I29" s="244">
        <v>26.850664514145102</v>
      </c>
      <c r="J29" s="244">
        <v>0.32463407134071298</v>
      </c>
      <c r="K29" s="244">
        <v>3.9276752767527699E-2</v>
      </c>
      <c r="L29" s="244">
        <v>0.19533241082410799</v>
      </c>
      <c r="M29" s="244">
        <v>0.46135086100861</v>
      </c>
      <c r="N29" s="244">
        <v>0.26303198031980302</v>
      </c>
      <c r="O29" s="244">
        <v>3.1413591635916401E-2</v>
      </c>
      <c r="P29" s="244">
        <v>3.5194434194342001</v>
      </c>
      <c r="Q29" s="244">
        <v>0.15650369003690001</v>
      </c>
      <c r="R29" s="244">
        <v>0.99355781057810599</v>
      </c>
      <c r="S29" s="244">
        <v>1.10127613776138</v>
      </c>
      <c r="T29" s="244">
        <v>7.7250922509225106E-2</v>
      </c>
      <c r="U29" s="244">
        <v>2.4169741697417001E-2</v>
      </c>
      <c r="V29" s="244">
        <v>22.9894095940959</v>
      </c>
      <c r="W29" s="244">
        <v>24.063515067650702</v>
      </c>
      <c r="X29" s="244">
        <v>3.0750307503074999E-4</v>
      </c>
      <c r="Y29" s="244">
        <v>11.1986974169742</v>
      </c>
      <c r="Z29" s="244">
        <v>6.7517804428044297</v>
      </c>
      <c r="AA29" s="244">
        <v>0</v>
      </c>
      <c r="AB29" s="244">
        <v>0</v>
      </c>
      <c r="AC29" s="244">
        <v>3.5198800738007399</v>
      </c>
      <c r="AD29" s="244">
        <v>76.269686346863494</v>
      </c>
      <c r="AE29" s="244">
        <v>5.9697416974169797E-2</v>
      </c>
      <c r="AF29" s="244">
        <v>0.402140221402214</v>
      </c>
      <c r="AG29" s="244">
        <v>0.19612084870848701</v>
      </c>
      <c r="AH29" s="244">
        <v>75.792404674046693</v>
      </c>
      <c r="AI29" s="244">
        <v>106.54468327183299</v>
      </c>
      <c r="AJ29" s="244">
        <v>3.9078228782287798</v>
      </c>
      <c r="AK29" s="244">
        <v>0.40543357933579299</v>
      </c>
      <c r="AL29" s="244">
        <v>1.3779551045510501</v>
      </c>
      <c r="AM29" s="244">
        <v>0.662038745387454</v>
      </c>
      <c r="AN29" s="244">
        <v>0.14031057810578099</v>
      </c>
      <c r="AO29" s="244">
        <v>10.4057564575646</v>
      </c>
      <c r="AP29" s="244">
        <v>6.48124231242313E-2</v>
      </c>
      <c r="AQ29" s="244">
        <v>0.106170356703567</v>
      </c>
      <c r="AR29" s="244">
        <v>0.21974323493234901</v>
      </c>
      <c r="AS29" s="244">
        <v>0.170111623616236</v>
      </c>
      <c r="AT29" s="244">
        <v>5.8753382533825303E-2</v>
      </c>
      <c r="AU29" s="244">
        <v>2.5261377613776101E-2</v>
      </c>
      <c r="AV29" s="244">
        <v>0.117938806888069</v>
      </c>
      <c r="AW29" s="244">
        <v>0.10103044280442799</v>
      </c>
      <c r="AX29" s="244">
        <v>2.9040282902829E-2</v>
      </c>
      <c r="AY29" s="244">
        <v>0.15212269372693701</v>
      </c>
      <c r="AZ29" s="244">
        <v>0.13664268142681399</v>
      </c>
      <c r="BA29" s="244">
        <v>9.4982779827798305E-2</v>
      </c>
      <c r="BB29" s="244">
        <v>0.17222662976629799</v>
      </c>
      <c r="BC29" s="244">
        <v>0.66905350553505505</v>
      </c>
      <c r="BD29" s="244">
        <v>6.3515375153751497E-2</v>
      </c>
      <c r="BE29" s="244">
        <v>0.23564206642066399</v>
      </c>
      <c r="BF29" s="244">
        <v>0.13690467404674</v>
      </c>
      <c r="BG29" s="244">
        <v>0.11064667896678999</v>
      </c>
      <c r="BH29" s="244">
        <v>0</v>
      </c>
      <c r="BI29" s="244">
        <v>11.505221402214</v>
      </c>
      <c r="BJ29" s="244">
        <v>0</v>
      </c>
      <c r="BK29" s="244">
        <v>12.3811808118081</v>
      </c>
      <c r="BL29" s="244">
        <v>58.428044280442798</v>
      </c>
      <c r="BM29" s="244">
        <v>67.470479704797</v>
      </c>
      <c r="BN29" s="244">
        <v>210.75830258302599</v>
      </c>
      <c r="BO29" s="244">
        <v>606.67002460024605</v>
      </c>
      <c r="BP29" s="244">
        <v>32.691881918819199</v>
      </c>
      <c r="BQ29" s="244">
        <v>488.68423739237397</v>
      </c>
      <c r="BR29" s="244">
        <v>2.7822878228782302</v>
      </c>
      <c r="BS29" s="244">
        <v>0</v>
      </c>
      <c r="BT29" s="244">
        <v>100.292619926199</v>
      </c>
      <c r="BU29" s="244">
        <v>10.0489237392374</v>
      </c>
      <c r="BV29" s="244">
        <v>1.39114391143911</v>
      </c>
      <c r="BW29" s="244">
        <v>2.7822878228782302</v>
      </c>
      <c r="BX29" s="244">
        <v>217.71913284132799</v>
      </c>
      <c r="BY29" s="244">
        <v>0.69557195571955699</v>
      </c>
      <c r="BZ29" s="244">
        <v>0</v>
      </c>
      <c r="CA29" s="244">
        <v>21.589790897909001</v>
      </c>
    </row>
    <row r="30" spans="1:79">
      <c r="A30" s="245">
        <v>82204</v>
      </c>
      <c r="B30" s="243" t="s">
        <v>1653</v>
      </c>
      <c r="C30" s="212" t="s">
        <v>1625</v>
      </c>
      <c r="D30" s="246">
        <v>30</v>
      </c>
      <c r="E30" s="248">
        <v>581.19721074380197</v>
      </c>
      <c r="F30" s="244">
        <v>115.96581818181799</v>
      </c>
      <c r="G30" s="244">
        <v>5.8038770661157004</v>
      </c>
      <c r="H30" s="244">
        <v>31.684367768594999</v>
      </c>
      <c r="I30" s="244">
        <v>66.636498966942099</v>
      </c>
      <c r="J30" s="244">
        <v>4.7349070247933902</v>
      </c>
      <c r="K30" s="244">
        <v>5.70588842975207E-2</v>
      </c>
      <c r="L30" s="244">
        <v>3.9415289256198402E-2</v>
      </c>
      <c r="M30" s="244">
        <v>1.08114979338843</v>
      </c>
      <c r="N30" s="244">
        <v>0.32102066115702499</v>
      </c>
      <c r="O30" s="244">
        <v>4.6654958677686001E-2</v>
      </c>
      <c r="P30" s="244">
        <v>8.4985743801652909</v>
      </c>
      <c r="Q30" s="244">
        <v>0</v>
      </c>
      <c r="R30" s="244">
        <v>0.82467975206611599</v>
      </c>
      <c r="S30" s="244">
        <v>2.1855991735537201</v>
      </c>
      <c r="T30" s="244">
        <v>0.69052892561983503</v>
      </c>
      <c r="U30" s="244">
        <v>42.430991735537198</v>
      </c>
      <c r="V30" s="244">
        <v>3.3545454545454501</v>
      </c>
      <c r="W30" s="244">
        <v>3.8002283057851201</v>
      </c>
      <c r="X30" s="244">
        <v>2.0661157024793402E-3</v>
      </c>
      <c r="Y30" s="244">
        <v>6.1037438016528904</v>
      </c>
      <c r="Z30" s="244">
        <v>30.383161157024801</v>
      </c>
      <c r="AA30" s="244">
        <v>0</v>
      </c>
      <c r="AB30" s="244">
        <v>0</v>
      </c>
      <c r="AC30" s="244">
        <v>1.2785330578512399</v>
      </c>
      <c r="AD30" s="244">
        <v>18.762809917355401</v>
      </c>
      <c r="AE30" s="244">
        <v>0.18913842975206599</v>
      </c>
      <c r="AF30" s="244">
        <v>2.2522727272727301</v>
      </c>
      <c r="AG30" s="244">
        <v>0.77105475206611596</v>
      </c>
      <c r="AH30" s="244">
        <v>94.222004132231405</v>
      </c>
      <c r="AI30" s="244">
        <v>203.51743801652901</v>
      </c>
      <c r="AJ30" s="244">
        <v>13.525867768595001</v>
      </c>
      <c r="AK30" s="244">
        <v>0.78275826446281005</v>
      </c>
      <c r="AL30" s="244">
        <v>12.316549586776899</v>
      </c>
      <c r="AM30" s="244">
        <v>5.1464669421487601</v>
      </c>
      <c r="AN30" s="244">
        <v>11.293533057851199</v>
      </c>
      <c r="AO30" s="244">
        <v>0</v>
      </c>
      <c r="AP30" s="244">
        <v>0.103561983471074</v>
      </c>
      <c r="AQ30" s="244">
        <v>0.15352066115702501</v>
      </c>
      <c r="AR30" s="244">
        <v>0.30881198347107403</v>
      </c>
      <c r="AS30" s="244">
        <v>0.14016322314049601</v>
      </c>
      <c r="AT30" s="244">
        <v>9.7925619834710806E-2</v>
      </c>
      <c r="AU30" s="244">
        <v>8.80165289256198E-2</v>
      </c>
      <c r="AV30" s="244">
        <v>0.20891528925619801</v>
      </c>
      <c r="AW30" s="244">
        <v>0.13723347107438</v>
      </c>
      <c r="AX30" s="244">
        <v>5.4799586776859498E-2</v>
      </c>
      <c r="AY30" s="244">
        <v>0.217650826446281</v>
      </c>
      <c r="AZ30" s="244">
        <v>0.24463636363636401</v>
      </c>
      <c r="BA30" s="244">
        <v>0.31747520661157003</v>
      </c>
      <c r="BB30" s="244">
        <v>0.28473760330578501</v>
      </c>
      <c r="BC30" s="244">
        <v>1.3708842975206601</v>
      </c>
      <c r="BD30" s="244">
        <v>0.19076859504132199</v>
      </c>
      <c r="BE30" s="244">
        <v>0.39797520661156999</v>
      </c>
      <c r="BF30" s="244">
        <v>0.22930578512396699</v>
      </c>
      <c r="BG30" s="244">
        <v>0.12690289256198301</v>
      </c>
      <c r="BH30" s="244">
        <v>11.642975206611601</v>
      </c>
      <c r="BI30" s="244">
        <v>118.462107438017</v>
      </c>
      <c r="BJ30" s="244">
        <v>0</v>
      </c>
      <c r="BK30" s="244">
        <v>4</v>
      </c>
      <c r="BL30" s="244">
        <v>561.65289256198298</v>
      </c>
      <c r="BM30" s="244">
        <v>5104.7933884297499</v>
      </c>
      <c r="BN30" s="244">
        <v>2226.7768595041298</v>
      </c>
      <c r="BO30" s="244">
        <v>1059.06068181818</v>
      </c>
      <c r="BP30" s="244">
        <v>0</v>
      </c>
      <c r="BQ30" s="244">
        <v>108.918347107438</v>
      </c>
      <c r="BR30" s="244">
        <v>5.1636363636363596</v>
      </c>
      <c r="BS30" s="244">
        <v>0</v>
      </c>
      <c r="BT30" s="244">
        <v>335.23508264462799</v>
      </c>
      <c r="BU30" s="244">
        <v>6.8853305785124004</v>
      </c>
      <c r="BV30" s="244">
        <v>0</v>
      </c>
      <c r="BW30" s="244">
        <v>0</v>
      </c>
      <c r="BX30" s="244">
        <v>737.89822314049604</v>
      </c>
      <c r="BY30" s="244">
        <v>0</v>
      </c>
      <c r="BZ30" s="244">
        <v>0</v>
      </c>
      <c r="CA30" s="244">
        <v>0.330578512396694</v>
      </c>
    </row>
    <row r="31" spans="1:79">
      <c r="A31" s="245">
        <v>63502</v>
      </c>
      <c r="B31" s="243" t="s">
        <v>1654</v>
      </c>
      <c r="C31" s="212" t="s">
        <v>1625</v>
      </c>
      <c r="D31" s="246">
        <v>31</v>
      </c>
      <c r="E31" s="248">
        <v>360.71484375</v>
      </c>
      <c r="F31" s="244">
        <v>85.915679687500003</v>
      </c>
      <c r="G31" s="244">
        <v>13.836328125</v>
      </c>
      <c r="H31" s="244">
        <v>20.209570312499999</v>
      </c>
      <c r="I31" s="244">
        <v>30.7853125</v>
      </c>
      <c r="J31" s="244">
        <v>2.0876562500000002</v>
      </c>
      <c r="K31" s="244">
        <v>0.11602710937500001</v>
      </c>
      <c r="L31" s="244">
        <v>0.11651210937500001</v>
      </c>
      <c r="M31" s="244">
        <v>0.97388867187499994</v>
      </c>
      <c r="N31" s="244">
        <v>6.8046875000000007E-2</v>
      </c>
      <c r="O31" s="244">
        <v>0.17677187499999999</v>
      </c>
      <c r="P31" s="244">
        <v>40.042664062500002</v>
      </c>
      <c r="Q31" s="244">
        <v>0</v>
      </c>
      <c r="R31" s="244">
        <v>5.3803046874999998</v>
      </c>
      <c r="S31" s="244">
        <v>0.42246093750000002</v>
      </c>
      <c r="T31" s="244">
        <v>0.59385937499999997</v>
      </c>
      <c r="U31" s="244">
        <v>38.327367187500002</v>
      </c>
      <c r="V31" s="244">
        <v>0</v>
      </c>
      <c r="W31" s="244">
        <v>3.7035023437499999</v>
      </c>
      <c r="X31" s="244">
        <v>0</v>
      </c>
      <c r="Y31" s="244">
        <v>44.742652343750002</v>
      </c>
      <c r="Z31" s="244">
        <v>15.3071875</v>
      </c>
      <c r="AA31" s="244">
        <v>0</v>
      </c>
      <c r="AB31" s="244">
        <v>0</v>
      </c>
      <c r="AC31" s="244">
        <v>1.9992929687500001</v>
      </c>
      <c r="AD31" s="244">
        <v>40.881921875000003</v>
      </c>
      <c r="AE31" s="244">
        <v>0.51535937499999995</v>
      </c>
      <c r="AF31" s="244">
        <v>3.2382929687500002</v>
      </c>
      <c r="AG31" s="244">
        <v>0.17658750000000001</v>
      </c>
      <c r="AH31" s="244">
        <v>171.65128906250001</v>
      </c>
      <c r="AI31" s="244">
        <v>394.43875000000003</v>
      </c>
      <c r="AJ31" s="244">
        <v>0.19734375000000001</v>
      </c>
      <c r="AK31" s="244">
        <v>1.6961171875000001</v>
      </c>
      <c r="AL31" s="244">
        <v>3.0934765624999998</v>
      </c>
      <c r="AM31" s="244">
        <v>4.5915234375000002</v>
      </c>
      <c r="AN31" s="244">
        <v>11.4365234375</v>
      </c>
      <c r="AO31" s="244">
        <v>0</v>
      </c>
      <c r="AP31" s="244">
        <v>1.143359375E-2</v>
      </c>
      <c r="AQ31" s="244">
        <v>2.1710937499999999E-2</v>
      </c>
      <c r="AR31" s="244">
        <v>3.2019531249999997E-2</v>
      </c>
      <c r="AS31" s="244">
        <v>2.2156249999999999E-2</v>
      </c>
      <c r="AT31" s="244">
        <v>9.0078125000000002E-3</v>
      </c>
      <c r="AU31" s="244">
        <v>7.9257812499999997E-3</v>
      </c>
      <c r="AV31" s="244">
        <v>2.6332031249999999E-2</v>
      </c>
      <c r="AW31" s="244">
        <v>2.1351562500000001E-2</v>
      </c>
      <c r="AX31" s="244">
        <v>7.0234375000000002E-3</v>
      </c>
      <c r="AY31" s="244">
        <v>2.505859375E-2</v>
      </c>
      <c r="AZ31" s="244">
        <v>3.0933593749999998E-2</v>
      </c>
      <c r="BA31" s="244">
        <v>7.3535156249999997E-2</v>
      </c>
      <c r="BB31" s="244">
        <v>7.605859375E-2</v>
      </c>
      <c r="BC31" s="244">
        <v>0.15719140625</v>
      </c>
      <c r="BD31" s="244">
        <v>3.4246093749999998E-2</v>
      </c>
      <c r="BE31" s="244">
        <v>1.898046875E-2</v>
      </c>
      <c r="BF31" s="244">
        <v>2.22734375E-2</v>
      </c>
      <c r="BG31" s="244">
        <v>1.5679687500000001E-2</v>
      </c>
      <c r="BH31" s="244">
        <v>21.245859374999998</v>
      </c>
      <c r="BI31" s="244">
        <v>264.98031250000003</v>
      </c>
      <c r="BJ31" s="244">
        <v>2.38671875</v>
      </c>
      <c r="BK31" s="244">
        <v>3.6003906250000002</v>
      </c>
      <c r="BL31" s="244">
        <v>0</v>
      </c>
      <c r="BM31" s="244">
        <v>0</v>
      </c>
      <c r="BN31" s="244">
        <v>0.28335937500000002</v>
      </c>
      <c r="BO31" s="244">
        <v>31.2563671875</v>
      </c>
      <c r="BP31" s="244">
        <v>0</v>
      </c>
      <c r="BQ31" s="244">
        <v>86.795000000000002</v>
      </c>
      <c r="BR31" s="244">
        <v>0</v>
      </c>
      <c r="BS31" s="244">
        <v>0</v>
      </c>
      <c r="BT31" s="244">
        <v>105.51953125</v>
      </c>
      <c r="BU31" s="244">
        <v>8.5154687500000001</v>
      </c>
      <c r="BV31" s="244">
        <v>0</v>
      </c>
      <c r="BW31" s="244">
        <v>0</v>
      </c>
      <c r="BX31" s="244">
        <v>21.9321484375</v>
      </c>
      <c r="BY31" s="244">
        <v>0</v>
      </c>
      <c r="BZ31" s="244">
        <v>0</v>
      </c>
      <c r="CA31" s="244">
        <v>0.64375000000000004</v>
      </c>
    </row>
    <row r="32" spans="1:79">
      <c r="A32" s="245">
        <v>62507</v>
      </c>
      <c r="B32" s="243" t="s">
        <v>1655</v>
      </c>
      <c r="C32" s="212" t="s">
        <v>1625</v>
      </c>
      <c r="D32" s="246">
        <v>32</v>
      </c>
      <c r="E32" s="248">
        <v>984.22395833333303</v>
      </c>
      <c r="F32" s="244">
        <v>81.964739583333298</v>
      </c>
      <c r="G32" s="244">
        <v>13.702343750000001</v>
      </c>
      <c r="H32" s="244">
        <v>62.578229166666702</v>
      </c>
      <c r="I32" s="244">
        <v>91.209843750000005</v>
      </c>
      <c r="J32" s="244">
        <v>5.7771875000000001</v>
      </c>
      <c r="K32" s="244">
        <v>0.15342187500000001</v>
      </c>
      <c r="L32" s="244">
        <v>5.878125E-2</v>
      </c>
      <c r="M32" s="244">
        <v>2.2176562500000001</v>
      </c>
      <c r="N32" s="244">
        <v>0.73799999999999999</v>
      </c>
      <c r="O32" s="244">
        <v>0.120515625</v>
      </c>
      <c r="P32" s="244">
        <v>18.2109375</v>
      </c>
      <c r="Q32" s="244">
        <v>0</v>
      </c>
      <c r="R32" s="244">
        <v>0</v>
      </c>
      <c r="S32" s="244">
        <v>8.4818750000000005</v>
      </c>
      <c r="T32" s="244">
        <v>1.5459166666666699</v>
      </c>
      <c r="U32" s="244">
        <v>111.551041666667</v>
      </c>
      <c r="V32" s="244">
        <v>0</v>
      </c>
      <c r="W32" s="244">
        <v>0.39360937499999998</v>
      </c>
      <c r="X32" s="244">
        <v>0</v>
      </c>
      <c r="Y32" s="244">
        <v>7.8025781250000001</v>
      </c>
      <c r="Z32" s="244">
        <v>0</v>
      </c>
      <c r="AA32" s="244">
        <v>0</v>
      </c>
      <c r="AB32" s="244">
        <v>0</v>
      </c>
      <c r="AC32" s="244">
        <v>0</v>
      </c>
      <c r="AD32" s="244">
        <v>17.0173958333333</v>
      </c>
      <c r="AE32" s="244">
        <v>0.24703125000000001</v>
      </c>
      <c r="AF32" s="244">
        <v>4.9361458333333301</v>
      </c>
      <c r="AG32" s="244">
        <v>0.88002083333333303</v>
      </c>
      <c r="AH32" s="244">
        <v>183.625</v>
      </c>
      <c r="AI32" s="244">
        <v>274.35114583333302</v>
      </c>
      <c r="AJ32" s="244">
        <v>43.598437500000003</v>
      </c>
      <c r="AK32" s="244">
        <v>2.0190104166666698</v>
      </c>
      <c r="AL32" s="244">
        <v>9.7153124999999996</v>
      </c>
      <c r="AM32" s="244">
        <v>13.983124999999999</v>
      </c>
      <c r="AN32" s="244">
        <v>35.8232291666667</v>
      </c>
      <c r="AO32" s="244">
        <v>0</v>
      </c>
      <c r="AP32" s="244">
        <v>0.29643750000000002</v>
      </c>
      <c r="AQ32" s="244">
        <v>0.39732812499999998</v>
      </c>
      <c r="AR32" s="244">
        <v>0.89903124999999995</v>
      </c>
      <c r="AS32" s="244">
        <v>0.35665625000000001</v>
      </c>
      <c r="AT32" s="244">
        <v>0.28393750000000001</v>
      </c>
      <c r="AU32" s="244">
        <v>0.28106249999999999</v>
      </c>
      <c r="AV32" s="244">
        <v>0.61417187500000003</v>
      </c>
      <c r="AW32" s="244">
        <v>0.38835937500000001</v>
      </c>
      <c r="AX32" s="244">
        <v>0.15957812499999999</v>
      </c>
      <c r="AY32" s="244">
        <v>0.58181249999999995</v>
      </c>
      <c r="AZ32" s="244">
        <v>0.72050000000000003</v>
      </c>
      <c r="BA32" s="244">
        <v>0.56820312500000003</v>
      </c>
      <c r="BB32" s="244">
        <v>0.65403124999999995</v>
      </c>
      <c r="BC32" s="244">
        <v>4.5540781250000002</v>
      </c>
      <c r="BD32" s="244">
        <v>0.53185937500000002</v>
      </c>
      <c r="BE32" s="244">
        <v>1.37425</v>
      </c>
      <c r="BF32" s="244">
        <v>0.65260937500000005</v>
      </c>
      <c r="BG32" s="244">
        <v>0.35007812500000002</v>
      </c>
      <c r="BH32" s="244">
        <v>0</v>
      </c>
      <c r="BI32" s="244">
        <v>292.125</v>
      </c>
      <c r="BJ32" s="244">
        <v>0</v>
      </c>
      <c r="BK32" s="244">
        <v>0</v>
      </c>
      <c r="BL32" s="244">
        <v>0</v>
      </c>
      <c r="BM32" s="244">
        <v>0</v>
      </c>
      <c r="BN32" s="244">
        <v>0</v>
      </c>
      <c r="BO32" s="244">
        <v>123.855208333333</v>
      </c>
      <c r="BP32" s="244">
        <v>0</v>
      </c>
      <c r="BQ32" s="244">
        <v>79.418750000000003</v>
      </c>
      <c r="BR32" s="244">
        <v>0</v>
      </c>
      <c r="BS32" s="244">
        <v>0</v>
      </c>
      <c r="BT32" s="244">
        <v>449.5025</v>
      </c>
      <c r="BU32" s="244">
        <v>25.499479166666699</v>
      </c>
      <c r="BV32" s="244">
        <v>0</v>
      </c>
      <c r="BW32" s="244">
        <v>0</v>
      </c>
      <c r="BX32" s="244">
        <v>11.830937499999999</v>
      </c>
      <c r="BY32" s="244">
        <v>0</v>
      </c>
      <c r="BZ32" s="244">
        <v>0</v>
      </c>
      <c r="CA32" s="244">
        <v>0.45833333333333298</v>
      </c>
    </row>
    <row r="33" spans="1:79">
      <c r="A33" s="245">
        <v>25126</v>
      </c>
      <c r="B33" s="243" t="s">
        <v>1656</v>
      </c>
      <c r="C33" s="212" t="s">
        <v>1625</v>
      </c>
      <c r="D33" s="246">
        <v>33</v>
      </c>
      <c r="E33" s="248">
        <v>86.087087087087099</v>
      </c>
      <c r="F33" s="244">
        <v>189.80268768768801</v>
      </c>
      <c r="G33" s="244">
        <v>1.6064564564564601</v>
      </c>
      <c r="H33" s="244">
        <v>6.8909009009008999</v>
      </c>
      <c r="I33" s="244">
        <v>3.63486486486486</v>
      </c>
      <c r="J33" s="244">
        <v>2.30474474474474</v>
      </c>
      <c r="K33" s="244">
        <v>3.2520720720720701E-2</v>
      </c>
      <c r="L33" s="244">
        <v>4.2558258258258298E-2</v>
      </c>
      <c r="M33" s="244">
        <v>0.47184444444444401</v>
      </c>
      <c r="N33" s="244">
        <v>0.31213033033033</v>
      </c>
      <c r="O33" s="244">
        <v>0.10084594594594599</v>
      </c>
      <c r="P33" s="244">
        <v>20.642222222222198</v>
      </c>
      <c r="Q33" s="244">
        <v>0</v>
      </c>
      <c r="R33" s="244">
        <v>25.639611711711702</v>
      </c>
      <c r="S33" s="244">
        <v>2.4203603603603598</v>
      </c>
      <c r="T33" s="244">
        <v>0.201792792792793</v>
      </c>
      <c r="U33" s="244">
        <v>23.965483483483499</v>
      </c>
      <c r="V33" s="244">
        <v>0</v>
      </c>
      <c r="W33" s="244">
        <v>3.6215603603603599</v>
      </c>
      <c r="X33" s="244">
        <v>16.3783783783784</v>
      </c>
      <c r="Y33" s="244">
        <v>33.794388588588603</v>
      </c>
      <c r="Z33" s="244">
        <v>237.03596096096101</v>
      </c>
      <c r="AA33" s="244">
        <v>341.91891891891902</v>
      </c>
      <c r="AB33" s="244">
        <v>0</v>
      </c>
      <c r="AC33" s="244">
        <v>18.503554354354399</v>
      </c>
      <c r="AD33" s="244">
        <v>24.306651651651698</v>
      </c>
      <c r="AE33" s="244">
        <v>0.35702852852852901</v>
      </c>
      <c r="AF33" s="244">
        <v>1.0177927927927899</v>
      </c>
      <c r="AG33" s="244">
        <v>0.17648648648648699</v>
      </c>
      <c r="AH33" s="244">
        <v>34.1111111111111</v>
      </c>
      <c r="AI33" s="244">
        <v>223.50348348348399</v>
      </c>
      <c r="AJ33" s="244">
        <v>0.29566066066066099</v>
      </c>
      <c r="AK33" s="244">
        <v>0.41435435435435403</v>
      </c>
      <c r="AL33" s="244">
        <v>1.13118618618619</v>
      </c>
      <c r="AM33" s="244">
        <v>1.5925375375375399</v>
      </c>
      <c r="AN33" s="244">
        <v>3.9968018018018001</v>
      </c>
      <c r="AO33" s="244">
        <v>0</v>
      </c>
      <c r="AP33" s="244">
        <v>2.52102102102102E-2</v>
      </c>
      <c r="AQ33" s="244">
        <v>4.7330330330330302E-2</v>
      </c>
      <c r="AR33" s="244">
        <v>7.5429429429429401E-2</v>
      </c>
      <c r="AS33" s="244">
        <v>5.2213213213213198E-2</v>
      </c>
      <c r="AT33" s="244">
        <v>1.3097597597597601E-2</v>
      </c>
      <c r="AU33" s="244">
        <v>9.4999999999999998E-3</v>
      </c>
      <c r="AV33" s="244">
        <v>5.5033033033033002E-2</v>
      </c>
      <c r="AW33" s="244">
        <v>4.8067567567567603E-2</v>
      </c>
      <c r="AX33" s="244">
        <v>1.2996996996997001E-2</v>
      </c>
      <c r="AY33" s="244">
        <v>6.5668168168168201E-2</v>
      </c>
      <c r="AZ33" s="244">
        <v>8.8974474474474499E-2</v>
      </c>
      <c r="BA33" s="244">
        <v>5.95135135135135E-2</v>
      </c>
      <c r="BB33" s="244">
        <v>0.15989039039038999</v>
      </c>
      <c r="BC33" s="244">
        <v>0.299531531531532</v>
      </c>
      <c r="BD33" s="244">
        <v>5.3845345345345297E-2</v>
      </c>
      <c r="BE33" s="244">
        <v>4.3723723723723698E-2</v>
      </c>
      <c r="BF33" s="244">
        <v>6.0528528528528497E-2</v>
      </c>
      <c r="BG33" s="244">
        <v>3.7620120120120101E-2</v>
      </c>
      <c r="BH33" s="244">
        <v>24.5822522522522</v>
      </c>
      <c r="BI33" s="244">
        <v>16.404744744744701</v>
      </c>
      <c r="BJ33" s="244">
        <v>2.9129129129129101</v>
      </c>
      <c r="BK33" s="244">
        <v>20.0783783783784</v>
      </c>
      <c r="BL33" s="244">
        <v>0</v>
      </c>
      <c r="BM33" s="244">
        <v>0</v>
      </c>
      <c r="BN33" s="244">
        <v>0.73150150150150195</v>
      </c>
      <c r="BO33" s="244">
        <v>53.870810810810802</v>
      </c>
      <c r="BP33" s="244">
        <v>0</v>
      </c>
      <c r="BQ33" s="244">
        <v>59.057447447447402</v>
      </c>
      <c r="BR33" s="244">
        <v>0</v>
      </c>
      <c r="BS33" s="244">
        <v>0</v>
      </c>
      <c r="BT33" s="244">
        <v>117.592372372372</v>
      </c>
      <c r="BU33" s="244">
        <v>51.831111111111099</v>
      </c>
      <c r="BV33" s="244">
        <v>0</v>
      </c>
      <c r="BW33" s="244">
        <v>0</v>
      </c>
      <c r="BX33" s="244">
        <v>10.6005255255255</v>
      </c>
      <c r="BY33" s="244">
        <v>0</v>
      </c>
      <c r="BZ33" s="244">
        <v>0</v>
      </c>
      <c r="CA33" s="244">
        <v>1.2192192192192199</v>
      </c>
    </row>
    <row r="34" spans="1:79">
      <c r="A34" s="245">
        <v>25127</v>
      </c>
      <c r="B34" s="243" t="s">
        <v>1657</v>
      </c>
      <c r="C34" s="212" t="s">
        <v>1625</v>
      </c>
      <c r="D34" s="246">
        <v>34</v>
      </c>
      <c r="E34" s="248">
        <v>58.950424929178503</v>
      </c>
      <c r="F34" s="244">
        <v>188.430198300283</v>
      </c>
      <c r="G34" s="244">
        <v>1.0031586402266299</v>
      </c>
      <c r="H34" s="244">
        <v>3.7223654390934899</v>
      </c>
      <c r="I34" s="244">
        <v>4.75813031161473</v>
      </c>
      <c r="J34" s="244">
        <v>1.5674504249291801</v>
      </c>
      <c r="K34" s="244">
        <v>2.5307790368272E-2</v>
      </c>
      <c r="L34" s="244">
        <v>4.2496388101983001E-2</v>
      </c>
      <c r="M34" s="244">
        <v>0.29292223796034</v>
      </c>
      <c r="N34" s="244">
        <v>0.157159490084986</v>
      </c>
      <c r="O34" s="244">
        <v>6.5765864022662907E-2</v>
      </c>
      <c r="P34" s="244">
        <v>17.0959900849858</v>
      </c>
      <c r="Q34" s="244">
        <v>0</v>
      </c>
      <c r="R34" s="244">
        <v>15.4093184844193</v>
      </c>
      <c r="S34" s="244">
        <v>4.02314447592068</v>
      </c>
      <c r="T34" s="244">
        <v>0.148229461756374</v>
      </c>
      <c r="U34" s="244">
        <v>17.412566572237999</v>
      </c>
      <c r="V34" s="244">
        <v>0</v>
      </c>
      <c r="W34" s="244">
        <v>4.9534237960340004</v>
      </c>
      <c r="X34" s="244">
        <v>11.4220963172805</v>
      </c>
      <c r="Y34" s="244">
        <v>53.847299291784701</v>
      </c>
      <c r="Z34" s="244">
        <v>172.15769971671401</v>
      </c>
      <c r="AA34" s="244">
        <v>0</v>
      </c>
      <c r="AB34" s="244">
        <v>0</v>
      </c>
      <c r="AC34" s="244">
        <v>8.6129797450424892</v>
      </c>
      <c r="AD34" s="244">
        <v>24.7879199716714</v>
      </c>
      <c r="AE34" s="244">
        <v>0.104954674220963</v>
      </c>
      <c r="AF34" s="244">
        <v>0.884589235127479</v>
      </c>
      <c r="AG34" s="244">
        <v>0.24898866855524099</v>
      </c>
      <c r="AH34" s="244">
        <v>17.1368696883853</v>
      </c>
      <c r="AI34" s="244">
        <v>124.269573654391</v>
      </c>
      <c r="AJ34" s="244">
        <v>0.53682719546742197</v>
      </c>
      <c r="AK34" s="244">
        <v>0.28140226628895199</v>
      </c>
      <c r="AL34" s="244">
        <v>0.61512747875354101</v>
      </c>
      <c r="AM34" s="244">
        <v>0.87243626062322999</v>
      </c>
      <c r="AN34" s="244">
        <v>2.15627478753541</v>
      </c>
      <c r="AO34" s="244">
        <v>0</v>
      </c>
      <c r="AP34" s="244">
        <v>1.6549575070821498E-2</v>
      </c>
      <c r="AQ34" s="244">
        <v>2.5264872521246502E-2</v>
      </c>
      <c r="AR34" s="244">
        <v>4.0678470254957501E-2</v>
      </c>
      <c r="AS34" s="244">
        <v>3.3814447592068003E-2</v>
      </c>
      <c r="AT34" s="244">
        <v>7.9844192634560898E-3</v>
      </c>
      <c r="AU34" s="244">
        <v>1.1634560906515601E-2</v>
      </c>
      <c r="AV34" s="244">
        <v>2.9481586402266301E-2</v>
      </c>
      <c r="AW34" s="244">
        <v>2.8927762039660101E-2</v>
      </c>
      <c r="AX34" s="244">
        <v>7.1487252124645901E-3</v>
      </c>
      <c r="AY34" s="244">
        <v>3.5021246458923502E-2</v>
      </c>
      <c r="AZ34" s="244">
        <v>4.1021246458923501E-2</v>
      </c>
      <c r="BA34" s="244">
        <v>5.60821529745043E-2</v>
      </c>
      <c r="BB34" s="244">
        <v>0.10135835694051</v>
      </c>
      <c r="BC34" s="244">
        <v>0.12685269121813</v>
      </c>
      <c r="BD34" s="244">
        <v>3.6144475920679903E-2</v>
      </c>
      <c r="BE34" s="244">
        <v>2.72039660056657E-2</v>
      </c>
      <c r="BF34" s="244">
        <v>2.9906515580736499E-2</v>
      </c>
      <c r="BG34" s="244">
        <v>2.5361189801699699E-2</v>
      </c>
      <c r="BH34" s="244">
        <v>19.841019830028301</v>
      </c>
      <c r="BI34" s="244">
        <v>14.003073654390899</v>
      </c>
      <c r="BJ34" s="244">
        <v>1.3753541076487299</v>
      </c>
      <c r="BK34" s="244">
        <v>5.6505665722379597</v>
      </c>
      <c r="BL34" s="244">
        <v>0</v>
      </c>
      <c r="BM34" s="244">
        <v>0</v>
      </c>
      <c r="BN34" s="244">
        <v>1.0661331444759199</v>
      </c>
      <c r="BO34" s="244">
        <v>42.944135977337098</v>
      </c>
      <c r="BP34" s="244">
        <v>0</v>
      </c>
      <c r="BQ34" s="244">
        <v>45.364008498583601</v>
      </c>
      <c r="BR34" s="244">
        <v>0</v>
      </c>
      <c r="BS34" s="244">
        <v>0</v>
      </c>
      <c r="BT34" s="244">
        <v>71.426558073654405</v>
      </c>
      <c r="BU34" s="244">
        <v>13.9859915014164</v>
      </c>
      <c r="BV34" s="244">
        <v>0</v>
      </c>
      <c r="BW34" s="244">
        <v>0</v>
      </c>
      <c r="BX34" s="244">
        <v>13.526756373937699</v>
      </c>
      <c r="BY34" s="244">
        <v>0</v>
      </c>
      <c r="BZ34" s="244">
        <v>0</v>
      </c>
      <c r="CA34" s="244">
        <v>0.65014164305948996</v>
      </c>
    </row>
    <row r="35" spans="1:79">
      <c r="A35" s="247">
        <v>61303</v>
      </c>
      <c r="B35" s="243" t="s">
        <v>1658</v>
      </c>
      <c r="C35" s="212" t="s">
        <v>1625</v>
      </c>
      <c r="D35" s="246">
        <v>35</v>
      </c>
      <c r="E35" s="248">
        <v>361.54054054054097</v>
      </c>
      <c r="F35" s="244">
        <v>13.4602702702703</v>
      </c>
      <c r="G35" s="244">
        <v>7.09378378378379</v>
      </c>
      <c r="H35" s="244">
        <v>0.68513513513513502</v>
      </c>
      <c r="I35" s="244">
        <v>80.266216216216193</v>
      </c>
      <c r="J35" s="244">
        <v>3.22540540540541</v>
      </c>
      <c r="K35" s="244">
        <v>4.7432432432432399E-2</v>
      </c>
      <c r="L35" s="244">
        <v>4.00540540540541E-2</v>
      </c>
      <c r="M35" s="244">
        <v>1.2516891891891899</v>
      </c>
      <c r="N35" s="244">
        <v>0</v>
      </c>
      <c r="O35" s="244">
        <v>0</v>
      </c>
      <c r="P35" s="244">
        <v>4.7432432432432403</v>
      </c>
      <c r="Q35" s="244">
        <v>0</v>
      </c>
      <c r="R35" s="244">
        <v>0</v>
      </c>
      <c r="S35" s="244">
        <v>0</v>
      </c>
      <c r="T35" s="244">
        <v>0.115945945945946</v>
      </c>
      <c r="U35" s="244">
        <v>0</v>
      </c>
      <c r="V35" s="244">
        <v>0</v>
      </c>
      <c r="W35" s="244">
        <v>0</v>
      </c>
      <c r="X35" s="244">
        <v>0</v>
      </c>
      <c r="Y35" s="244">
        <v>0</v>
      </c>
      <c r="Z35" s="244">
        <v>0</v>
      </c>
      <c r="AA35" s="244">
        <v>0</v>
      </c>
      <c r="AB35" s="244">
        <v>0</v>
      </c>
      <c r="AC35" s="244">
        <v>0</v>
      </c>
      <c r="AD35" s="244">
        <v>10.540540540540499</v>
      </c>
      <c r="AE35" s="244">
        <v>0.147567567567568</v>
      </c>
      <c r="AF35" s="244">
        <v>0.94864864864864895</v>
      </c>
      <c r="AG35" s="244">
        <v>0</v>
      </c>
      <c r="AH35" s="244">
        <v>132.81081081081101</v>
      </c>
      <c r="AI35" s="244">
        <v>119.108108108108</v>
      </c>
      <c r="AJ35" s="244">
        <v>0</v>
      </c>
      <c r="AK35" s="244">
        <v>1.14891891891892</v>
      </c>
      <c r="AL35" s="244">
        <v>0.10540540540540499</v>
      </c>
      <c r="AM35" s="244">
        <v>0.126486486486487</v>
      </c>
      <c r="AN35" s="244">
        <v>0.10540540540540499</v>
      </c>
      <c r="AO35" s="244">
        <v>0</v>
      </c>
      <c r="AP35" s="244">
        <v>0.16864864864864901</v>
      </c>
      <c r="AQ35" s="244">
        <v>0.305675675675676</v>
      </c>
      <c r="AR35" s="244">
        <v>0.59027027027027001</v>
      </c>
      <c r="AS35" s="244">
        <v>0.252972972972973</v>
      </c>
      <c r="AT35" s="244">
        <v>0.16864864864864901</v>
      </c>
      <c r="AU35" s="244">
        <v>0.147567567567568</v>
      </c>
      <c r="AV35" s="244">
        <v>0.37945945945945903</v>
      </c>
      <c r="AW35" s="244">
        <v>0.252972972972973</v>
      </c>
      <c r="AX35" s="244">
        <v>8.4324324324324296E-2</v>
      </c>
      <c r="AY35" s="244">
        <v>0.43216216216216202</v>
      </c>
      <c r="AZ35" s="244">
        <v>0.41108108108108099</v>
      </c>
      <c r="BA35" s="244">
        <v>0.59027027027027001</v>
      </c>
      <c r="BB35" s="244">
        <v>0.66405405405405404</v>
      </c>
      <c r="BC35" s="244">
        <v>1.3808108108108099</v>
      </c>
      <c r="BD35" s="244">
        <v>0.32675675675675703</v>
      </c>
      <c r="BE35" s="244">
        <v>0.33729729729729702</v>
      </c>
      <c r="BF35" s="244">
        <v>0.36891891891891898</v>
      </c>
      <c r="BG35" s="244">
        <v>0.23189189189189199</v>
      </c>
      <c r="BH35" s="244">
        <v>0</v>
      </c>
      <c r="BI35" s="244">
        <v>96.972972972972997</v>
      </c>
      <c r="BJ35" s="244">
        <v>1.0540540540540499</v>
      </c>
      <c r="BK35" s="244">
        <v>2.2135135135135098</v>
      </c>
      <c r="BL35" s="244">
        <v>0.89594594594594601</v>
      </c>
      <c r="BM35" s="244">
        <v>0</v>
      </c>
      <c r="BN35" s="244">
        <v>13.902972972973</v>
      </c>
      <c r="BO35" s="244">
        <v>150.72972972973</v>
      </c>
      <c r="BP35" s="244">
        <v>0</v>
      </c>
      <c r="BQ35" s="244">
        <v>114.891891891892</v>
      </c>
      <c r="BR35" s="244">
        <v>1.62324324324324</v>
      </c>
      <c r="BS35" s="244">
        <v>0</v>
      </c>
      <c r="BT35" s="244">
        <v>246.64864864864899</v>
      </c>
      <c r="BU35" s="244">
        <v>10.024054054054099</v>
      </c>
      <c r="BV35" s="244">
        <v>0</v>
      </c>
      <c r="BW35" s="244">
        <v>0</v>
      </c>
      <c r="BX35" s="244">
        <v>15.2837837837838</v>
      </c>
      <c r="BY35" s="244">
        <v>0</v>
      </c>
      <c r="BZ35" s="244">
        <v>0</v>
      </c>
      <c r="CA35" s="244">
        <v>0</v>
      </c>
    </row>
    <row r="36" spans="1:79">
      <c r="A36" s="245">
        <v>21101</v>
      </c>
      <c r="B36" s="243" t="s">
        <v>1659</v>
      </c>
      <c r="C36" s="212" t="s">
        <v>1625</v>
      </c>
      <c r="D36" s="246">
        <v>36</v>
      </c>
      <c r="E36" s="248">
        <v>81.360364963503699</v>
      </c>
      <c r="F36" s="244">
        <v>84.762592700729897</v>
      </c>
      <c r="G36" s="244">
        <v>2.05881240875912</v>
      </c>
      <c r="H36" s="244">
        <v>6.4227211678832097</v>
      </c>
      <c r="I36" s="244">
        <v>3.4759642335766401</v>
      </c>
      <c r="J36" s="244">
        <v>3.1918905109489102</v>
      </c>
      <c r="K36" s="244">
        <v>4.3762335766423403E-2</v>
      </c>
      <c r="L36" s="244">
        <v>4.3824087591240901E-2</v>
      </c>
      <c r="M36" s="244">
        <v>0.45046058394160599</v>
      </c>
      <c r="N36" s="244">
        <v>5.2992408759124102E-2</v>
      </c>
      <c r="O36" s="244">
        <v>0.174898832116788</v>
      </c>
      <c r="P36" s="244">
        <v>54.225124087591198</v>
      </c>
      <c r="Q36" s="244">
        <v>0</v>
      </c>
      <c r="R36" s="244">
        <v>13.636416715328499</v>
      </c>
      <c r="S36" s="244">
        <v>0.28331386861313901</v>
      </c>
      <c r="T36" s="244">
        <v>0.182756204379562</v>
      </c>
      <c r="U36" s="244">
        <v>11.3003912408759</v>
      </c>
      <c r="V36" s="244">
        <v>0</v>
      </c>
      <c r="W36" s="244">
        <v>409.21960043795599</v>
      </c>
      <c r="X36" s="244">
        <v>0</v>
      </c>
      <c r="Y36" s="244">
        <v>2459.8614338686102</v>
      </c>
      <c r="Z36" s="244">
        <v>7.3655255474452597</v>
      </c>
      <c r="AA36" s="244">
        <v>0</v>
      </c>
      <c r="AB36" s="244">
        <v>0</v>
      </c>
      <c r="AC36" s="244">
        <v>1.3628391240875899</v>
      </c>
      <c r="AD36" s="244">
        <v>112.948934306569</v>
      </c>
      <c r="AE36" s="244">
        <v>4.8048175182481799E-2</v>
      </c>
      <c r="AF36" s="244">
        <v>2.1009051094890498</v>
      </c>
      <c r="AG36" s="244">
        <v>9.5556934306569294E-2</v>
      </c>
      <c r="AH36" s="244">
        <v>11.413328467153301</v>
      </c>
      <c r="AI36" s="244">
        <v>48.568437956204399</v>
      </c>
      <c r="AJ36" s="244">
        <v>0.29305109489051101</v>
      </c>
      <c r="AK36" s="244">
        <v>0.52869343065693397</v>
      </c>
      <c r="AL36" s="244">
        <v>0.885430656934306</v>
      </c>
      <c r="AM36" s="244">
        <v>1.3649051094890501</v>
      </c>
      <c r="AN36" s="244">
        <v>3.3205985401459901</v>
      </c>
      <c r="AO36" s="244">
        <v>0</v>
      </c>
      <c r="AP36" s="244">
        <v>9.4554744525547508E-3</v>
      </c>
      <c r="AQ36" s="244">
        <v>1.6487591240875898E-2</v>
      </c>
      <c r="AR36" s="244">
        <v>2.5910948905109501E-2</v>
      </c>
      <c r="AS36" s="244">
        <v>2.25036496350365E-2</v>
      </c>
      <c r="AT36" s="244">
        <v>5.5474452554744504E-3</v>
      </c>
      <c r="AU36" s="244">
        <v>7.6058394160584001E-3</v>
      </c>
      <c r="AV36" s="244">
        <v>1.9201459854014599E-2</v>
      </c>
      <c r="AW36" s="244">
        <v>1.5605839416058399E-2</v>
      </c>
      <c r="AX36" s="244">
        <v>4.7854014598540202E-3</v>
      </c>
      <c r="AY36" s="244">
        <v>2.04029197080292E-2</v>
      </c>
      <c r="AZ36" s="244">
        <v>2.0908029197080302E-2</v>
      </c>
      <c r="BA36" s="244">
        <v>4.9699270072992699E-2</v>
      </c>
      <c r="BB36" s="244">
        <v>5.33021897810219E-2</v>
      </c>
      <c r="BC36" s="244">
        <v>9.0363503649634996E-2</v>
      </c>
      <c r="BD36" s="244">
        <v>2.1940145985401501E-2</v>
      </c>
      <c r="BE36" s="244">
        <v>2.1208759124087598E-2</v>
      </c>
      <c r="BF36" s="244">
        <v>1.8524087591240902E-2</v>
      </c>
      <c r="BG36" s="244">
        <v>1.39386861313869E-2</v>
      </c>
      <c r="BH36" s="244">
        <v>9.8722627737226301</v>
      </c>
      <c r="BI36" s="244">
        <v>13.2151678832117</v>
      </c>
      <c r="BJ36" s="244">
        <v>0.702189781021898</v>
      </c>
      <c r="BK36" s="244">
        <v>7.5198540145985397</v>
      </c>
      <c r="BL36" s="244">
        <v>0</v>
      </c>
      <c r="BM36" s="244">
        <v>0</v>
      </c>
      <c r="BN36" s="244">
        <v>0.114043795620438</v>
      </c>
      <c r="BO36" s="244">
        <v>70.142832116788298</v>
      </c>
      <c r="BP36" s="244">
        <v>0</v>
      </c>
      <c r="BQ36" s="244">
        <v>34.015240875912397</v>
      </c>
      <c r="BR36" s="244">
        <v>0</v>
      </c>
      <c r="BS36" s="244">
        <v>0</v>
      </c>
      <c r="BT36" s="244">
        <v>123.73220437956201</v>
      </c>
      <c r="BU36" s="244">
        <v>443.09312408759098</v>
      </c>
      <c r="BV36" s="244">
        <v>0</v>
      </c>
      <c r="BW36" s="244">
        <v>0</v>
      </c>
      <c r="BX36" s="244">
        <v>13.052072992700699</v>
      </c>
      <c r="BY36" s="244">
        <v>0</v>
      </c>
      <c r="BZ36" s="244">
        <v>0</v>
      </c>
      <c r="CA36" s="244">
        <v>0.97810218978102204</v>
      </c>
    </row>
    <row r="37" spans="1:79">
      <c r="A37" s="245">
        <v>24104</v>
      </c>
      <c r="B37" s="243" t="s">
        <v>1660</v>
      </c>
      <c r="C37" s="212" t="s">
        <v>1625</v>
      </c>
      <c r="D37" s="246">
        <v>37</v>
      </c>
      <c r="E37" s="248">
        <v>68.163563636363605</v>
      </c>
      <c r="F37" s="244">
        <v>143.331165090909</v>
      </c>
      <c r="G37" s="244">
        <v>0.98597309090909102</v>
      </c>
      <c r="H37" s="244">
        <v>4.4265549090909104</v>
      </c>
      <c r="I37" s="244">
        <v>5.5157170909090896</v>
      </c>
      <c r="J37" s="244">
        <v>1.74712</v>
      </c>
      <c r="K37" s="244">
        <v>3.1473636363636398E-2</v>
      </c>
      <c r="L37" s="244">
        <v>4.40133636363636E-2</v>
      </c>
      <c r="M37" s="244">
        <v>0.250995090909091</v>
      </c>
      <c r="N37" s="244">
        <v>0.285168363636364</v>
      </c>
      <c r="O37" s="244">
        <v>0.12087545454545499</v>
      </c>
      <c r="P37" s="244">
        <v>11.233465454545501</v>
      </c>
      <c r="Q37" s="244">
        <v>0</v>
      </c>
      <c r="R37" s="244">
        <v>10.061746636363599</v>
      </c>
      <c r="S37" s="244">
        <v>0.36941818181818198</v>
      </c>
      <c r="T37" s="244">
        <v>0.186505454545455</v>
      </c>
      <c r="U37" s="244">
        <v>25.542421818181801</v>
      </c>
      <c r="V37" s="244">
        <v>0</v>
      </c>
      <c r="W37" s="244">
        <v>5.0889974545454599</v>
      </c>
      <c r="X37" s="244">
        <v>0.72</v>
      </c>
      <c r="Y37" s="244">
        <v>45.442651454545498</v>
      </c>
      <c r="Z37" s="244">
        <v>165.087669090909</v>
      </c>
      <c r="AA37" s="244">
        <v>0</v>
      </c>
      <c r="AB37" s="244">
        <v>0</v>
      </c>
      <c r="AC37" s="244">
        <v>29.923783090909101</v>
      </c>
      <c r="AD37" s="244">
        <v>27.048818181818199</v>
      </c>
      <c r="AE37" s="244">
        <v>0.18905163636363601</v>
      </c>
      <c r="AF37" s="244">
        <v>0.86334545454545497</v>
      </c>
      <c r="AG37" s="244">
        <v>0.247942545454545</v>
      </c>
      <c r="AH37" s="244">
        <v>27.702454545454501</v>
      </c>
      <c r="AI37" s="244">
        <v>255.48150909090899</v>
      </c>
      <c r="AJ37" s="244">
        <v>0.73670181818181801</v>
      </c>
      <c r="AK37" s="244">
        <v>0.39009818181818201</v>
      </c>
      <c r="AL37" s="244">
        <v>0.70827272727272705</v>
      </c>
      <c r="AM37" s="244">
        <v>1.0217454545454501</v>
      </c>
      <c r="AN37" s="244">
        <v>2.5637090909090898</v>
      </c>
      <c r="AO37" s="244">
        <v>0</v>
      </c>
      <c r="AP37" s="244">
        <v>1.6185454545454499E-2</v>
      </c>
      <c r="AQ37" s="244">
        <v>3.2076363636363597E-2</v>
      </c>
      <c r="AR37" s="244">
        <v>5.5036363636363599E-2</v>
      </c>
      <c r="AS37" s="244">
        <v>3.5812727272727302E-2</v>
      </c>
      <c r="AT37" s="244">
        <v>9.7254545454545493E-3</v>
      </c>
      <c r="AU37" s="244">
        <v>8.3763636363636401E-3</v>
      </c>
      <c r="AV37" s="244">
        <v>3.7576363636363602E-2</v>
      </c>
      <c r="AW37" s="244">
        <v>3.38072727272727E-2</v>
      </c>
      <c r="AX37" s="244">
        <v>9.0381818181818202E-3</v>
      </c>
      <c r="AY37" s="244">
        <v>4.0463636363636403E-2</v>
      </c>
      <c r="AZ37" s="244">
        <v>5.3598181818181802E-2</v>
      </c>
      <c r="BA37" s="244">
        <v>5.6645454545454603E-2</v>
      </c>
      <c r="BB37" s="244">
        <v>0.110032727272727</v>
      </c>
      <c r="BC37" s="244">
        <v>0.14771999999999999</v>
      </c>
      <c r="BD37" s="244">
        <v>4.3058181818181801E-2</v>
      </c>
      <c r="BE37" s="244">
        <v>3.2027272727272703E-2</v>
      </c>
      <c r="BF37" s="244">
        <v>3.8050909090909101E-2</v>
      </c>
      <c r="BG37" s="244">
        <v>2.7016363636363599E-2</v>
      </c>
      <c r="BH37" s="244">
        <v>19.4758</v>
      </c>
      <c r="BI37" s="244">
        <v>26.3945636363636</v>
      </c>
      <c r="BJ37" s="244">
        <v>4.8436363636363602</v>
      </c>
      <c r="BK37" s="244">
        <v>5.0196363636363603</v>
      </c>
      <c r="BL37" s="244">
        <v>0</v>
      </c>
      <c r="BM37" s="244">
        <v>0</v>
      </c>
      <c r="BN37" s="244">
        <v>0.16232727272727299</v>
      </c>
      <c r="BO37" s="244">
        <v>37.710327272727298</v>
      </c>
      <c r="BP37" s="244">
        <v>2.88</v>
      </c>
      <c r="BQ37" s="244">
        <v>39.631472727272701</v>
      </c>
      <c r="BR37" s="244">
        <v>0.16619999999999999</v>
      </c>
      <c r="BS37" s="244">
        <v>1.4999999999999999E-2</v>
      </c>
      <c r="BT37" s="244">
        <v>91.720872727272706</v>
      </c>
      <c r="BU37" s="244">
        <v>23.152945454545499</v>
      </c>
      <c r="BV37" s="244">
        <v>3.38</v>
      </c>
      <c r="BW37" s="244">
        <v>0</v>
      </c>
      <c r="BX37" s="244">
        <v>17.1312363636364</v>
      </c>
      <c r="BY37" s="244">
        <v>4.3799999999999999E-2</v>
      </c>
      <c r="BZ37" s="244">
        <v>0</v>
      </c>
      <c r="CA37" s="244">
        <v>1.3654545454545499</v>
      </c>
    </row>
    <row r="38" spans="1:79">
      <c r="A38" s="245">
        <v>24304</v>
      </c>
      <c r="B38" s="243" t="s">
        <v>1661</v>
      </c>
      <c r="C38" s="212" t="s">
        <v>1625</v>
      </c>
      <c r="D38" s="246">
        <v>38</v>
      </c>
      <c r="E38" s="248">
        <v>121</v>
      </c>
      <c r="F38" s="244">
        <v>101.65193989071</v>
      </c>
      <c r="G38" s="244">
        <v>1.5032240437158499</v>
      </c>
      <c r="H38" s="244">
        <v>7.3509836065573797</v>
      </c>
      <c r="I38" s="244">
        <v>11.2241256830601</v>
      </c>
      <c r="J38" s="244">
        <v>2.6854918032786901</v>
      </c>
      <c r="K38" s="244">
        <v>5.8527322404371598E-2</v>
      </c>
      <c r="L38" s="244">
        <v>8.2338797814207706E-2</v>
      </c>
      <c r="M38" s="244">
        <v>0.38594262295081999</v>
      </c>
      <c r="N38" s="244">
        <v>0.49490163934426201</v>
      </c>
      <c r="O38" s="244">
        <v>0.236271584699454</v>
      </c>
      <c r="P38" s="244">
        <v>17.785748633879798</v>
      </c>
      <c r="Q38" s="244">
        <v>0</v>
      </c>
      <c r="R38" s="244">
        <v>15.4791409836066</v>
      </c>
      <c r="S38" s="244">
        <v>0.47336065573770503</v>
      </c>
      <c r="T38" s="244">
        <v>0.19728415300546501</v>
      </c>
      <c r="U38" s="244">
        <v>29.926245901639302</v>
      </c>
      <c r="V38" s="244">
        <v>0</v>
      </c>
      <c r="W38" s="244">
        <v>3.31198360655738</v>
      </c>
      <c r="X38" s="244">
        <v>0</v>
      </c>
      <c r="Y38" s="244">
        <v>22.462209016393398</v>
      </c>
      <c r="Z38" s="244">
        <v>52.601062841530002</v>
      </c>
      <c r="AA38" s="244">
        <v>0</v>
      </c>
      <c r="AB38" s="244">
        <v>0</v>
      </c>
      <c r="AC38" s="244">
        <v>69.562627049180307</v>
      </c>
      <c r="AD38" s="244">
        <v>29.6614754098361</v>
      </c>
      <c r="AE38" s="244">
        <v>0.36398907103825101</v>
      </c>
      <c r="AF38" s="244">
        <v>0.93734972677595596</v>
      </c>
      <c r="AG38" s="244">
        <v>0.32853551912568302</v>
      </c>
      <c r="AH38" s="244">
        <v>45.438524590163901</v>
      </c>
      <c r="AI38" s="244">
        <v>392.56557377049199</v>
      </c>
      <c r="AJ38" s="244">
        <v>1.14030054644809</v>
      </c>
      <c r="AK38" s="244">
        <v>0.70196721311475396</v>
      </c>
      <c r="AL38" s="244">
        <v>1.18120218579235</v>
      </c>
      <c r="AM38" s="244">
        <v>1.6474043715847</v>
      </c>
      <c r="AN38" s="244">
        <v>4.3170491803278699</v>
      </c>
      <c r="AO38" s="244">
        <v>0</v>
      </c>
      <c r="AP38" s="244">
        <v>2.45819672131148E-2</v>
      </c>
      <c r="AQ38" s="244">
        <v>5.0191256830601098E-2</v>
      </c>
      <c r="AR38" s="244">
        <v>8.7158469945355199E-2</v>
      </c>
      <c r="AS38" s="244">
        <v>6.15136612021858E-2</v>
      </c>
      <c r="AT38" s="244">
        <v>1.61502732240437E-2</v>
      </c>
      <c r="AU38" s="244">
        <v>1.3688524590163899E-2</v>
      </c>
      <c r="AV38" s="244">
        <v>6.1890710382513703E-2</v>
      </c>
      <c r="AW38" s="244">
        <v>5.3803278688524601E-2</v>
      </c>
      <c r="AX38" s="244">
        <v>1.4322404371584699E-2</v>
      </c>
      <c r="AY38" s="244">
        <v>6.2912568306010899E-2</v>
      </c>
      <c r="AZ38" s="244">
        <v>8.5882513661202198E-2</v>
      </c>
      <c r="BA38" s="244">
        <v>9.1136612021857896E-2</v>
      </c>
      <c r="BB38" s="244">
        <v>0.172486338797814</v>
      </c>
      <c r="BC38" s="244">
        <v>0.25314207650273202</v>
      </c>
      <c r="BD38" s="244">
        <v>6.3622950819672106E-2</v>
      </c>
      <c r="BE38" s="244">
        <v>5.0062841530054601E-2</v>
      </c>
      <c r="BF38" s="244">
        <v>6.06775956284153E-2</v>
      </c>
      <c r="BG38" s="244">
        <v>4.3420765027322401E-2</v>
      </c>
      <c r="BH38" s="244">
        <v>32.577459016393497</v>
      </c>
      <c r="BI38" s="244">
        <v>49.939289617486303</v>
      </c>
      <c r="BJ38" s="244">
        <v>8.3087431693989107</v>
      </c>
      <c r="BK38" s="244">
        <v>10.524043715847</v>
      </c>
      <c r="BL38" s="244">
        <v>0</v>
      </c>
      <c r="BM38" s="244">
        <v>0</v>
      </c>
      <c r="BN38" s="244">
        <v>0.198196721311475</v>
      </c>
      <c r="BO38" s="244">
        <v>58.3135792349727</v>
      </c>
      <c r="BP38" s="244">
        <v>0</v>
      </c>
      <c r="BQ38" s="244">
        <v>15.2073770491803</v>
      </c>
      <c r="BR38" s="244">
        <v>0</v>
      </c>
      <c r="BS38" s="244">
        <v>0</v>
      </c>
      <c r="BT38" s="244">
        <v>130.11270491803299</v>
      </c>
      <c r="BU38" s="244">
        <v>35.062677595628401</v>
      </c>
      <c r="BV38" s="244">
        <v>0</v>
      </c>
      <c r="BW38" s="244">
        <v>0</v>
      </c>
      <c r="BX38" s="244">
        <v>25.314316939890698</v>
      </c>
      <c r="BY38" s="244">
        <v>0</v>
      </c>
      <c r="BZ38" s="244">
        <v>0</v>
      </c>
      <c r="CA38" s="244">
        <v>1.7158469945355199</v>
      </c>
    </row>
    <row r="39" spans="1:79">
      <c r="A39" s="245">
        <v>23302</v>
      </c>
      <c r="B39" s="243" t="s">
        <v>1662</v>
      </c>
      <c r="C39" s="212" t="s">
        <v>1625</v>
      </c>
      <c r="D39" s="246">
        <v>39</v>
      </c>
      <c r="E39" s="248">
        <v>109.339892665474</v>
      </c>
      <c r="F39" s="244">
        <v>151.96509838998199</v>
      </c>
      <c r="G39" s="244">
        <v>2.25121645796064</v>
      </c>
      <c r="H39" s="244">
        <v>6.2380143112701303</v>
      </c>
      <c r="I39" s="244">
        <v>11.7756171735242</v>
      </c>
      <c r="J39" s="244">
        <v>3.5268694096601099</v>
      </c>
      <c r="K39" s="244">
        <v>9.0882289803220107E-2</v>
      </c>
      <c r="L39" s="244">
        <v>0.120366189624329</v>
      </c>
      <c r="M39" s="244">
        <v>0.79424991055456196</v>
      </c>
      <c r="N39" s="244">
        <v>0.35195617173524202</v>
      </c>
      <c r="O39" s="244">
        <v>0.22764633273703</v>
      </c>
      <c r="P39" s="244">
        <v>27.314883720930201</v>
      </c>
      <c r="Q39" s="244">
        <v>0</v>
      </c>
      <c r="R39" s="244">
        <v>23.0002769230769</v>
      </c>
      <c r="S39" s="244">
        <v>0.47237924865831799</v>
      </c>
      <c r="T39" s="244">
        <v>0.57928085867620804</v>
      </c>
      <c r="U39" s="244">
        <v>56.821041144901599</v>
      </c>
      <c r="V39" s="244">
        <v>0</v>
      </c>
      <c r="W39" s="244">
        <v>32.330731663685199</v>
      </c>
      <c r="X39" s="244">
        <v>48.543649373881898</v>
      </c>
      <c r="Y39" s="244">
        <v>353.86535241502702</v>
      </c>
      <c r="Z39" s="244">
        <v>796.52465474060796</v>
      </c>
      <c r="AA39" s="244">
        <v>0</v>
      </c>
      <c r="AB39" s="244">
        <v>0</v>
      </c>
      <c r="AC39" s="244">
        <v>48.425484794275498</v>
      </c>
      <c r="AD39" s="244">
        <v>46.377924865831801</v>
      </c>
      <c r="AE39" s="244">
        <v>0.28230411449016102</v>
      </c>
      <c r="AF39" s="244">
        <v>1.39915921288014</v>
      </c>
      <c r="AG39" s="244">
        <v>0.32781037567084098</v>
      </c>
      <c r="AH39" s="244">
        <v>50.232540250447201</v>
      </c>
      <c r="AI39" s="244">
        <v>325.85055456171699</v>
      </c>
      <c r="AJ39" s="244">
        <v>0.81694096601073296</v>
      </c>
      <c r="AK39" s="244">
        <v>0.62296958855098405</v>
      </c>
      <c r="AL39" s="244">
        <v>1.00273703041145</v>
      </c>
      <c r="AM39" s="244">
        <v>1.3940071556350599</v>
      </c>
      <c r="AN39" s="244">
        <v>3.6323023255814002</v>
      </c>
      <c r="AO39" s="244">
        <v>0</v>
      </c>
      <c r="AP39" s="244">
        <v>3.7735241502683398E-2</v>
      </c>
      <c r="AQ39" s="244">
        <v>7.6969588550983903E-2</v>
      </c>
      <c r="AR39" s="244">
        <v>0.13258318425760299</v>
      </c>
      <c r="AS39" s="244">
        <v>0.102159212880143</v>
      </c>
      <c r="AT39" s="244">
        <v>2.4218246869409699E-2</v>
      </c>
      <c r="AU39" s="244">
        <v>2.0178890876565301E-2</v>
      </c>
      <c r="AV39" s="244">
        <v>8.46994633273703E-2</v>
      </c>
      <c r="AW39" s="244">
        <v>8.9216457960643994E-2</v>
      </c>
      <c r="AX39" s="244">
        <v>2.4180679785331002E-2</v>
      </c>
      <c r="AY39" s="244">
        <v>9.8627906976744201E-2</v>
      </c>
      <c r="AZ39" s="244">
        <v>0.10828443649373901</v>
      </c>
      <c r="BA39" s="244">
        <v>9.5293381037567099E-2</v>
      </c>
      <c r="BB39" s="244">
        <v>0.29680679785330899</v>
      </c>
      <c r="BC39" s="244">
        <v>0.28195885509839003</v>
      </c>
      <c r="BD39" s="244">
        <v>8.0175313059033998E-2</v>
      </c>
      <c r="BE39" s="244">
        <v>7.8141323792486603E-2</v>
      </c>
      <c r="BF39" s="244">
        <v>0.10694812164579599</v>
      </c>
      <c r="BG39" s="244">
        <v>5.63327370304115E-2</v>
      </c>
      <c r="BH39" s="244">
        <v>20.325366726296998</v>
      </c>
      <c r="BI39" s="244">
        <v>27.7614847942755</v>
      </c>
      <c r="BJ39" s="244">
        <v>8.5259391771019697</v>
      </c>
      <c r="BK39" s="244">
        <v>18.561001788908801</v>
      </c>
      <c r="BL39" s="244">
        <v>0</v>
      </c>
      <c r="BM39" s="244">
        <v>0</v>
      </c>
      <c r="BN39" s="244">
        <v>0.209624329159213</v>
      </c>
      <c r="BO39" s="244">
        <v>25.220787119856901</v>
      </c>
      <c r="BP39" s="244">
        <v>7.9856887298747798</v>
      </c>
      <c r="BQ39" s="244">
        <v>22.5520930232558</v>
      </c>
      <c r="BR39" s="244">
        <v>0.46084078711985699</v>
      </c>
      <c r="BS39" s="244">
        <v>4.1592128801431101E-2</v>
      </c>
      <c r="BT39" s="244">
        <v>73.375384615384604</v>
      </c>
      <c r="BU39" s="244">
        <v>24.478175313059001</v>
      </c>
      <c r="BV39" s="244">
        <v>9.3720930232558199</v>
      </c>
      <c r="BW39" s="244">
        <v>0</v>
      </c>
      <c r="BX39" s="244">
        <v>6.2145080500894503</v>
      </c>
      <c r="BY39" s="244">
        <v>0.121449016100179</v>
      </c>
      <c r="BZ39" s="244">
        <v>0</v>
      </c>
      <c r="CA39" s="244">
        <v>1.3559928443649401</v>
      </c>
    </row>
    <row r="40" spans="1:79">
      <c r="A40" s="245">
        <v>25305</v>
      </c>
      <c r="B40" s="243" t="s">
        <v>1663</v>
      </c>
      <c r="C40" s="212" t="s">
        <v>1625</v>
      </c>
      <c r="D40" s="246">
        <v>40</v>
      </c>
      <c r="E40" s="248">
        <v>91.278859857482203</v>
      </c>
      <c r="F40" s="244">
        <v>150.974014251781</v>
      </c>
      <c r="G40" s="244">
        <v>2.1632541567696002</v>
      </c>
      <c r="H40" s="244">
        <v>6.9532779097387198</v>
      </c>
      <c r="I40" s="244">
        <v>3.83306413301663</v>
      </c>
      <c r="J40" s="244">
        <v>3.3199524940617602</v>
      </c>
      <c r="K40" s="244">
        <v>8.4769596199524996E-2</v>
      </c>
      <c r="L40" s="244">
        <v>8.3176959619952501E-2</v>
      </c>
      <c r="M40" s="244">
        <v>0.75732779097387204</v>
      </c>
      <c r="N40" s="244">
        <v>0.25814251781472702</v>
      </c>
      <c r="O40" s="244">
        <v>0.121558194774347</v>
      </c>
      <c r="P40" s="244">
        <v>14.5497149643705</v>
      </c>
      <c r="Q40" s="244">
        <v>0</v>
      </c>
      <c r="R40" s="244">
        <v>24.023771971496402</v>
      </c>
      <c r="S40" s="244">
        <v>1.19817102137767</v>
      </c>
      <c r="T40" s="244">
        <v>1.37097862232779</v>
      </c>
      <c r="U40" s="244">
        <v>96.588688836104495</v>
      </c>
      <c r="V40" s="244">
        <v>0</v>
      </c>
      <c r="W40" s="244">
        <v>382.06155819477402</v>
      </c>
      <c r="X40" s="244">
        <v>531.75890736342103</v>
      </c>
      <c r="Y40" s="244">
        <v>3211.5428812351502</v>
      </c>
      <c r="Z40" s="244">
        <v>178.417529691211</v>
      </c>
      <c r="AA40" s="244">
        <v>0</v>
      </c>
      <c r="AB40" s="244">
        <v>0</v>
      </c>
      <c r="AC40" s="244">
        <v>37.700484560570104</v>
      </c>
      <c r="AD40" s="244">
        <v>70.230498812351499</v>
      </c>
      <c r="AE40" s="244">
        <v>0.31943942992874103</v>
      </c>
      <c r="AF40" s="244">
        <v>1.440783847981</v>
      </c>
      <c r="AG40" s="244">
        <v>0.17473634204275501</v>
      </c>
      <c r="AH40" s="244">
        <v>30.671686460807599</v>
      </c>
      <c r="AI40" s="244">
        <v>460.53</v>
      </c>
      <c r="AJ40" s="244">
        <v>0.52261282660332498</v>
      </c>
      <c r="AK40" s="244">
        <v>0.31831353919239902</v>
      </c>
      <c r="AL40" s="244">
        <v>1.0699287410926399</v>
      </c>
      <c r="AM40" s="244">
        <v>1.5848693586698299</v>
      </c>
      <c r="AN40" s="244">
        <v>3.8538479809976298</v>
      </c>
      <c r="AO40" s="244">
        <v>0</v>
      </c>
      <c r="AP40" s="244">
        <v>2.39833729216152E-2</v>
      </c>
      <c r="AQ40" s="244">
        <v>6.2370546318289803E-2</v>
      </c>
      <c r="AR40" s="244">
        <v>7.4137767220902595E-2</v>
      </c>
      <c r="AS40" s="244">
        <v>4.9874109263657998E-2</v>
      </c>
      <c r="AT40" s="244">
        <v>1.54821852731591E-2</v>
      </c>
      <c r="AU40" s="244">
        <v>1.41710213776722E-2</v>
      </c>
      <c r="AV40" s="244">
        <v>6.5653206650831394E-2</v>
      </c>
      <c r="AW40" s="244">
        <v>5.2249406175771999E-2</v>
      </c>
      <c r="AX40" s="244">
        <v>1.12161520190024E-2</v>
      </c>
      <c r="AY40" s="244">
        <v>7.6828978622327807E-2</v>
      </c>
      <c r="AZ40" s="244">
        <v>6.9358669833729195E-2</v>
      </c>
      <c r="BA40" s="244">
        <v>8.9890736342042796E-2</v>
      </c>
      <c r="BB40" s="244">
        <v>0.18219239904988099</v>
      </c>
      <c r="BC40" s="244">
        <v>0.28176484560570098</v>
      </c>
      <c r="BD40" s="244">
        <v>6.8370546318289802E-2</v>
      </c>
      <c r="BE40" s="244">
        <v>5.4755344418052299E-2</v>
      </c>
      <c r="BF40" s="244">
        <v>5.9912114014251797E-2</v>
      </c>
      <c r="BG40" s="244">
        <v>4.1033254156769602E-2</v>
      </c>
      <c r="BH40" s="244">
        <v>27.7708788598575</v>
      </c>
      <c r="BI40" s="244">
        <v>26.764109263658</v>
      </c>
      <c r="BJ40" s="244">
        <v>1.52256532066508</v>
      </c>
      <c r="BK40" s="244">
        <v>2.6439429928741101</v>
      </c>
      <c r="BL40" s="244">
        <v>0</v>
      </c>
      <c r="BM40" s="244">
        <v>0</v>
      </c>
      <c r="BN40" s="244">
        <v>1.5138242280284999</v>
      </c>
      <c r="BO40" s="244">
        <v>60.892684085510702</v>
      </c>
      <c r="BP40" s="244">
        <v>0</v>
      </c>
      <c r="BQ40" s="244">
        <v>74.237980997624703</v>
      </c>
      <c r="BR40" s="244">
        <v>0</v>
      </c>
      <c r="BS40" s="244">
        <v>0</v>
      </c>
      <c r="BT40" s="244">
        <v>97.732826603325407</v>
      </c>
      <c r="BU40" s="244">
        <v>34.519311163895502</v>
      </c>
      <c r="BV40" s="244">
        <v>0</v>
      </c>
      <c r="BW40" s="244">
        <v>0</v>
      </c>
      <c r="BX40" s="244">
        <v>14.030237529691201</v>
      </c>
      <c r="BY40" s="244">
        <v>0</v>
      </c>
      <c r="BZ40" s="244">
        <v>0</v>
      </c>
      <c r="CA40" s="244">
        <v>0.95961995249406196</v>
      </c>
    </row>
    <row r="41" spans="1:79">
      <c r="A41" s="245">
        <v>23604</v>
      </c>
      <c r="B41" s="243" t="s">
        <v>1664</v>
      </c>
      <c r="C41" s="212" t="s">
        <v>1625</v>
      </c>
      <c r="D41" s="246">
        <v>41</v>
      </c>
      <c r="E41" s="248">
        <v>340.15384615384602</v>
      </c>
      <c r="F41" s="244">
        <v>26.3781065088757</v>
      </c>
      <c r="G41" s="244">
        <v>17.405147928994101</v>
      </c>
      <c r="H41" s="244">
        <v>10.771420118343199</v>
      </c>
      <c r="I41" s="244">
        <v>37.043017751479297</v>
      </c>
      <c r="J41" s="244">
        <v>12.830443786982199</v>
      </c>
      <c r="K41" s="244">
        <v>0.28230177514792898</v>
      </c>
      <c r="L41" s="244">
        <v>0.21162130177514801</v>
      </c>
      <c r="M41" s="244">
        <v>1.5834023668639099</v>
      </c>
      <c r="N41" s="244">
        <v>3.1099408284023702</v>
      </c>
      <c r="O41" s="244">
        <v>0.29178698224852101</v>
      </c>
      <c r="P41" s="244">
        <v>87.275147928994102</v>
      </c>
      <c r="Q41" s="244">
        <v>0</v>
      </c>
      <c r="R41" s="244">
        <v>6.8570710059171596</v>
      </c>
      <c r="S41" s="244">
        <v>12.965029585798799</v>
      </c>
      <c r="T41" s="244">
        <v>1.4487278106508901</v>
      </c>
      <c r="U41" s="244">
        <v>5.8779881656804696</v>
      </c>
      <c r="V41" s="244">
        <v>0</v>
      </c>
      <c r="W41" s="244">
        <v>2.0456508875739599</v>
      </c>
      <c r="X41" s="244">
        <v>0</v>
      </c>
      <c r="Y41" s="244">
        <v>24.544763313609501</v>
      </c>
      <c r="Z41" s="244">
        <v>14.4282544378698</v>
      </c>
      <c r="AA41" s="244">
        <v>0</v>
      </c>
      <c r="AB41" s="244">
        <v>0</v>
      </c>
      <c r="AC41" s="244">
        <v>1.8792899408284001</v>
      </c>
      <c r="AD41" s="244">
        <v>145.77600591716001</v>
      </c>
      <c r="AE41" s="244">
        <v>0.90215976331361003</v>
      </c>
      <c r="AF41" s="244">
        <v>4.7209763313609496</v>
      </c>
      <c r="AG41" s="244">
        <v>0.85850887573964496</v>
      </c>
      <c r="AH41" s="244">
        <v>266.09171597633099</v>
      </c>
      <c r="AI41" s="244">
        <v>907.61813609467504</v>
      </c>
      <c r="AJ41" s="244">
        <v>2.4492603550295899</v>
      </c>
      <c r="AK41" s="244">
        <v>1.9382840236686401</v>
      </c>
      <c r="AL41" s="244">
        <v>0.73041420118343203</v>
      </c>
      <c r="AM41" s="244">
        <v>6.3054437869822504</v>
      </c>
      <c r="AN41" s="244">
        <v>1.97837278106509</v>
      </c>
      <c r="AO41" s="244">
        <v>0</v>
      </c>
      <c r="AP41" s="244">
        <v>0.47999408284023698</v>
      </c>
      <c r="AQ41" s="244">
        <v>0.58149704142011804</v>
      </c>
      <c r="AR41" s="244">
        <v>1.2783313609467499</v>
      </c>
      <c r="AS41" s="244">
        <v>1.0717662721893499</v>
      </c>
      <c r="AT41" s="244">
        <v>0.19973076923076899</v>
      </c>
      <c r="AU41" s="244">
        <v>0.10524260355029599</v>
      </c>
      <c r="AV41" s="244">
        <v>0.99744970414201195</v>
      </c>
      <c r="AW41" s="244">
        <v>0.49433431952662699</v>
      </c>
      <c r="AX41" s="244">
        <v>0.166970414201183</v>
      </c>
      <c r="AY41" s="244">
        <v>0.70129585798816596</v>
      </c>
      <c r="AZ41" s="244">
        <v>0.79391124260354995</v>
      </c>
      <c r="BA41" s="244">
        <v>1.0817248520710101</v>
      </c>
      <c r="BB41" s="244">
        <v>2.2395443786982199</v>
      </c>
      <c r="BC41" s="244">
        <v>3.2655502958579898</v>
      </c>
      <c r="BD41" s="244">
        <v>0.65307988165680497</v>
      </c>
      <c r="BE41" s="244">
        <v>0.68587869822485203</v>
      </c>
      <c r="BF41" s="244">
        <v>0.895174556213018</v>
      </c>
      <c r="BG41" s="244">
        <v>0.52288461538461495</v>
      </c>
      <c r="BH41" s="244">
        <v>11.7767455621302</v>
      </c>
      <c r="BI41" s="244">
        <v>510.97210059171601</v>
      </c>
      <c r="BJ41" s="244">
        <v>1.84023668639053</v>
      </c>
      <c r="BK41" s="244">
        <v>26.3692307692308</v>
      </c>
      <c r="BL41" s="244">
        <v>0</v>
      </c>
      <c r="BM41" s="244">
        <v>0</v>
      </c>
      <c r="BN41" s="244">
        <v>0.280650887573965</v>
      </c>
      <c r="BO41" s="244">
        <v>177.87423076923099</v>
      </c>
      <c r="BP41" s="244">
        <v>0</v>
      </c>
      <c r="BQ41" s="244">
        <v>146.85881656804699</v>
      </c>
      <c r="BR41" s="244">
        <v>0</v>
      </c>
      <c r="BS41" s="244">
        <v>0</v>
      </c>
      <c r="BT41" s="244">
        <v>166.461301775148</v>
      </c>
      <c r="BU41" s="244">
        <v>428.64778106508902</v>
      </c>
      <c r="BV41" s="244">
        <v>0</v>
      </c>
      <c r="BW41" s="244">
        <v>0</v>
      </c>
      <c r="BX41" s="244">
        <v>50.601508875739597</v>
      </c>
      <c r="BY41" s="244">
        <v>0</v>
      </c>
      <c r="BZ41" s="244">
        <v>0</v>
      </c>
      <c r="CA41" s="244">
        <v>2.0887573964496999</v>
      </c>
    </row>
    <row r="42" spans="1:79">
      <c r="A42" s="245">
        <v>25604</v>
      </c>
      <c r="B42" s="243" t="s">
        <v>1665</v>
      </c>
      <c r="C42" s="212" t="s">
        <v>1625</v>
      </c>
      <c r="D42" s="246">
        <v>42</v>
      </c>
      <c r="E42" s="248">
        <v>90.327338129496397</v>
      </c>
      <c r="F42" s="244">
        <v>105.678345323741</v>
      </c>
      <c r="G42" s="244">
        <v>3.5091366906474799</v>
      </c>
      <c r="H42" s="244">
        <v>3.7020143884892098</v>
      </c>
      <c r="I42" s="244">
        <v>8.2332374100719399</v>
      </c>
      <c r="J42" s="244">
        <v>4.9537410071942496</v>
      </c>
      <c r="K42" s="244">
        <v>0.10410791366906499</v>
      </c>
      <c r="L42" s="244">
        <v>7.2796762589928093E-2</v>
      </c>
      <c r="M42" s="244">
        <v>0.90706834532374103</v>
      </c>
      <c r="N42" s="244">
        <v>0.22268705035971201</v>
      </c>
      <c r="O42" s="244">
        <v>0.19347122302158301</v>
      </c>
      <c r="P42" s="244">
        <v>31.4359712230216</v>
      </c>
      <c r="Q42" s="244">
        <v>0</v>
      </c>
      <c r="R42" s="244">
        <v>63.333809352518003</v>
      </c>
      <c r="S42" s="244">
        <v>1.9751079136690699</v>
      </c>
      <c r="T42" s="244">
        <v>1.5224820143884901</v>
      </c>
      <c r="U42" s="244">
        <v>23.4942086330935</v>
      </c>
      <c r="V42" s="244">
        <v>0</v>
      </c>
      <c r="W42" s="244">
        <v>72.798924460431707</v>
      </c>
      <c r="X42" s="244">
        <v>86.7302158273381</v>
      </c>
      <c r="Y42" s="244">
        <v>753.91147841726604</v>
      </c>
      <c r="Z42" s="244">
        <v>126.647553956835</v>
      </c>
      <c r="AA42" s="244">
        <v>2.4773956834532398</v>
      </c>
      <c r="AB42" s="244">
        <v>108.708992805755</v>
      </c>
      <c r="AC42" s="244">
        <v>184.65395683453201</v>
      </c>
      <c r="AD42" s="244">
        <v>32.538568345323696</v>
      </c>
      <c r="AE42" s="244">
        <v>0.34511870503597097</v>
      </c>
      <c r="AF42" s="244">
        <v>1.67672661870504</v>
      </c>
      <c r="AG42" s="244">
        <v>0.401920863309353</v>
      </c>
      <c r="AH42" s="244">
        <v>44.726388489208603</v>
      </c>
      <c r="AI42" s="244">
        <v>277.41237410071898</v>
      </c>
      <c r="AJ42" s="244">
        <v>6.5193165467625898</v>
      </c>
      <c r="AK42" s="244">
        <v>0.51850719424460401</v>
      </c>
      <c r="AL42" s="244">
        <v>0.39431654676258998</v>
      </c>
      <c r="AM42" s="244">
        <v>1.9475539568345299</v>
      </c>
      <c r="AN42" s="244">
        <v>0.73173741007194304</v>
      </c>
      <c r="AO42" s="244">
        <v>0</v>
      </c>
      <c r="AP42" s="244">
        <v>7.6251798561151093E-2</v>
      </c>
      <c r="AQ42" s="244">
        <v>0.11487769784172699</v>
      </c>
      <c r="AR42" s="244">
        <v>0.18064748201438899</v>
      </c>
      <c r="AS42" s="244">
        <v>0.14259712230215801</v>
      </c>
      <c r="AT42" s="244">
        <v>3.9057553956834502E-2</v>
      </c>
      <c r="AU42" s="244">
        <v>3.2888489208633097E-2</v>
      </c>
      <c r="AV42" s="244">
        <v>0.100424460431655</v>
      </c>
      <c r="AW42" s="244">
        <v>0.116561151079137</v>
      </c>
      <c r="AX42" s="244">
        <v>3.1658273381295003E-2</v>
      </c>
      <c r="AY42" s="244">
        <v>0.15231654676258999</v>
      </c>
      <c r="AZ42" s="244">
        <v>0.133651079136691</v>
      </c>
      <c r="BA42" s="244">
        <v>0.27684532374100701</v>
      </c>
      <c r="BB42" s="244">
        <v>0.276571942446043</v>
      </c>
      <c r="BC42" s="244">
        <v>0.361179856115108</v>
      </c>
      <c r="BD42" s="244">
        <v>0.14191007194244601</v>
      </c>
      <c r="BE42" s="244">
        <v>0.13166187050359701</v>
      </c>
      <c r="BF42" s="244">
        <v>0.111726618705036</v>
      </c>
      <c r="BG42" s="244">
        <v>0.104129496402878</v>
      </c>
      <c r="BH42" s="244">
        <v>71.973381294964</v>
      </c>
      <c r="BI42" s="244">
        <v>35.533956834532397</v>
      </c>
      <c r="BJ42" s="244">
        <v>5.5359712230215798</v>
      </c>
      <c r="BK42" s="244">
        <v>3.5564748201438801</v>
      </c>
      <c r="BL42" s="244">
        <v>0</v>
      </c>
      <c r="BM42" s="244">
        <v>0</v>
      </c>
      <c r="BN42" s="244">
        <v>7.5850359712230198</v>
      </c>
      <c r="BO42" s="244">
        <v>154.57223021582701</v>
      </c>
      <c r="BP42" s="244">
        <v>0</v>
      </c>
      <c r="BQ42" s="244">
        <v>59.643669064748202</v>
      </c>
      <c r="BR42" s="244">
        <v>0.50989208633093497</v>
      </c>
      <c r="BS42" s="244">
        <v>0</v>
      </c>
      <c r="BT42" s="244">
        <v>266.56</v>
      </c>
      <c r="BU42" s="244">
        <v>38.1690647482014</v>
      </c>
      <c r="BV42" s="244">
        <v>0</v>
      </c>
      <c r="BW42" s="244">
        <v>0</v>
      </c>
      <c r="BX42" s="244">
        <v>65.937050359712202</v>
      </c>
      <c r="BY42" s="244">
        <v>0</v>
      </c>
      <c r="BZ42" s="244">
        <v>0</v>
      </c>
      <c r="CA42" s="244">
        <v>1.4244604316546801</v>
      </c>
    </row>
    <row r="43" spans="1:79">
      <c r="A43" s="245">
        <v>25603</v>
      </c>
      <c r="B43" s="243" t="s">
        <v>1666</v>
      </c>
      <c r="C43" s="212" t="s">
        <v>1625</v>
      </c>
      <c r="D43" s="246">
        <v>43</v>
      </c>
      <c r="E43" s="248">
        <v>70.426294820717104</v>
      </c>
      <c r="F43" s="244">
        <v>114.21438247012</v>
      </c>
      <c r="G43" s="244">
        <v>2.8310756972111601</v>
      </c>
      <c r="H43" s="244">
        <v>3.0938247011952198</v>
      </c>
      <c r="I43" s="244">
        <v>5.7259760956175301</v>
      </c>
      <c r="J43" s="244">
        <v>4.3901593625497997</v>
      </c>
      <c r="K43" s="244">
        <v>0.106695219123506</v>
      </c>
      <c r="L43" s="244">
        <v>8.4239043824701196E-2</v>
      </c>
      <c r="M43" s="244">
        <v>0.92015936254980102</v>
      </c>
      <c r="N43" s="244">
        <v>0.25590438247011998</v>
      </c>
      <c r="O43" s="244">
        <v>0.23205179282868499</v>
      </c>
      <c r="P43" s="244">
        <v>14.9553784860558</v>
      </c>
      <c r="Q43" s="244">
        <v>0</v>
      </c>
      <c r="R43" s="244">
        <v>18.521334661354601</v>
      </c>
      <c r="S43" s="244">
        <v>0.99760956175298798</v>
      </c>
      <c r="T43" s="244">
        <v>2.2658964143426301</v>
      </c>
      <c r="U43" s="244">
        <v>93.987649402390502</v>
      </c>
      <c r="V43" s="244">
        <v>0</v>
      </c>
      <c r="W43" s="244">
        <v>401.70574103585699</v>
      </c>
      <c r="X43" s="244">
        <v>507.81872509960198</v>
      </c>
      <c r="Y43" s="244">
        <v>3452.6362151394401</v>
      </c>
      <c r="Z43" s="244">
        <v>252.303386454183</v>
      </c>
      <c r="AA43" s="244">
        <v>1.82925896414343</v>
      </c>
      <c r="AB43" s="244">
        <v>80.268525896414403</v>
      </c>
      <c r="AC43" s="244">
        <v>170.79990039840601</v>
      </c>
      <c r="AD43" s="244">
        <v>66.821613545816703</v>
      </c>
      <c r="AE43" s="244">
        <v>0.28224103585657401</v>
      </c>
      <c r="AF43" s="244">
        <v>0.86205179282868505</v>
      </c>
      <c r="AG43" s="244">
        <v>0.206358565737052</v>
      </c>
      <c r="AH43" s="244">
        <v>41.442231075697201</v>
      </c>
      <c r="AI43" s="244">
        <v>344.55079681274901</v>
      </c>
      <c r="AJ43" s="244">
        <v>1.4576494023904401</v>
      </c>
      <c r="AK43" s="244">
        <v>0.31257968127489999</v>
      </c>
      <c r="AL43" s="244">
        <v>0.24505976095617499</v>
      </c>
      <c r="AM43" s="244">
        <v>1.62569721115538</v>
      </c>
      <c r="AN43" s="244">
        <v>0.60980876494023895</v>
      </c>
      <c r="AO43" s="244">
        <v>0</v>
      </c>
      <c r="AP43" s="244">
        <v>3.6402390438247001E-2</v>
      </c>
      <c r="AQ43" s="244">
        <v>8.3482071713147393E-2</v>
      </c>
      <c r="AR43" s="244">
        <v>0.111752988047809</v>
      </c>
      <c r="AS43" s="244">
        <v>7.4972111553784901E-2</v>
      </c>
      <c r="AT43" s="244">
        <v>2.3067729083665299E-2</v>
      </c>
      <c r="AU43" s="244">
        <v>2.5613545816733099E-2</v>
      </c>
      <c r="AV43" s="244">
        <v>9.5633466135458201E-2</v>
      </c>
      <c r="AW43" s="244">
        <v>7.6920318725099607E-2</v>
      </c>
      <c r="AX43" s="244">
        <v>1.6764940239043801E-2</v>
      </c>
      <c r="AY43" s="244">
        <v>0.10469322709163301</v>
      </c>
      <c r="AZ43" s="244">
        <v>9.80278884462151E-2</v>
      </c>
      <c r="BA43" s="244">
        <v>0.131278884462151</v>
      </c>
      <c r="BB43" s="244">
        <v>0.26259760956175299</v>
      </c>
      <c r="BC43" s="244">
        <v>0.38970916334661398</v>
      </c>
      <c r="BD43" s="244">
        <v>9.8780876494023895E-2</v>
      </c>
      <c r="BE43" s="244">
        <v>9.0657370517928298E-2</v>
      </c>
      <c r="BF43" s="244">
        <v>8.4828685258964101E-2</v>
      </c>
      <c r="BG43" s="244">
        <v>6.0330677290836701E-2</v>
      </c>
      <c r="BH43" s="244">
        <v>35.726494023904401</v>
      </c>
      <c r="BI43" s="244">
        <v>38.815338645418301</v>
      </c>
      <c r="BJ43" s="244">
        <v>4.0358565737051801</v>
      </c>
      <c r="BK43" s="244">
        <v>3.4450199203187299</v>
      </c>
      <c r="BL43" s="244">
        <v>0</v>
      </c>
      <c r="BM43" s="244">
        <v>0</v>
      </c>
      <c r="BN43" s="244">
        <v>4.5662948207171299</v>
      </c>
      <c r="BO43" s="244">
        <v>101.11992031872499</v>
      </c>
      <c r="BP43" s="244">
        <v>0</v>
      </c>
      <c r="BQ43" s="244">
        <v>66.803386454183297</v>
      </c>
      <c r="BR43" s="244">
        <v>0.37649402390438202</v>
      </c>
      <c r="BS43" s="244">
        <v>0</v>
      </c>
      <c r="BT43" s="244">
        <v>226.88725099601601</v>
      </c>
      <c r="BU43" s="244">
        <v>40.172509960159402</v>
      </c>
      <c r="BV43" s="244">
        <v>0</v>
      </c>
      <c r="BW43" s="244">
        <v>0</v>
      </c>
      <c r="BX43" s="244">
        <v>24.8870517928287</v>
      </c>
      <c r="BY43" s="244">
        <v>0</v>
      </c>
      <c r="BZ43" s="244">
        <v>0</v>
      </c>
      <c r="CA43" s="244">
        <v>0.84462151394422302</v>
      </c>
    </row>
    <row r="44" spans="1:79">
      <c r="A44" s="245">
        <v>31802</v>
      </c>
      <c r="B44" s="243" t="s">
        <v>1667</v>
      </c>
      <c r="C44" s="212" t="s">
        <v>1625</v>
      </c>
      <c r="D44" s="246">
        <v>44</v>
      </c>
      <c r="E44" s="248">
        <v>585.06210468920403</v>
      </c>
      <c r="F44" s="244">
        <v>77.828069792802594</v>
      </c>
      <c r="G44" s="244">
        <v>1.7472082878953099</v>
      </c>
      <c r="H44" s="244">
        <v>35.393413304253002</v>
      </c>
      <c r="I44" s="244">
        <v>67.634067611777496</v>
      </c>
      <c r="J44" s="244">
        <v>4.0160523446019596</v>
      </c>
      <c r="K44" s="244">
        <v>5.0807470010905097E-2</v>
      </c>
      <c r="L44" s="244">
        <v>4.0147001090512502E-2</v>
      </c>
      <c r="M44" s="244">
        <v>0.31530512540894201</v>
      </c>
      <c r="N44" s="244">
        <v>1.39476553980371E-2</v>
      </c>
      <c r="O44" s="244">
        <v>0.51223784078516899</v>
      </c>
      <c r="P44" s="244">
        <v>11.615387131952</v>
      </c>
      <c r="Q44" s="244">
        <v>0</v>
      </c>
      <c r="R44" s="244">
        <v>0.31501635768811298</v>
      </c>
      <c r="S44" s="244">
        <v>0.54249727371864798</v>
      </c>
      <c r="T44" s="244">
        <v>3.9135550708833202</v>
      </c>
      <c r="U44" s="244">
        <v>2.2631406761177799</v>
      </c>
      <c r="V44" s="244">
        <v>0</v>
      </c>
      <c r="W44" s="244">
        <v>17.095954198473301</v>
      </c>
      <c r="X44" s="244">
        <v>3.9149400218102502E-2</v>
      </c>
      <c r="Y44" s="244">
        <v>196.16484187568199</v>
      </c>
      <c r="Z44" s="244">
        <v>6.5959760087240999</v>
      </c>
      <c r="AA44" s="244">
        <v>7.9476553980370804E-2</v>
      </c>
      <c r="AB44" s="244">
        <v>11.1076881134133</v>
      </c>
      <c r="AC44" s="244">
        <v>6.3535659760087304</v>
      </c>
      <c r="AD44" s="244">
        <v>129.013075245365</v>
      </c>
      <c r="AE44" s="244">
        <v>0.63594547437295601</v>
      </c>
      <c r="AF44" s="244">
        <v>2.2337655398037102</v>
      </c>
      <c r="AG44" s="244">
        <v>0.68982988004362</v>
      </c>
      <c r="AH44" s="244">
        <v>61.125256270447103</v>
      </c>
      <c r="AI44" s="244">
        <v>260.282628135224</v>
      </c>
      <c r="AJ44" s="244">
        <v>1.17067611777535</v>
      </c>
      <c r="AK44" s="244">
        <v>0.21150490730643401</v>
      </c>
      <c r="AL44" s="244">
        <v>3.1799345692475498</v>
      </c>
      <c r="AM44" s="244">
        <v>24.307633587786299</v>
      </c>
      <c r="AN44" s="244">
        <v>4.3436488549618302</v>
      </c>
      <c r="AO44" s="244">
        <v>0</v>
      </c>
      <c r="AP44" s="244">
        <v>2.61286804798255E-2</v>
      </c>
      <c r="AQ44" s="244">
        <v>3.6770992366412202E-2</v>
      </c>
      <c r="AR44" s="244">
        <v>5.5900763358778603E-2</v>
      </c>
      <c r="AS44" s="244">
        <v>4.5501635768811298E-2</v>
      </c>
      <c r="AT44" s="244">
        <v>8.8266085059978197E-3</v>
      </c>
      <c r="AU44" s="244">
        <v>9.4711014176663E-3</v>
      </c>
      <c r="AV44" s="244">
        <v>7.1105779716466699E-2</v>
      </c>
      <c r="AW44" s="244">
        <v>3.6852780806979298E-2</v>
      </c>
      <c r="AX44" s="244">
        <v>1.03358778625954E-2</v>
      </c>
      <c r="AY44" s="244">
        <v>5.4498364231188701E-2</v>
      </c>
      <c r="AZ44" s="244">
        <v>7.2230098146128699E-2</v>
      </c>
      <c r="BA44" s="244">
        <v>6.1009814612868002E-2</v>
      </c>
      <c r="BB44" s="244">
        <v>0.42268375136314101</v>
      </c>
      <c r="BC44" s="244">
        <v>0.211519083969466</v>
      </c>
      <c r="BD44" s="244">
        <v>4.96946564885496E-2</v>
      </c>
      <c r="BE44" s="244">
        <v>3.5556161395856101E-2</v>
      </c>
      <c r="BF44" s="244">
        <v>5.6070883315158103E-2</v>
      </c>
      <c r="BG44" s="244">
        <v>2.0859323882224601E-2</v>
      </c>
      <c r="BH44" s="244">
        <v>91.770065430752496</v>
      </c>
      <c r="BI44" s="244">
        <v>8.9025408942202802</v>
      </c>
      <c r="BJ44" s="244">
        <v>1.4929116684841901</v>
      </c>
      <c r="BK44" s="244">
        <v>14.339367502726301</v>
      </c>
      <c r="BL44" s="244">
        <v>0</v>
      </c>
      <c r="BM44" s="244">
        <v>0</v>
      </c>
      <c r="BN44" s="244">
        <v>0.37125408942202798</v>
      </c>
      <c r="BO44" s="244">
        <v>1723.0510359869099</v>
      </c>
      <c r="BP44" s="244">
        <v>122.46346782988</v>
      </c>
      <c r="BQ44" s="244">
        <v>11213.4044492912</v>
      </c>
      <c r="BR44" s="244">
        <v>45.988636859323897</v>
      </c>
      <c r="BS44" s="244">
        <v>0</v>
      </c>
      <c r="BT44" s="244">
        <v>1279.5032715376201</v>
      </c>
      <c r="BU44" s="244">
        <v>93.331995637949802</v>
      </c>
      <c r="BV44" s="244">
        <v>0</v>
      </c>
      <c r="BW44" s="244">
        <v>0</v>
      </c>
      <c r="BX44" s="244">
        <v>359.459116684842</v>
      </c>
      <c r="BY44" s="244">
        <v>0</v>
      </c>
      <c r="BZ44" s="244">
        <v>0</v>
      </c>
      <c r="CA44" s="244">
        <v>0.59214830970556198</v>
      </c>
    </row>
    <row r="45" spans="1:79">
      <c r="A45" s="245">
        <v>32801</v>
      </c>
      <c r="B45" s="243" t="s">
        <v>1668</v>
      </c>
      <c r="C45" s="212" t="s">
        <v>1625</v>
      </c>
      <c r="D45" s="246">
        <v>45</v>
      </c>
      <c r="E45" s="248">
        <v>321.432422535211</v>
      </c>
      <c r="F45" s="244">
        <v>67.822780469483604</v>
      </c>
      <c r="G45" s="244">
        <v>3.2892937089201899</v>
      </c>
      <c r="H45" s="244">
        <v>10.232725633802801</v>
      </c>
      <c r="I45" s="244">
        <v>52.214907605633798</v>
      </c>
      <c r="J45" s="244">
        <v>3.9756751173708902</v>
      </c>
      <c r="K45" s="244">
        <v>0.45330122065727702</v>
      </c>
      <c r="L45" s="244">
        <v>4.9852206572770001E-2</v>
      </c>
      <c r="M45" s="244">
        <v>0.54769934272300502</v>
      </c>
      <c r="N45" s="244">
        <v>0.17019530516431899</v>
      </c>
      <c r="O45" s="244">
        <v>0.45720394366197198</v>
      </c>
      <c r="P45" s="244">
        <v>10.3475492957747</v>
      </c>
      <c r="Q45" s="244">
        <v>0</v>
      </c>
      <c r="R45" s="244">
        <v>4.7679999999999998</v>
      </c>
      <c r="S45" s="244">
        <v>22.053154929577499</v>
      </c>
      <c r="T45" s="244">
        <v>0.23964319248826299</v>
      </c>
      <c r="U45" s="244">
        <v>1.5531079812206601</v>
      </c>
      <c r="V45" s="244">
        <v>0</v>
      </c>
      <c r="W45" s="244">
        <v>4.4170202816901396</v>
      </c>
      <c r="X45" s="244">
        <v>6.0676056338028202E-2</v>
      </c>
      <c r="Y45" s="244">
        <v>47.690741784037598</v>
      </c>
      <c r="Z45" s="244">
        <v>12.4035211267606</v>
      </c>
      <c r="AA45" s="244">
        <v>0.17107981220657301</v>
      </c>
      <c r="AB45" s="244">
        <v>8.9014084507042206</v>
      </c>
      <c r="AC45" s="244">
        <v>13.4840187793427</v>
      </c>
      <c r="AD45" s="244">
        <v>124.4239342723</v>
      </c>
      <c r="AE45" s="244">
        <v>0.559183661971831</v>
      </c>
      <c r="AF45" s="244">
        <v>2.21087511737089</v>
      </c>
      <c r="AG45" s="244">
        <v>0.66084938967136198</v>
      </c>
      <c r="AH45" s="244">
        <v>88.908244131455405</v>
      </c>
      <c r="AI45" s="244">
        <v>372.13826291079801</v>
      </c>
      <c r="AJ45" s="244">
        <v>0.39823849765258201</v>
      </c>
      <c r="AK45" s="244">
        <v>0.49909483568075103</v>
      </c>
      <c r="AL45" s="244">
        <v>1.2948356807511701</v>
      </c>
      <c r="AM45" s="244">
        <v>6.8028169014084501</v>
      </c>
      <c r="AN45" s="244">
        <v>1.66162910798122</v>
      </c>
      <c r="AO45" s="244">
        <v>0</v>
      </c>
      <c r="AP45" s="244">
        <v>5.4373708920187801E-2</v>
      </c>
      <c r="AQ45" s="244">
        <v>0.13306384976525801</v>
      </c>
      <c r="AR45" s="244">
        <v>0.13770985915493</v>
      </c>
      <c r="AS45" s="244">
        <v>0.10081220657277</v>
      </c>
      <c r="AT45" s="244">
        <v>3.1009389671361499E-2</v>
      </c>
      <c r="AU45" s="244">
        <v>2.0862910798122102E-2</v>
      </c>
      <c r="AV45" s="244">
        <v>0.13646197183098599</v>
      </c>
      <c r="AW45" s="244">
        <v>8.6130516431924903E-2</v>
      </c>
      <c r="AX45" s="244">
        <v>3.1843192488262902E-2</v>
      </c>
      <c r="AY45" s="244">
        <v>0.14318497652582199</v>
      </c>
      <c r="AZ45" s="244">
        <v>0.20445539906103299</v>
      </c>
      <c r="BA45" s="244">
        <v>0.25822816901408502</v>
      </c>
      <c r="BB45" s="244">
        <v>1.12173615023474</v>
      </c>
      <c r="BC45" s="244">
        <v>0.59397652582159599</v>
      </c>
      <c r="BD45" s="244">
        <v>0.12364694835680801</v>
      </c>
      <c r="BE45" s="244">
        <v>0.14501126760563399</v>
      </c>
      <c r="BF45" s="244">
        <v>0.16057370892018799</v>
      </c>
      <c r="BG45" s="244">
        <v>8.6346478873239402E-2</v>
      </c>
      <c r="BH45" s="244">
        <v>70.641248826291104</v>
      </c>
      <c r="BI45" s="244">
        <v>93.516516431924899</v>
      </c>
      <c r="BJ45" s="244">
        <v>2.4018779342722998</v>
      </c>
      <c r="BK45" s="244">
        <v>0.444225352112676</v>
      </c>
      <c r="BL45" s="244">
        <v>0</v>
      </c>
      <c r="BM45" s="244">
        <v>0</v>
      </c>
      <c r="BN45" s="244">
        <v>0.48940845070422501</v>
      </c>
      <c r="BO45" s="244">
        <v>33.712938967136203</v>
      </c>
      <c r="BP45" s="244">
        <v>0</v>
      </c>
      <c r="BQ45" s="244">
        <v>109.952450704225</v>
      </c>
      <c r="BR45" s="244">
        <v>0.182</v>
      </c>
      <c r="BS45" s="244">
        <v>0</v>
      </c>
      <c r="BT45" s="244">
        <v>73.545784037558704</v>
      </c>
      <c r="BU45" s="244">
        <v>3.1555680751173698</v>
      </c>
      <c r="BV45" s="244">
        <v>0</v>
      </c>
      <c r="BW45" s="244">
        <v>0</v>
      </c>
      <c r="BX45" s="244">
        <v>18.579906103286401</v>
      </c>
      <c r="BY45" s="244">
        <v>0</v>
      </c>
      <c r="BZ45" s="244">
        <v>0</v>
      </c>
      <c r="CA45" s="244">
        <v>0.61502347417840397</v>
      </c>
    </row>
    <row r="46" spans="1:79">
      <c r="A46" s="245">
        <v>11305</v>
      </c>
      <c r="B46" s="243" t="s">
        <v>1669</v>
      </c>
      <c r="C46" s="212" t="s">
        <v>1625</v>
      </c>
      <c r="D46" s="246">
        <v>46</v>
      </c>
      <c r="E46" s="248">
        <v>252.757692307692</v>
      </c>
      <c r="F46" s="244">
        <v>17.6761153846154</v>
      </c>
      <c r="G46" s="244">
        <v>4.5974615384615403</v>
      </c>
      <c r="H46" s="244">
        <v>4.9983461538461498</v>
      </c>
      <c r="I46" s="244">
        <v>47.178230769230801</v>
      </c>
      <c r="J46" s="244">
        <v>0.58542307692307705</v>
      </c>
      <c r="K46" s="244">
        <v>2.4611538461538501E-2</v>
      </c>
      <c r="L46" s="244">
        <v>5.1884615384615397E-2</v>
      </c>
      <c r="M46" s="244">
        <v>1.3425692307692301</v>
      </c>
      <c r="N46" s="244">
        <v>0.25330769230769201</v>
      </c>
      <c r="O46" s="244">
        <v>1.47807692307692E-2</v>
      </c>
      <c r="P46" s="244">
        <v>1.0311538461538501</v>
      </c>
      <c r="Q46" s="244">
        <v>0</v>
      </c>
      <c r="R46" s="244">
        <v>2.1381576923076899</v>
      </c>
      <c r="S46" s="244">
        <v>9.6653846153846201E-2</v>
      </c>
      <c r="T46" s="244">
        <v>7.7215384615384602E-2</v>
      </c>
      <c r="U46" s="244">
        <v>8.5214615384615406</v>
      </c>
      <c r="V46" s="244">
        <v>11.5753846153846</v>
      </c>
      <c r="W46" s="244">
        <v>11.8859538461538</v>
      </c>
      <c r="X46" s="244">
        <v>0</v>
      </c>
      <c r="Y46" s="244">
        <v>3.7254461538461499</v>
      </c>
      <c r="Z46" s="244">
        <v>5.9227269230769197</v>
      </c>
      <c r="AA46" s="244">
        <v>0</v>
      </c>
      <c r="AB46" s="244">
        <v>0</v>
      </c>
      <c r="AC46" s="244">
        <v>0.75658846153846204</v>
      </c>
      <c r="AD46" s="244">
        <v>13.1681923076923</v>
      </c>
      <c r="AE46" s="244">
        <v>4.3615384615384598E-2</v>
      </c>
      <c r="AF46" s="244">
        <v>0.74473076923076897</v>
      </c>
      <c r="AG46" s="244">
        <v>0.72443076923076899</v>
      </c>
      <c r="AH46" s="244">
        <v>37.665384615384603</v>
      </c>
      <c r="AI46" s="244">
        <v>38.6448769230769</v>
      </c>
      <c r="AJ46" s="244">
        <v>8.85057692307692</v>
      </c>
      <c r="AK46" s="244">
        <v>7.2692307692307695E-2</v>
      </c>
      <c r="AL46" s="244">
        <v>0.66626923076923095</v>
      </c>
      <c r="AM46" s="244">
        <v>0.96726923076923099</v>
      </c>
      <c r="AN46" s="244">
        <v>2.4532307692307702</v>
      </c>
      <c r="AO46" s="244">
        <v>0</v>
      </c>
      <c r="AP46" s="244">
        <v>2.7115384615384601E-3</v>
      </c>
      <c r="AQ46" s="244">
        <v>4.9769230769230802E-3</v>
      </c>
      <c r="AR46" s="244">
        <v>7.2576923076923096E-3</v>
      </c>
      <c r="AS46" s="244">
        <v>5.3192307692307697E-3</v>
      </c>
      <c r="AT46" s="244">
        <v>2.1038461538461502E-3</v>
      </c>
      <c r="AU46" s="244">
        <v>2.0038461538461499E-3</v>
      </c>
      <c r="AV46" s="244">
        <v>6.2884615384615396E-3</v>
      </c>
      <c r="AW46" s="244">
        <v>5.0576923076923099E-3</v>
      </c>
      <c r="AX46" s="244">
        <v>1.4615384615384601E-3</v>
      </c>
      <c r="AY46" s="244">
        <v>5.7884615384615401E-3</v>
      </c>
      <c r="AZ46" s="244">
        <v>7.5576923076923104E-3</v>
      </c>
      <c r="BA46" s="244">
        <v>1.6469230769230798E-2</v>
      </c>
      <c r="BB46" s="244">
        <v>1.9396153846153799E-2</v>
      </c>
      <c r="BC46" s="244">
        <v>3.7157692307692301E-2</v>
      </c>
      <c r="BD46" s="244">
        <v>8.0461538461538504E-3</v>
      </c>
      <c r="BE46" s="244">
        <v>4.5538461538461496E-3</v>
      </c>
      <c r="BF46" s="244">
        <v>5.4730769230769199E-3</v>
      </c>
      <c r="BG46" s="244">
        <v>3.7192307692307698E-3</v>
      </c>
      <c r="BH46" s="244">
        <v>3.58076923076923</v>
      </c>
      <c r="BI46" s="244">
        <v>1.03388461538462</v>
      </c>
      <c r="BJ46" s="244">
        <v>0.86538461538461497</v>
      </c>
      <c r="BK46" s="244">
        <v>1.19038461538462</v>
      </c>
      <c r="BL46" s="244">
        <v>0</v>
      </c>
      <c r="BM46" s="244">
        <v>0</v>
      </c>
      <c r="BN46" s="244">
        <v>0.128769230769231</v>
      </c>
      <c r="BO46" s="244">
        <v>5.6593461538461503</v>
      </c>
      <c r="BP46" s="244">
        <v>0</v>
      </c>
      <c r="BQ46" s="244">
        <v>4.2348461538461502</v>
      </c>
      <c r="BR46" s="244">
        <v>0</v>
      </c>
      <c r="BS46" s="244">
        <v>0</v>
      </c>
      <c r="BT46" s="244">
        <v>17.394538461538499</v>
      </c>
      <c r="BU46" s="244">
        <v>1.6490384615384599</v>
      </c>
      <c r="BV46" s="244">
        <v>0</v>
      </c>
      <c r="BW46" s="244">
        <v>0</v>
      </c>
      <c r="BX46" s="244">
        <v>4.3378461538461499</v>
      </c>
      <c r="BY46" s="244">
        <v>0</v>
      </c>
      <c r="BZ46" s="244">
        <v>0</v>
      </c>
      <c r="CA46" s="244">
        <v>1.1461538461538501</v>
      </c>
    </row>
    <row r="47" spans="1:79">
      <c r="A47" s="245">
        <v>11203</v>
      </c>
      <c r="B47" s="243" t="s">
        <v>1670</v>
      </c>
      <c r="C47" s="212" t="s">
        <v>1625</v>
      </c>
      <c r="D47" s="246">
        <v>47</v>
      </c>
      <c r="E47" s="248">
        <v>174.20895522388099</v>
      </c>
      <c r="F47" s="244">
        <v>57.417432835820897</v>
      </c>
      <c r="G47" s="244">
        <v>3.1761194029850701</v>
      </c>
      <c r="H47" s="244">
        <v>0.54328358208955196</v>
      </c>
      <c r="I47" s="244">
        <v>38.997014925373101</v>
      </c>
      <c r="J47" s="244">
        <v>0.25074626865671601</v>
      </c>
      <c r="K47" s="244">
        <v>1.25373134328358E-2</v>
      </c>
      <c r="L47" s="244">
        <v>3.1761194029850698E-2</v>
      </c>
      <c r="M47" s="244">
        <v>0.99253731343283602</v>
      </c>
      <c r="N47" s="244">
        <v>0.20895522388059701</v>
      </c>
      <c r="O47" s="244">
        <v>0</v>
      </c>
      <c r="P47" s="244">
        <v>0</v>
      </c>
      <c r="Q47" s="244">
        <v>0</v>
      </c>
      <c r="R47" s="244">
        <v>0</v>
      </c>
      <c r="S47" s="244">
        <v>0</v>
      </c>
      <c r="T47" s="244">
        <v>0</v>
      </c>
      <c r="U47" s="244">
        <v>0</v>
      </c>
      <c r="V47" s="244">
        <v>8.2746268656716406</v>
      </c>
      <c r="W47" s="244">
        <v>8.2746268656716406</v>
      </c>
      <c r="X47" s="244">
        <v>0</v>
      </c>
      <c r="Y47" s="244">
        <v>0</v>
      </c>
      <c r="Z47" s="244">
        <v>0</v>
      </c>
      <c r="AA47" s="244">
        <v>0</v>
      </c>
      <c r="AB47" s="244">
        <v>0</v>
      </c>
      <c r="AC47" s="244">
        <v>0</v>
      </c>
      <c r="AD47" s="244">
        <v>8.1194029850746308</v>
      </c>
      <c r="AE47" s="244">
        <v>7.1641791044776103E-3</v>
      </c>
      <c r="AF47" s="244">
        <v>0.46925373134328402</v>
      </c>
      <c r="AG47" s="244">
        <v>0.50192238805970202</v>
      </c>
      <c r="AH47" s="244">
        <v>25.134328358209</v>
      </c>
      <c r="AI47" s="244">
        <v>13.6835820895522</v>
      </c>
      <c r="AJ47" s="244">
        <v>6.3462686567164202</v>
      </c>
      <c r="AK47" s="244">
        <v>5.9701492537313399E-3</v>
      </c>
      <c r="AL47" s="244">
        <v>8.3582089552238798E-3</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2.6865671641790998</v>
      </c>
      <c r="BP47" s="244">
        <v>0</v>
      </c>
      <c r="BQ47" s="244">
        <v>1.29373134328358</v>
      </c>
      <c r="BR47" s="244">
        <v>0</v>
      </c>
      <c r="BS47" s="244">
        <v>0</v>
      </c>
      <c r="BT47" s="244">
        <v>1.9761194029850699</v>
      </c>
      <c r="BU47" s="244">
        <v>0</v>
      </c>
      <c r="BV47" s="244">
        <v>0</v>
      </c>
      <c r="BW47" s="244">
        <v>0</v>
      </c>
      <c r="BX47" s="244">
        <v>1.1008955223880601</v>
      </c>
      <c r="BY47" s="244">
        <v>0</v>
      </c>
      <c r="BZ47" s="244">
        <v>0</v>
      </c>
      <c r="CA47" s="244">
        <v>0.26268656716417899</v>
      </c>
    </row>
    <row r="48" spans="1:79">
      <c r="A48" s="245">
        <v>13106</v>
      </c>
      <c r="B48" s="243" t="s">
        <v>1671</v>
      </c>
      <c r="C48" s="212" t="s">
        <v>1625</v>
      </c>
      <c r="D48" s="246">
        <v>48</v>
      </c>
      <c r="E48" s="248">
        <v>56.117431906614797</v>
      </c>
      <c r="F48" s="244">
        <v>156.118736964981</v>
      </c>
      <c r="G48" s="244">
        <v>0.69699455252918296</v>
      </c>
      <c r="H48" s="244">
        <v>3.1020140077820999</v>
      </c>
      <c r="I48" s="244">
        <v>6.0120319066147898</v>
      </c>
      <c r="J48" s="244">
        <v>1.0781245136186799</v>
      </c>
      <c r="K48" s="244">
        <v>2.5184669260700399E-2</v>
      </c>
      <c r="L48" s="244">
        <v>3.43399902723735E-2</v>
      </c>
      <c r="M48" s="244">
        <v>0.163369552529183</v>
      </c>
      <c r="N48" s="244">
        <v>0.16073073929961099</v>
      </c>
      <c r="O48" s="244">
        <v>9.8136575875486395E-2</v>
      </c>
      <c r="P48" s="244">
        <v>3.7257225680933899</v>
      </c>
      <c r="Q48" s="244">
        <v>0</v>
      </c>
      <c r="R48" s="244">
        <v>6.1257692412451403</v>
      </c>
      <c r="S48" s="244">
        <v>0.26955252918287897</v>
      </c>
      <c r="T48" s="244">
        <v>9.0194552529182903E-2</v>
      </c>
      <c r="U48" s="244">
        <v>6.8615680933852099</v>
      </c>
      <c r="V48" s="244">
        <v>0</v>
      </c>
      <c r="W48" s="244">
        <v>1.30825787937743</v>
      </c>
      <c r="X48" s="244">
        <v>0</v>
      </c>
      <c r="Y48" s="244">
        <v>15.9077018968872</v>
      </c>
      <c r="Z48" s="244">
        <v>8.9983265564202295</v>
      </c>
      <c r="AA48" s="244">
        <v>0</v>
      </c>
      <c r="AB48" s="244">
        <v>0</v>
      </c>
      <c r="AC48" s="244">
        <v>39.214273589494198</v>
      </c>
      <c r="AD48" s="244">
        <v>10.369142023346299</v>
      </c>
      <c r="AE48" s="244">
        <v>0.17494241245136199</v>
      </c>
      <c r="AF48" s="244">
        <v>0.58087762645914398</v>
      </c>
      <c r="AG48" s="244">
        <v>0.11626147859922201</v>
      </c>
      <c r="AH48" s="244">
        <v>19.457859922179001</v>
      </c>
      <c r="AI48" s="244">
        <v>114.889042801556</v>
      </c>
      <c r="AJ48" s="244">
        <v>0.36071206225680902</v>
      </c>
      <c r="AK48" s="244">
        <v>0.35471011673151798</v>
      </c>
      <c r="AL48" s="244">
        <v>0.48517509727626501</v>
      </c>
      <c r="AM48" s="244">
        <v>0.72645914396887201</v>
      </c>
      <c r="AN48" s="244">
        <v>1.8118093385214</v>
      </c>
      <c r="AO48" s="244">
        <v>0</v>
      </c>
      <c r="AP48" s="244">
        <v>9.3190661478599196E-3</v>
      </c>
      <c r="AQ48" s="244">
        <v>2.0285992217898799E-2</v>
      </c>
      <c r="AR48" s="244">
        <v>3.5949416342412499E-2</v>
      </c>
      <c r="AS48" s="244">
        <v>3.0058365758754899E-2</v>
      </c>
      <c r="AT48" s="244">
        <v>6.6225680933852098E-3</v>
      </c>
      <c r="AU48" s="244">
        <v>6.4863813229572003E-3</v>
      </c>
      <c r="AV48" s="244">
        <v>2.7352140077821E-2</v>
      </c>
      <c r="AW48" s="244">
        <v>2.2359922178988301E-2</v>
      </c>
      <c r="AX48" s="244">
        <v>6.7042801556420201E-3</v>
      </c>
      <c r="AY48" s="244">
        <v>2.4233463035019501E-2</v>
      </c>
      <c r="AZ48" s="244">
        <v>3.3589494163424098E-2</v>
      </c>
      <c r="BA48" s="244">
        <v>3.84824902723735E-2</v>
      </c>
      <c r="BB48" s="244">
        <v>7.5501945525291797E-2</v>
      </c>
      <c r="BC48" s="244">
        <v>0.116307392996109</v>
      </c>
      <c r="BD48" s="244">
        <v>2.1836575875486399E-2</v>
      </c>
      <c r="BE48" s="244">
        <v>2.1295719844358001E-2</v>
      </c>
      <c r="BF48" s="244">
        <v>2.5229571984435799E-2</v>
      </c>
      <c r="BG48" s="244">
        <v>1.89396887159533E-2</v>
      </c>
      <c r="BH48" s="244">
        <v>16.063735408560301</v>
      </c>
      <c r="BI48" s="244">
        <v>23.644319066147901</v>
      </c>
      <c r="BJ48" s="244">
        <v>4.95330739299611</v>
      </c>
      <c r="BK48" s="244">
        <v>6.1717898832684801</v>
      </c>
      <c r="BL48" s="244">
        <v>0</v>
      </c>
      <c r="BM48" s="244">
        <v>0</v>
      </c>
      <c r="BN48" s="244">
        <v>0.14112840466926099</v>
      </c>
      <c r="BO48" s="244">
        <v>20.756498054474701</v>
      </c>
      <c r="BP48" s="244">
        <v>0</v>
      </c>
      <c r="BQ48" s="244">
        <v>22.0968871595331</v>
      </c>
      <c r="BR48" s="244">
        <v>0</v>
      </c>
      <c r="BS48" s="244">
        <v>0</v>
      </c>
      <c r="BT48" s="244">
        <v>62.527373540855997</v>
      </c>
      <c r="BU48" s="244">
        <v>14.026517509727601</v>
      </c>
      <c r="BV48" s="244">
        <v>0</v>
      </c>
      <c r="BW48" s="244">
        <v>0</v>
      </c>
      <c r="BX48" s="244">
        <v>4.89865758754864</v>
      </c>
      <c r="BY48" s="244">
        <v>0</v>
      </c>
      <c r="BZ48" s="244">
        <v>0</v>
      </c>
      <c r="CA48" s="244">
        <v>1.0369649805447501</v>
      </c>
    </row>
    <row r="49" spans="1:79">
      <c r="A49" s="245">
        <v>13107</v>
      </c>
      <c r="B49" s="243" t="s">
        <v>1672</v>
      </c>
      <c r="C49" s="212" t="s">
        <v>1625</v>
      </c>
      <c r="D49" s="246">
        <v>49</v>
      </c>
      <c r="E49" s="248">
        <v>90.983698242187501</v>
      </c>
      <c r="F49" s="244">
        <v>131.466133007812</v>
      </c>
      <c r="G49" s="244">
        <v>1.2126225390625001</v>
      </c>
      <c r="H49" s="244">
        <v>5.0744364062500003</v>
      </c>
      <c r="I49" s="244">
        <v>10.1155569140625</v>
      </c>
      <c r="J49" s="244">
        <v>0.76692648437499999</v>
      </c>
      <c r="K49" s="244">
        <v>1.3266054687500001E-2</v>
      </c>
      <c r="L49" s="244">
        <v>2.036859375E-2</v>
      </c>
      <c r="M49" s="244">
        <v>0.38984976562500001</v>
      </c>
      <c r="N49" s="244">
        <v>8.2654648437500006E-2</v>
      </c>
      <c r="O49" s="244">
        <v>3.6872578125E-2</v>
      </c>
      <c r="P49" s="244">
        <v>1.2212812500000001</v>
      </c>
      <c r="Q49" s="244">
        <v>0</v>
      </c>
      <c r="R49" s="244">
        <v>1.1389041796874999</v>
      </c>
      <c r="S49" s="244">
        <v>0.18816152343750001</v>
      </c>
      <c r="T49" s="244">
        <v>0.16310578125</v>
      </c>
      <c r="U49" s="244">
        <v>9.5786496093750007</v>
      </c>
      <c r="V49" s="244">
        <v>2.0418750000000001</v>
      </c>
      <c r="W49" s="244">
        <v>4.3571694531249996</v>
      </c>
      <c r="X49" s="244">
        <v>1.028828125E-2</v>
      </c>
      <c r="Y49" s="244">
        <v>25.501707343749999</v>
      </c>
      <c r="Z49" s="244">
        <v>8.3973003906250003</v>
      </c>
      <c r="AA49" s="244">
        <v>8.5406250000000003E-2</v>
      </c>
      <c r="AB49" s="244">
        <v>3.8327343749999998</v>
      </c>
      <c r="AC49" s="244">
        <v>6.9513524609374997</v>
      </c>
      <c r="AD49" s="244">
        <v>14.646382812500001</v>
      </c>
      <c r="AE49" s="244">
        <v>4.1525742187499999E-2</v>
      </c>
      <c r="AF49" s="244">
        <v>0.81268242187499995</v>
      </c>
      <c r="AG49" s="244">
        <v>0.52461675781249995</v>
      </c>
      <c r="AH49" s="244">
        <v>16.137783437500001</v>
      </c>
      <c r="AI49" s="244">
        <v>56.271409218750001</v>
      </c>
      <c r="AJ49" s="244">
        <v>2.2337504296874999</v>
      </c>
      <c r="AK49" s="244">
        <v>0.13756683593749999</v>
      </c>
      <c r="AL49" s="244">
        <v>0.7735067578125</v>
      </c>
      <c r="AM49" s="244">
        <v>1.1866917187499999</v>
      </c>
      <c r="AN49" s="244">
        <v>2.7885821874999999</v>
      </c>
      <c r="AO49" s="244">
        <v>0</v>
      </c>
      <c r="AP49" s="244">
        <v>7.6939218749999998E-3</v>
      </c>
      <c r="AQ49" s="244">
        <v>1.2851484375E-2</v>
      </c>
      <c r="AR49" s="244">
        <v>2.1775531250000001E-2</v>
      </c>
      <c r="AS49" s="244">
        <v>1.4575171874999999E-2</v>
      </c>
      <c r="AT49" s="244">
        <v>4.5858437499999996E-3</v>
      </c>
      <c r="AU49" s="244">
        <v>4.9813203124999999E-3</v>
      </c>
      <c r="AV49" s="244">
        <v>1.5218210937500001E-2</v>
      </c>
      <c r="AW49" s="244">
        <v>1.29721171875E-2</v>
      </c>
      <c r="AX49" s="244">
        <v>4.3633593749999996E-3</v>
      </c>
      <c r="AY49" s="244">
        <v>1.626265625E-2</v>
      </c>
      <c r="AZ49" s="244">
        <v>1.7532195312499999E-2</v>
      </c>
      <c r="BA49" s="244">
        <v>3.5527000000000003E-2</v>
      </c>
      <c r="BB49" s="244">
        <v>4.9556453124999997E-2</v>
      </c>
      <c r="BC49" s="244">
        <v>6.74182109375E-2</v>
      </c>
      <c r="BD49" s="244">
        <v>1.981275E-2</v>
      </c>
      <c r="BE49" s="244">
        <v>1.5772523437500002E-2</v>
      </c>
      <c r="BF49" s="244">
        <v>1.50497421875E-2</v>
      </c>
      <c r="BG49" s="244">
        <v>1.0593304687499999E-2</v>
      </c>
      <c r="BH49" s="244">
        <v>6.2780859375000002</v>
      </c>
      <c r="BI49" s="244">
        <v>6.9142109375</v>
      </c>
      <c r="BJ49" s="244">
        <v>0.67841796875000004</v>
      </c>
      <c r="BK49" s="244">
        <v>0.86343749999999997</v>
      </c>
      <c r="BL49" s="244">
        <v>0</v>
      </c>
      <c r="BM49" s="244">
        <v>0.18914062500000001</v>
      </c>
      <c r="BN49" s="244">
        <v>0.66164843750000002</v>
      </c>
      <c r="BO49" s="244">
        <v>13.944015625</v>
      </c>
      <c r="BP49" s="244">
        <v>0.50927734375</v>
      </c>
      <c r="BQ49" s="244">
        <v>73.088890625000005</v>
      </c>
      <c r="BR49" s="244">
        <v>0.14088281250000001</v>
      </c>
      <c r="BS49" s="244">
        <v>0.15625</v>
      </c>
      <c r="BT49" s="244">
        <v>49.149363281249997</v>
      </c>
      <c r="BU49" s="244">
        <v>3.6290703125000001</v>
      </c>
      <c r="BV49" s="244">
        <v>0</v>
      </c>
      <c r="BW49" s="244">
        <v>4.7949218750000001E-2</v>
      </c>
      <c r="BX49" s="244">
        <v>11.1863890625</v>
      </c>
      <c r="BY49" s="244">
        <v>0</v>
      </c>
      <c r="BZ49" s="244">
        <v>0</v>
      </c>
      <c r="CA49" s="244">
        <v>0.66171875000000002</v>
      </c>
    </row>
    <row r="50" spans="1:79">
      <c r="A50" s="245">
        <v>23603</v>
      </c>
      <c r="B50" s="243" t="s">
        <v>1673</v>
      </c>
      <c r="C50" s="212" t="s">
        <v>1625</v>
      </c>
      <c r="D50" s="246">
        <v>50</v>
      </c>
      <c r="E50" s="248">
        <v>179.46601941747599</v>
      </c>
      <c r="F50" s="244">
        <v>19.010922330097099</v>
      </c>
      <c r="G50" s="244">
        <v>12.111747572815499</v>
      </c>
      <c r="H50" s="244">
        <v>2.9376699029126199</v>
      </c>
      <c r="I50" s="244">
        <v>22.2174757281553</v>
      </c>
      <c r="J50" s="244">
        <v>7.9033980582524297</v>
      </c>
      <c r="K50" s="244">
        <v>0.278174757281553</v>
      </c>
      <c r="L50" s="244">
        <v>0.10098786407767001</v>
      </c>
      <c r="M50" s="244">
        <v>1.37041262135922</v>
      </c>
      <c r="N50" s="244">
        <v>0.74108252427184496</v>
      </c>
      <c r="O50" s="244">
        <v>0.40066504854368901</v>
      </c>
      <c r="P50" s="244">
        <v>16.632038834951501</v>
      </c>
      <c r="Q50" s="244">
        <v>0</v>
      </c>
      <c r="R50" s="244">
        <v>6.5733980582524296</v>
      </c>
      <c r="S50" s="244">
        <v>0.72097087378640801</v>
      </c>
      <c r="T50" s="244">
        <v>2.0824563106796101</v>
      </c>
      <c r="U50" s="244">
        <v>25.904854368932</v>
      </c>
      <c r="V50" s="244">
        <v>0</v>
      </c>
      <c r="W50" s="244">
        <v>69.849509708737898</v>
      </c>
      <c r="X50" s="244">
        <v>0</v>
      </c>
      <c r="Y50" s="244">
        <v>734.71682038835002</v>
      </c>
      <c r="Z50" s="244">
        <v>170.87320388349499</v>
      </c>
      <c r="AA50" s="244">
        <v>3.34328155339806</v>
      </c>
      <c r="AB50" s="244">
        <v>146.70436893203899</v>
      </c>
      <c r="AC50" s="244">
        <v>249.13330097087399</v>
      </c>
      <c r="AD50" s="244">
        <v>29.332961165048498</v>
      </c>
      <c r="AE50" s="244">
        <v>0.29442718446601901</v>
      </c>
      <c r="AF50" s="244">
        <v>2.1504854368932</v>
      </c>
      <c r="AG50" s="244">
        <v>0.85236893203883501</v>
      </c>
      <c r="AH50" s="244">
        <v>127.104854368932</v>
      </c>
      <c r="AI50" s="244">
        <v>440.48058252427199</v>
      </c>
      <c r="AJ50" s="244">
        <v>1.9948543689320399</v>
      </c>
      <c r="AK50" s="244">
        <v>1.63298058252427</v>
      </c>
      <c r="AL50" s="244">
        <v>0.288980582524272</v>
      </c>
      <c r="AM50" s="244">
        <v>1.4175242718446599</v>
      </c>
      <c r="AN50" s="244">
        <v>0.84773300970873799</v>
      </c>
      <c r="AO50" s="244">
        <v>0</v>
      </c>
      <c r="AP50" s="244">
        <v>0.26299029126213602</v>
      </c>
      <c r="AQ50" s="244">
        <v>0.44022330097087398</v>
      </c>
      <c r="AR50" s="244">
        <v>0.83158252427184498</v>
      </c>
      <c r="AS50" s="244">
        <v>0.83586407766990301</v>
      </c>
      <c r="AT50" s="244">
        <v>7.4868932038835004E-2</v>
      </c>
      <c r="AU50" s="244">
        <v>0.10867961165048499</v>
      </c>
      <c r="AV50" s="244">
        <v>0.60013592233009705</v>
      </c>
      <c r="AW50" s="244">
        <v>0.44120873786407799</v>
      </c>
      <c r="AX50" s="244">
        <v>0.10955825242718401</v>
      </c>
      <c r="AY50" s="244">
        <v>0.57340291262135901</v>
      </c>
      <c r="AZ50" s="244">
        <v>0.774320388349514</v>
      </c>
      <c r="BA50" s="244">
        <v>0.95660679611650501</v>
      </c>
      <c r="BB50" s="244">
        <v>1.40080582524272</v>
      </c>
      <c r="BC50" s="244">
        <v>2.30653398058252</v>
      </c>
      <c r="BD50" s="244">
        <v>0.50162135922330098</v>
      </c>
      <c r="BE50" s="244">
        <v>0.478233009708738</v>
      </c>
      <c r="BF50" s="244">
        <v>0.618699029126213</v>
      </c>
      <c r="BG50" s="244">
        <v>0.356432038834952</v>
      </c>
      <c r="BH50" s="244">
        <v>35.362718446601903</v>
      </c>
      <c r="BI50" s="244">
        <v>79.508446601941799</v>
      </c>
      <c r="BJ50" s="244">
        <v>7.20873786407767</v>
      </c>
      <c r="BK50" s="244">
        <v>16.3131067961165</v>
      </c>
      <c r="BL50" s="244">
        <v>0</v>
      </c>
      <c r="BM50" s="244">
        <v>0</v>
      </c>
      <c r="BN50" s="244">
        <v>6.1430097087378597</v>
      </c>
      <c r="BO50" s="244">
        <v>130.44815533980599</v>
      </c>
      <c r="BP50" s="244">
        <v>0</v>
      </c>
      <c r="BQ50" s="244">
        <v>113.921165048544</v>
      </c>
      <c r="BR50" s="244">
        <v>0.68810679611650505</v>
      </c>
      <c r="BS50" s="244">
        <v>0</v>
      </c>
      <c r="BT50" s="244">
        <v>432.78737864077698</v>
      </c>
      <c r="BU50" s="244">
        <v>46.721067961164998</v>
      </c>
      <c r="BV50" s="244">
        <v>0</v>
      </c>
      <c r="BW50" s="244">
        <v>0</v>
      </c>
      <c r="BX50" s="244">
        <v>32.923640776699003</v>
      </c>
      <c r="BY50" s="244">
        <v>0</v>
      </c>
      <c r="BZ50" s="244">
        <v>0</v>
      </c>
      <c r="CA50" s="244">
        <v>3.4077669902912602</v>
      </c>
    </row>
    <row r="51" spans="1:79">
      <c r="A51" s="245">
        <v>25622</v>
      </c>
      <c r="B51" s="243" t="s">
        <v>1674</v>
      </c>
      <c r="C51" s="212" t="s">
        <v>1625</v>
      </c>
      <c r="D51" s="246">
        <v>51</v>
      </c>
      <c r="E51" s="248">
        <v>332.27272727272702</v>
      </c>
      <c r="F51" s="244">
        <v>98.0386363636364</v>
      </c>
      <c r="G51" s="244">
        <v>7.0477272727272702</v>
      </c>
      <c r="H51" s="244">
        <v>19.829545454545499</v>
      </c>
      <c r="I51" s="244">
        <v>27.892727272727299</v>
      </c>
      <c r="J51" s="244">
        <v>8.4727272727272709</v>
      </c>
      <c r="K51" s="244">
        <v>0.27704545454545498</v>
      </c>
      <c r="L51" s="244">
        <v>0.25829545454545499</v>
      </c>
      <c r="M51" s="244">
        <v>2.1465909090909099</v>
      </c>
      <c r="N51" s="244">
        <v>0.85431818181818198</v>
      </c>
      <c r="O51" s="244">
        <v>1.0502272727272699</v>
      </c>
      <c r="P51" s="244">
        <v>35.409090909090899</v>
      </c>
      <c r="Q51" s="244">
        <v>0</v>
      </c>
      <c r="R51" s="244">
        <v>20.3772727272727</v>
      </c>
      <c r="S51" s="244">
        <v>1.10363636363636</v>
      </c>
      <c r="T51" s="244">
        <v>6.0104545454545502</v>
      </c>
      <c r="U51" s="244">
        <v>60.118181818181803</v>
      </c>
      <c r="V51" s="244">
        <v>0</v>
      </c>
      <c r="W51" s="244">
        <v>154.50431818181801</v>
      </c>
      <c r="X51" s="244">
        <v>0</v>
      </c>
      <c r="Y51" s="244">
        <v>1624.47840909091</v>
      </c>
      <c r="Z51" s="244">
        <v>386.18272727272699</v>
      </c>
      <c r="AA51" s="244">
        <v>7.4536363636363596</v>
      </c>
      <c r="AB51" s="244">
        <v>327.06818181818198</v>
      </c>
      <c r="AC51" s="244">
        <v>556.81454545454505</v>
      </c>
      <c r="AD51" s="244">
        <v>70.495454545454606</v>
      </c>
      <c r="AE51" s="244">
        <v>0.46863636363636402</v>
      </c>
      <c r="AF51" s="244">
        <v>1.905</v>
      </c>
      <c r="AG51" s="244">
        <v>0.71563636363636396</v>
      </c>
      <c r="AH51" s="244">
        <v>144.34090909090901</v>
      </c>
      <c r="AI51" s="244">
        <v>810.11363636363603</v>
      </c>
      <c r="AJ51" s="244">
        <v>4.9545454545454604</v>
      </c>
      <c r="AK51" s="244">
        <v>1.28181818181818</v>
      </c>
      <c r="AL51" s="244">
        <v>3.1504545454545498</v>
      </c>
      <c r="AM51" s="244">
        <v>4.3395454545454504</v>
      </c>
      <c r="AN51" s="244">
        <v>11.2879545454545</v>
      </c>
      <c r="AO51" s="244">
        <v>0</v>
      </c>
      <c r="AP51" s="244">
        <v>0.112818181818182</v>
      </c>
      <c r="AQ51" s="244">
        <v>0.201045454545455</v>
      </c>
      <c r="AR51" s="244">
        <v>0.32986363636363603</v>
      </c>
      <c r="AS51" s="244">
        <v>0.25222727272727302</v>
      </c>
      <c r="AT51" s="244">
        <v>7.3181818181818195E-2</v>
      </c>
      <c r="AU51" s="244">
        <v>0.106</v>
      </c>
      <c r="AV51" s="244">
        <v>0.27054545454545498</v>
      </c>
      <c r="AW51" s="244">
        <v>0.226636363636364</v>
      </c>
      <c r="AX51" s="244">
        <v>5.7681818181818202E-2</v>
      </c>
      <c r="AY51" s="244">
        <v>0.26259090909090899</v>
      </c>
      <c r="AZ51" s="244">
        <v>0.29190909090909101</v>
      </c>
      <c r="BA51" s="244">
        <v>0.66404545454545505</v>
      </c>
      <c r="BB51" s="244">
        <v>0.77181818181818196</v>
      </c>
      <c r="BC51" s="244">
        <v>1.24540909090909</v>
      </c>
      <c r="BD51" s="244">
        <v>0.28913636363636402</v>
      </c>
      <c r="BE51" s="244">
        <v>0.283409090909091</v>
      </c>
      <c r="BF51" s="244">
        <v>0.23949999999999999</v>
      </c>
      <c r="BG51" s="244">
        <v>0.19027272727272701</v>
      </c>
      <c r="BH51" s="244">
        <v>62.237272727272703</v>
      </c>
      <c r="BI51" s="244">
        <v>81.103636363636397</v>
      </c>
      <c r="BJ51" s="244">
        <v>17.954545454545499</v>
      </c>
      <c r="BK51" s="244">
        <v>20.722727272727301</v>
      </c>
      <c r="BL51" s="244">
        <v>0</v>
      </c>
      <c r="BM51" s="244">
        <v>0</v>
      </c>
      <c r="BN51" s="244">
        <v>13.695454545454499</v>
      </c>
      <c r="BO51" s="244">
        <v>256.416363636364</v>
      </c>
      <c r="BP51" s="244">
        <v>0</v>
      </c>
      <c r="BQ51" s="244">
        <v>191.505454545455</v>
      </c>
      <c r="BR51" s="244">
        <v>1.5340909090909101</v>
      </c>
      <c r="BS51" s="244">
        <v>0</v>
      </c>
      <c r="BT51" s="244">
        <v>820.38454545454601</v>
      </c>
      <c r="BU51" s="244">
        <v>50.334545454545498</v>
      </c>
      <c r="BV51" s="244">
        <v>0</v>
      </c>
      <c r="BW51" s="244">
        <v>0</v>
      </c>
      <c r="BX51" s="244">
        <v>110.020454545455</v>
      </c>
      <c r="BY51" s="244">
        <v>0</v>
      </c>
      <c r="BZ51" s="244">
        <v>0</v>
      </c>
      <c r="CA51" s="244">
        <v>6.7727272727272698</v>
      </c>
    </row>
    <row r="52" spans="1:79">
      <c r="A52" s="245">
        <v>41702</v>
      </c>
      <c r="B52" s="243" t="s">
        <v>1675</v>
      </c>
      <c r="C52" s="212" t="s">
        <v>1625</v>
      </c>
      <c r="D52" s="246">
        <v>52</v>
      </c>
      <c r="E52" s="248">
        <v>595.24418604651203</v>
      </c>
      <c r="F52" s="244">
        <v>62.188837209302299</v>
      </c>
      <c r="G52" s="244">
        <v>50.241511627907002</v>
      </c>
      <c r="H52" s="244">
        <v>38.435116279069803</v>
      </c>
      <c r="I52" s="244">
        <v>12.5588372093023</v>
      </c>
      <c r="J52" s="244">
        <v>1.5708139534883701</v>
      </c>
      <c r="K52" s="244">
        <v>0.14769767441860501</v>
      </c>
      <c r="L52" s="244">
        <v>0.442906976744186</v>
      </c>
      <c r="M52" s="244">
        <v>1.68176744186047</v>
      </c>
      <c r="N52" s="244">
        <v>0.57209302325581401</v>
      </c>
      <c r="O52" s="244">
        <v>0.68665116279069804</v>
      </c>
      <c r="P52" s="244">
        <v>17.658139534883698</v>
      </c>
      <c r="Q52" s="244">
        <v>0</v>
      </c>
      <c r="R52" s="244">
        <v>9.0744186046511608</v>
      </c>
      <c r="S52" s="244">
        <v>1.52913953488372</v>
      </c>
      <c r="T52" s="244">
        <v>2.8273255813953502</v>
      </c>
      <c r="U52" s="244">
        <v>61.647674418604701</v>
      </c>
      <c r="V52" s="244">
        <v>0</v>
      </c>
      <c r="W52" s="244">
        <v>9.3256976744186009</v>
      </c>
      <c r="X52" s="244">
        <v>0</v>
      </c>
      <c r="Y52" s="244">
        <v>98.851976744186103</v>
      </c>
      <c r="Z52" s="244">
        <v>25.632209302325599</v>
      </c>
      <c r="AA52" s="244">
        <v>0.42372093023255802</v>
      </c>
      <c r="AB52" s="244">
        <v>18.593023255814</v>
      </c>
      <c r="AC52" s="244">
        <v>32.578488372092998</v>
      </c>
      <c r="AD52" s="244">
        <v>763.01895348837195</v>
      </c>
      <c r="AE52" s="244">
        <v>0.493511627906977</v>
      </c>
      <c r="AF52" s="244">
        <v>2.8226511627907001</v>
      </c>
      <c r="AG52" s="244">
        <v>0.241302325581395</v>
      </c>
      <c r="AH52" s="244">
        <v>495.81367441860499</v>
      </c>
      <c r="AI52" s="244">
        <v>717.38879069767495</v>
      </c>
      <c r="AJ52" s="244">
        <v>117.378488372093</v>
      </c>
      <c r="AK52" s="244">
        <v>0.93488372093023298</v>
      </c>
      <c r="AL52" s="244">
        <v>4.9365116279069801</v>
      </c>
      <c r="AM52" s="244">
        <v>7.1795348837209296</v>
      </c>
      <c r="AN52" s="244">
        <v>18.183988372093001</v>
      </c>
      <c r="AO52" s="244">
        <v>0</v>
      </c>
      <c r="AP52" s="244">
        <v>3.7220930232558097E-2</v>
      </c>
      <c r="AQ52" s="244">
        <v>6.5709302325581406E-2</v>
      </c>
      <c r="AR52" s="244">
        <v>0.108558139534884</v>
      </c>
      <c r="AS52" s="244">
        <v>0.10100000000000001</v>
      </c>
      <c r="AT52" s="244">
        <v>2.4151162790697699E-2</v>
      </c>
      <c r="AU52" s="244">
        <v>4.4151162790697702E-2</v>
      </c>
      <c r="AV52" s="244">
        <v>9.2430232558139494E-2</v>
      </c>
      <c r="AW52" s="244">
        <v>8.2337209302325604E-2</v>
      </c>
      <c r="AX52" s="244">
        <v>2.1872093023255799E-2</v>
      </c>
      <c r="AY52" s="244">
        <v>9.2813953488372097E-2</v>
      </c>
      <c r="AZ52" s="244">
        <v>0.111104651162791</v>
      </c>
      <c r="BA52" s="244">
        <v>0.37880232558139498</v>
      </c>
      <c r="BB52" s="244">
        <v>0.28017441860465098</v>
      </c>
      <c r="BC52" s="244">
        <v>0.50027906976744196</v>
      </c>
      <c r="BD52" s="244">
        <v>9.4127906976744197E-2</v>
      </c>
      <c r="BE52" s="244">
        <v>9.5104651162790696E-2</v>
      </c>
      <c r="BF52" s="244">
        <v>8.8209302325581398E-2</v>
      </c>
      <c r="BG52" s="244">
        <v>7.9732558139534906E-2</v>
      </c>
      <c r="BH52" s="244">
        <v>39.534651162790702</v>
      </c>
      <c r="BI52" s="244">
        <v>16.879186046511599</v>
      </c>
      <c r="BJ52" s="244">
        <v>1.7906976744186001</v>
      </c>
      <c r="BK52" s="244">
        <v>9.1999999999999993</v>
      </c>
      <c r="BL52" s="244">
        <v>0</v>
      </c>
      <c r="BM52" s="244">
        <v>0</v>
      </c>
      <c r="BN52" s="244">
        <v>0.70069767441860498</v>
      </c>
      <c r="BO52" s="244">
        <v>37.855930232558102</v>
      </c>
      <c r="BP52" s="244">
        <v>0</v>
      </c>
      <c r="BQ52" s="244">
        <v>32.477441860465099</v>
      </c>
      <c r="BR52" s="244">
        <v>7.8488372093023298E-2</v>
      </c>
      <c r="BS52" s="244">
        <v>0</v>
      </c>
      <c r="BT52" s="244">
        <v>104.366976744186</v>
      </c>
      <c r="BU52" s="244">
        <v>7.8101162790697698</v>
      </c>
      <c r="BV52" s="244">
        <v>0</v>
      </c>
      <c r="BW52" s="244">
        <v>0</v>
      </c>
      <c r="BX52" s="244">
        <v>33.435000000000002</v>
      </c>
      <c r="BY52" s="244">
        <v>0</v>
      </c>
      <c r="BZ52" s="244">
        <v>0</v>
      </c>
      <c r="CA52" s="244">
        <v>4.6162790697674403</v>
      </c>
    </row>
    <row r="53" spans="1:79">
      <c r="A53" s="245">
        <v>55103</v>
      </c>
      <c r="B53" s="243" t="s">
        <v>1676</v>
      </c>
      <c r="C53" s="212" t="s">
        <v>1625</v>
      </c>
      <c r="D53" s="246">
        <v>53</v>
      </c>
      <c r="E53" s="248">
        <v>203.51466521739101</v>
      </c>
      <c r="F53" s="244">
        <v>162.28928469565199</v>
      </c>
      <c r="G53" s="244">
        <v>4.4774711304347798</v>
      </c>
      <c r="H53" s="244">
        <v>13.1523948985507</v>
      </c>
      <c r="I53" s="244">
        <v>15.9192123478261</v>
      </c>
      <c r="J53" s="244">
        <v>3.0749281159420301</v>
      </c>
      <c r="K53" s="244">
        <v>7.3221144927536203E-2</v>
      </c>
      <c r="L53" s="244">
        <v>0.10288268115941999</v>
      </c>
      <c r="M53" s="244">
        <v>1.0490748695652199</v>
      </c>
      <c r="N53" s="244">
        <v>0.46290962318840601</v>
      </c>
      <c r="O53" s="244">
        <v>0.30419518840579701</v>
      </c>
      <c r="P53" s="244">
        <v>12.1089304347826</v>
      </c>
      <c r="Q53" s="244">
        <v>1.45166666666667E-2</v>
      </c>
      <c r="R53" s="244">
        <v>17.535503623188401</v>
      </c>
      <c r="S53" s="244">
        <v>0.84520910144927497</v>
      </c>
      <c r="T53" s="244">
        <v>0.196028753623188</v>
      </c>
      <c r="U53" s="244">
        <v>15.4273043478261</v>
      </c>
      <c r="V53" s="244">
        <v>6.6417391304347797</v>
      </c>
      <c r="W53" s="244">
        <v>9.6237332753623193</v>
      </c>
      <c r="X53" s="244">
        <v>1.88579710144928E-2</v>
      </c>
      <c r="Y53" s="244">
        <v>36.059817101449298</v>
      </c>
      <c r="Z53" s="244">
        <v>18.182431884058001</v>
      </c>
      <c r="AA53" s="244">
        <v>0</v>
      </c>
      <c r="AB53" s="244">
        <v>8.4173913043478293E-2</v>
      </c>
      <c r="AC53" s="244">
        <v>91.279377971014497</v>
      </c>
      <c r="AD53" s="244">
        <v>33.842550724637697</v>
      </c>
      <c r="AE53" s="244">
        <v>0.43931550724637702</v>
      </c>
      <c r="AF53" s="244">
        <v>1.99745217391304</v>
      </c>
      <c r="AG53" s="244">
        <v>1.40446579710145</v>
      </c>
      <c r="AH53" s="244">
        <v>62.776721159420298</v>
      </c>
      <c r="AI53" s="244">
        <v>349.33344289855103</v>
      </c>
      <c r="AJ53" s="244">
        <v>4.5564011014492802</v>
      </c>
      <c r="AK53" s="244">
        <v>1.1393992463768099</v>
      </c>
      <c r="AL53" s="244">
        <v>2.89087623188406</v>
      </c>
      <c r="AM53" s="244">
        <v>4.2005732173913</v>
      </c>
      <c r="AN53" s="244">
        <v>5.2565695072463798</v>
      </c>
      <c r="AO53" s="244">
        <v>21.168115942029001</v>
      </c>
      <c r="AP53" s="244">
        <v>8.0983768115942004E-2</v>
      </c>
      <c r="AQ53" s="244">
        <v>0.14150040579710099</v>
      </c>
      <c r="AR53" s="244">
        <v>0.26466069565217398</v>
      </c>
      <c r="AS53" s="244">
        <v>0.23549459710144899</v>
      </c>
      <c r="AT53" s="244">
        <v>7.1401321739130399E-2</v>
      </c>
      <c r="AU53" s="244">
        <v>6.3377356521739106E-2</v>
      </c>
      <c r="AV53" s="244">
        <v>0.16772143768115899</v>
      </c>
      <c r="AW53" s="244">
        <v>0.16026613333333301</v>
      </c>
      <c r="AX53" s="244">
        <v>4.2342597101449303E-2</v>
      </c>
      <c r="AY53" s="244">
        <v>0.181500742028986</v>
      </c>
      <c r="AZ53" s="244">
        <v>0.314268092753623</v>
      </c>
      <c r="BA53" s="244">
        <v>0.34174464927536202</v>
      </c>
      <c r="BB53" s="244">
        <v>0.49061993043478302</v>
      </c>
      <c r="BC53" s="244">
        <v>0.66733246376811595</v>
      </c>
      <c r="BD53" s="244">
        <v>0.49334831304347798</v>
      </c>
      <c r="BE53" s="244">
        <v>0.31083140869565201</v>
      </c>
      <c r="BF53" s="244">
        <v>0.186849147826087</v>
      </c>
      <c r="BG53" s="244">
        <v>0.115177855072464</v>
      </c>
      <c r="BH53" s="244">
        <v>36.4666782608696</v>
      </c>
      <c r="BI53" s="244">
        <v>53.981530434782599</v>
      </c>
      <c r="BJ53" s="244">
        <v>11.7065217391304</v>
      </c>
      <c r="BK53" s="244">
        <v>22.6924637681159</v>
      </c>
      <c r="BL53" s="244">
        <v>0</v>
      </c>
      <c r="BM53" s="244">
        <v>8.3996811594202896</v>
      </c>
      <c r="BN53" s="244">
        <v>65.625536231884098</v>
      </c>
      <c r="BO53" s="244">
        <v>1735.0732115942001</v>
      </c>
      <c r="BP53" s="244">
        <v>465.981884057971</v>
      </c>
      <c r="BQ53" s="244">
        <v>2744.7467188405799</v>
      </c>
      <c r="BR53" s="244">
        <v>102.15072463768099</v>
      </c>
      <c r="BS53" s="244">
        <v>1.1594202898550701</v>
      </c>
      <c r="BT53" s="244">
        <v>1659.21837101449</v>
      </c>
      <c r="BU53" s="244">
        <v>96.484139130434798</v>
      </c>
      <c r="BV53" s="244">
        <v>1.9420289855072499</v>
      </c>
      <c r="BW53" s="244">
        <v>21.523913043478299</v>
      </c>
      <c r="BX53" s="244">
        <v>401.52332985507201</v>
      </c>
      <c r="BY53" s="244">
        <v>3.88405797101449</v>
      </c>
      <c r="BZ53" s="244">
        <v>7.7681159420289898</v>
      </c>
      <c r="CA53" s="244">
        <v>5.4115942028985504</v>
      </c>
    </row>
    <row r="54" spans="1:79">
      <c r="A54" s="245">
        <v>87301</v>
      </c>
      <c r="B54" s="243" t="s">
        <v>1677</v>
      </c>
      <c r="C54" s="212" t="s">
        <v>1625</v>
      </c>
      <c r="D54" s="246">
        <v>54</v>
      </c>
      <c r="E54" s="248">
        <v>527.49539503385995</v>
      </c>
      <c r="F54" s="244">
        <v>76.946344920993198</v>
      </c>
      <c r="G54" s="244">
        <v>4.0029801354401799</v>
      </c>
      <c r="H54" s="244">
        <v>21.738928216704299</v>
      </c>
      <c r="I54" s="244">
        <v>76.1210144469526</v>
      </c>
      <c r="J54" s="244">
        <v>5.6813679458239301</v>
      </c>
      <c r="K54" s="244">
        <v>7.4315349887133203E-2</v>
      </c>
      <c r="L54" s="244">
        <v>0.128078781038375</v>
      </c>
      <c r="M54" s="244">
        <v>0.342515124153499</v>
      </c>
      <c r="N54" s="244">
        <v>0.26015801354401802</v>
      </c>
      <c r="O54" s="244">
        <v>5.9717381489842E-2</v>
      </c>
      <c r="P54" s="244">
        <v>9.7131602708803602</v>
      </c>
      <c r="Q54" s="244">
        <v>0.22742663656884901</v>
      </c>
      <c r="R54" s="244">
        <v>3.6422144469525999</v>
      </c>
      <c r="S54" s="244">
        <v>8.6568848758465003E-2</v>
      </c>
      <c r="T54" s="244">
        <v>0.69004514672686201</v>
      </c>
      <c r="U54" s="244">
        <v>14.028126410835201</v>
      </c>
      <c r="V54" s="244">
        <v>15.931760722347599</v>
      </c>
      <c r="W54" s="244">
        <v>16.8918045146727</v>
      </c>
      <c r="X54" s="244">
        <v>1.12866817155756E-3</v>
      </c>
      <c r="Y54" s="244">
        <v>2.9432279909706498</v>
      </c>
      <c r="Z54" s="244">
        <v>51.862189616252799</v>
      </c>
      <c r="AA54" s="244">
        <v>0</v>
      </c>
      <c r="AB54" s="244">
        <v>0</v>
      </c>
      <c r="AC54" s="244">
        <v>2.0360045146726899</v>
      </c>
      <c r="AD54" s="244">
        <v>96.759372460496607</v>
      </c>
      <c r="AE54" s="244">
        <v>0.26021760722347598</v>
      </c>
      <c r="AF54" s="244">
        <v>1.46715575620768</v>
      </c>
      <c r="AG54" s="244">
        <v>0.76002799097065499</v>
      </c>
      <c r="AH54" s="244">
        <v>126.984853273138</v>
      </c>
      <c r="AI54" s="244">
        <v>440.79365688487599</v>
      </c>
      <c r="AJ54" s="244">
        <v>0.41455079006772</v>
      </c>
      <c r="AK54" s="244">
        <v>0.79286455981941295</v>
      </c>
      <c r="AL54" s="244">
        <v>15.406546275395</v>
      </c>
      <c r="AM54" s="244">
        <v>1.41444695259594</v>
      </c>
      <c r="AN54" s="244">
        <v>0.35487584650112902</v>
      </c>
      <c r="AO54" s="244">
        <v>0</v>
      </c>
      <c r="AP54" s="244">
        <v>5.2559819413092602E-2</v>
      </c>
      <c r="AQ54" s="244">
        <v>9.2844243792325101E-2</v>
      </c>
      <c r="AR54" s="244">
        <v>0.147401805869075</v>
      </c>
      <c r="AS54" s="244">
        <v>9.0476297968397304E-2</v>
      </c>
      <c r="AT54" s="244">
        <v>4.6428893905191899E-2</v>
      </c>
      <c r="AU54" s="244">
        <v>3.1932279909706499E-2</v>
      </c>
      <c r="AV54" s="244">
        <v>9.6408577878103904E-2</v>
      </c>
      <c r="AW54" s="244">
        <v>7.1604966139954901E-2</v>
      </c>
      <c r="AX54" s="244">
        <v>2.5993227990970699E-2</v>
      </c>
      <c r="AY54" s="244">
        <v>0.12531602708803599</v>
      </c>
      <c r="AZ54" s="244">
        <v>0.139471783295711</v>
      </c>
      <c r="BA54" s="244">
        <v>0.29508352144469502</v>
      </c>
      <c r="BB54" s="244">
        <v>0.216309255079007</v>
      </c>
      <c r="BC54" s="244">
        <v>0.44314221218961602</v>
      </c>
      <c r="BD54" s="244">
        <v>9.9363431151241605E-2</v>
      </c>
      <c r="BE54" s="244">
        <v>0.101954853273138</v>
      </c>
      <c r="BF54" s="244">
        <v>0.11840632054176101</v>
      </c>
      <c r="BG54" s="244">
        <v>6.8702031602708796E-2</v>
      </c>
      <c r="BH54" s="244">
        <v>30.0730474040632</v>
      </c>
      <c r="BI54" s="244">
        <v>74.112099322799097</v>
      </c>
      <c r="BJ54" s="244">
        <v>179.45823927765201</v>
      </c>
      <c r="BK54" s="244">
        <v>6.5006772009029303</v>
      </c>
      <c r="BL54" s="244">
        <v>912.78103837471804</v>
      </c>
      <c r="BM54" s="244">
        <v>8322.75620767494</v>
      </c>
      <c r="BN54" s="244">
        <v>3632.78329571106</v>
      </c>
      <c r="BO54" s="244">
        <v>1688.79909706546</v>
      </c>
      <c r="BP54" s="244">
        <v>0</v>
      </c>
      <c r="BQ54" s="244">
        <v>153.34388261851001</v>
      </c>
      <c r="BR54" s="244">
        <v>8.3917832957110594</v>
      </c>
      <c r="BS54" s="244">
        <v>0</v>
      </c>
      <c r="BT54" s="244">
        <v>368.89774266365703</v>
      </c>
      <c r="BU54" s="244">
        <v>0.38826185101580102</v>
      </c>
      <c r="BV54" s="244">
        <v>0</v>
      </c>
      <c r="BW54" s="244">
        <v>0</v>
      </c>
      <c r="BX54" s="244">
        <v>2946.9252370203199</v>
      </c>
      <c r="BY54" s="244">
        <v>0</v>
      </c>
      <c r="BZ54" s="244">
        <v>0</v>
      </c>
      <c r="CA54" s="244">
        <v>0.53724604966139999</v>
      </c>
    </row>
    <row r="55" spans="1:79">
      <c r="A55" s="245">
        <v>61302</v>
      </c>
      <c r="B55" s="243" t="s">
        <v>1678</v>
      </c>
      <c r="C55" s="212" t="s">
        <v>1625</v>
      </c>
      <c r="D55" s="246">
        <v>55</v>
      </c>
      <c r="E55" s="248">
        <v>386.63817980022202</v>
      </c>
      <c r="F55" s="244">
        <v>8.6550499445061106</v>
      </c>
      <c r="G55" s="244">
        <v>4.0764261931187598</v>
      </c>
      <c r="H55" s="244">
        <v>0.103995560488346</v>
      </c>
      <c r="I55" s="244">
        <v>91.961420643729198</v>
      </c>
      <c r="J55" s="244">
        <v>0.77314095449500597</v>
      </c>
      <c r="K55" s="244">
        <v>0.138956714761376</v>
      </c>
      <c r="L55" s="244">
        <v>8.7413984461709199E-2</v>
      </c>
      <c r="M55" s="244">
        <v>2.02523862375139</v>
      </c>
      <c r="N55" s="244">
        <v>0.21762486126526101</v>
      </c>
      <c r="O55" s="244">
        <v>0.33175360710321899</v>
      </c>
      <c r="P55" s="244">
        <v>13.3889900110988</v>
      </c>
      <c r="Q55" s="244">
        <v>0</v>
      </c>
      <c r="R55" s="244">
        <v>0</v>
      </c>
      <c r="S55" s="244">
        <v>0.21961154273030001</v>
      </c>
      <c r="T55" s="244">
        <v>7.5960044395116499E-2</v>
      </c>
      <c r="U55" s="244">
        <v>0.57269700332963402</v>
      </c>
      <c r="V55" s="244">
        <v>0</v>
      </c>
      <c r="W55" s="244">
        <v>0</v>
      </c>
      <c r="X55" s="244">
        <v>0</v>
      </c>
      <c r="Y55" s="244">
        <v>0</v>
      </c>
      <c r="Z55" s="244">
        <v>0.86477247502774701</v>
      </c>
      <c r="AA55" s="244">
        <v>0</v>
      </c>
      <c r="AB55" s="244">
        <v>0</v>
      </c>
      <c r="AC55" s="244">
        <v>0</v>
      </c>
      <c r="AD55" s="244">
        <v>48.250876803551598</v>
      </c>
      <c r="AE55" s="244">
        <v>0.46498335183129902</v>
      </c>
      <c r="AF55" s="244">
        <v>1.14277469478357</v>
      </c>
      <c r="AG55" s="244">
        <v>0.85185349611542704</v>
      </c>
      <c r="AH55" s="244">
        <v>109.960221975583</v>
      </c>
      <c r="AI55" s="244">
        <v>223.69460599334101</v>
      </c>
      <c r="AJ55" s="244">
        <v>0</v>
      </c>
      <c r="AK55" s="244">
        <v>0.52779134295227503</v>
      </c>
      <c r="AL55" s="244">
        <v>6.1342952275249697E-2</v>
      </c>
      <c r="AM55" s="244">
        <v>3.22530521642619E-2</v>
      </c>
      <c r="AN55" s="244">
        <v>0.27173140954495001</v>
      </c>
      <c r="AO55" s="244">
        <v>0</v>
      </c>
      <c r="AP55" s="244">
        <v>0.10450388457269701</v>
      </c>
      <c r="AQ55" s="244">
        <v>0.17711653718091</v>
      </c>
      <c r="AR55" s="244">
        <v>0.35729078801331898</v>
      </c>
      <c r="AS55" s="244">
        <v>0.15841398446170901</v>
      </c>
      <c r="AT55" s="244">
        <v>8.9069922308546101E-2</v>
      </c>
      <c r="AU55" s="244">
        <v>6.1475027746947797E-2</v>
      </c>
      <c r="AV55" s="244">
        <v>0.26951942286348501</v>
      </c>
      <c r="AW55" s="244">
        <v>0.14811986681465</v>
      </c>
      <c r="AX55" s="244">
        <v>5.0955604883462798E-2</v>
      </c>
      <c r="AY55" s="244">
        <v>0.25955604883462802</v>
      </c>
      <c r="AZ55" s="244">
        <v>0.30383573806881198</v>
      </c>
      <c r="BA55" s="244">
        <v>0.32740510543840201</v>
      </c>
      <c r="BB55" s="244">
        <v>0.64633740288568298</v>
      </c>
      <c r="BC55" s="244">
        <v>0.87976692563818004</v>
      </c>
      <c r="BD55" s="244">
        <v>0.195744728079911</v>
      </c>
      <c r="BE55" s="244">
        <v>0.187906770255272</v>
      </c>
      <c r="BF55" s="244">
        <v>0.226550499445061</v>
      </c>
      <c r="BG55" s="244">
        <v>0.18584128745837999</v>
      </c>
      <c r="BH55" s="244">
        <v>60.922486126526103</v>
      </c>
      <c r="BI55" s="244">
        <v>375.68923418423998</v>
      </c>
      <c r="BJ55" s="244">
        <v>0</v>
      </c>
      <c r="BK55" s="244">
        <v>0</v>
      </c>
      <c r="BL55" s="244">
        <v>0</v>
      </c>
      <c r="BM55" s="244">
        <v>0</v>
      </c>
      <c r="BN55" s="244">
        <v>0</v>
      </c>
      <c r="BO55" s="244">
        <v>45.818690344062198</v>
      </c>
      <c r="BP55" s="244">
        <v>0</v>
      </c>
      <c r="BQ55" s="244">
        <v>32.901653718090998</v>
      </c>
      <c r="BR55" s="244">
        <v>0</v>
      </c>
      <c r="BS55" s="244">
        <v>0</v>
      </c>
      <c r="BT55" s="244">
        <v>40.332763596004398</v>
      </c>
      <c r="BU55" s="244">
        <v>0.79604883462819098</v>
      </c>
      <c r="BV55" s="244">
        <v>0</v>
      </c>
      <c r="BW55" s="244">
        <v>0</v>
      </c>
      <c r="BX55" s="244">
        <v>10.649322974472801</v>
      </c>
      <c r="BY55" s="244">
        <v>0</v>
      </c>
      <c r="BZ55" s="244">
        <v>0</v>
      </c>
      <c r="CA55" s="244">
        <v>0</v>
      </c>
    </row>
    <row r="56" spans="1:79">
      <c r="A56" s="245">
        <v>67303</v>
      </c>
      <c r="B56" s="243" t="s">
        <v>1679</v>
      </c>
      <c r="C56" s="212" t="s">
        <v>1625</v>
      </c>
      <c r="D56" s="246">
        <v>56</v>
      </c>
      <c r="E56" s="248">
        <v>442.61038961038997</v>
      </c>
      <c r="F56" s="244">
        <v>69.573203463203498</v>
      </c>
      <c r="G56" s="244">
        <v>7.3322077922077904</v>
      </c>
      <c r="H56" s="244">
        <v>37.985800865800897</v>
      </c>
      <c r="I56" s="244">
        <v>18.168787878787899</v>
      </c>
      <c r="J56" s="244">
        <v>4.5966233766233797</v>
      </c>
      <c r="K56" s="244">
        <v>0.139457142857143</v>
      </c>
      <c r="L56" s="244">
        <v>4.9548051948052001E-2</v>
      </c>
      <c r="M56" s="244">
        <v>0.73121645021644999</v>
      </c>
      <c r="N56" s="244">
        <v>0.230580952380952</v>
      </c>
      <c r="O56" s="244">
        <v>0.164011688311688</v>
      </c>
      <c r="P56" s="244">
        <v>98.596103896103898</v>
      </c>
      <c r="Q56" s="244">
        <v>0</v>
      </c>
      <c r="R56" s="244">
        <v>2.0702337662337702</v>
      </c>
      <c r="S56" s="244">
        <v>0.40324675324675302</v>
      </c>
      <c r="T56" s="244">
        <v>0.88445021645021604</v>
      </c>
      <c r="U56" s="244">
        <v>72.791640692640698</v>
      </c>
      <c r="V56" s="244">
        <v>0</v>
      </c>
      <c r="W56" s="244">
        <v>1.71775757575758</v>
      </c>
      <c r="X56" s="244">
        <v>0</v>
      </c>
      <c r="Y56" s="244">
        <v>21.057865800865802</v>
      </c>
      <c r="Z56" s="244">
        <v>43.106060606060602</v>
      </c>
      <c r="AA56" s="244">
        <v>0</v>
      </c>
      <c r="AB56" s="244">
        <v>0</v>
      </c>
      <c r="AC56" s="244">
        <v>1.4663982683982699</v>
      </c>
      <c r="AD56" s="244">
        <v>21.416623376623399</v>
      </c>
      <c r="AE56" s="244">
        <v>0.49193939393939401</v>
      </c>
      <c r="AF56" s="244">
        <v>1.7533766233766199</v>
      </c>
      <c r="AG56" s="244">
        <v>0.56872727272727297</v>
      </c>
      <c r="AH56" s="244">
        <v>110.47619047619</v>
      </c>
      <c r="AI56" s="244">
        <v>322.13822510822501</v>
      </c>
      <c r="AJ56" s="244">
        <v>2.5069696969697</v>
      </c>
      <c r="AK56" s="244">
        <v>1.06727272727273</v>
      </c>
      <c r="AL56" s="244">
        <v>5.8423679653679699</v>
      </c>
      <c r="AM56" s="244">
        <v>8.6568831168831206</v>
      </c>
      <c r="AN56" s="244">
        <v>21.734588744588699</v>
      </c>
      <c r="AO56" s="244">
        <v>0</v>
      </c>
      <c r="AP56" s="244">
        <v>9.9220779220779206E-3</v>
      </c>
      <c r="AQ56" s="244">
        <v>1.8770562770562799E-2</v>
      </c>
      <c r="AR56" s="244">
        <v>2.9393939393939399E-2</v>
      </c>
      <c r="AS56" s="244">
        <v>1.9350649350649399E-2</v>
      </c>
      <c r="AT56" s="244">
        <v>4.4199134199134201E-3</v>
      </c>
      <c r="AU56" s="244">
        <v>4.16017316017316E-3</v>
      </c>
      <c r="AV56" s="244">
        <v>2.4549783549783599E-2</v>
      </c>
      <c r="AW56" s="244">
        <v>1.60995670995671E-2</v>
      </c>
      <c r="AX56" s="244">
        <v>4.55411255411255E-3</v>
      </c>
      <c r="AY56" s="244">
        <v>2.3705627705627699E-2</v>
      </c>
      <c r="AZ56" s="244">
        <v>2.6645021645021701E-2</v>
      </c>
      <c r="BA56" s="244">
        <v>2.5683982683982701E-2</v>
      </c>
      <c r="BB56" s="244">
        <v>8.2411255411255394E-2</v>
      </c>
      <c r="BC56" s="244">
        <v>0.102077922077922</v>
      </c>
      <c r="BD56" s="244">
        <v>2.14675324675325E-2</v>
      </c>
      <c r="BE56" s="244">
        <v>1.7688311688311701E-2</v>
      </c>
      <c r="BF56" s="244">
        <v>2.02640692640693E-2</v>
      </c>
      <c r="BG56" s="244">
        <v>1.45584415584416E-2</v>
      </c>
      <c r="BH56" s="244">
        <v>9.1914718614718591</v>
      </c>
      <c r="BI56" s="244">
        <v>5.4011255411255403</v>
      </c>
      <c r="BJ56" s="244">
        <v>0.62770562770562799</v>
      </c>
      <c r="BK56" s="244">
        <v>2.7437229437229398</v>
      </c>
      <c r="BL56" s="244">
        <v>0</v>
      </c>
      <c r="BM56" s="244">
        <v>0</v>
      </c>
      <c r="BN56" s="244">
        <v>0.120779220779221</v>
      </c>
      <c r="BO56" s="244">
        <v>20.263030303030298</v>
      </c>
      <c r="BP56" s="244">
        <v>0</v>
      </c>
      <c r="BQ56" s="244">
        <v>17.409220779220799</v>
      </c>
      <c r="BR56" s="244">
        <v>0</v>
      </c>
      <c r="BS56" s="244">
        <v>0</v>
      </c>
      <c r="BT56" s="244">
        <v>71.293246753246805</v>
      </c>
      <c r="BU56" s="244">
        <v>11.003679653679701</v>
      </c>
      <c r="BV56" s="244">
        <v>0</v>
      </c>
      <c r="BW56" s="244">
        <v>0</v>
      </c>
      <c r="BX56" s="244">
        <v>3.73675324675325</v>
      </c>
      <c r="BY56" s="244">
        <v>0</v>
      </c>
      <c r="BZ56" s="244">
        <v>0</v>
      </c>
      <c r="CA56" s="244">
        <v>0.57142857142857095</v>
      </c>
    </row>
    <row r="57" spans="1:79">
      <c r="A57" s="245">
        <v>71203</v>
      </c>
      <c r="B57" s="243" t="s">
        <v>1680</v>
      </c>
      <c r="C57" s="212" t="s">
        <v>1625</v>
      </c>
      <c r="D57" s="246">
        <v>57</v>
      </c>
      <c r="E57" s="248">
        <v>34.0315755208333</v>
      </c>
      <c r="F57" s="244">
        <v>114.609700520833</v>
      </c>
      <c r="G57" s="244">
        <v>0.156549479166667</v>
      </c>
      <c r="H57" s="244">
        <v>1.6920572916666699E-2</v>
      </c>
      <c r="I57" s="244">
        <v>8.2611295572916692</v>
      </c>
      <c r="J57" s="244">
        <v>0.103642578125</v>
      </c>
      <c r="K57" s="244">
        <v>2.9687499999999999E-4</v>
      </c>
      <c r="L57" s="244">
        <v>6.7910156249999997E-3</v>
      </c>
      <c r="M57" s="244">
        <v>7.7186848958333401E-2</v>
      </c>
      <c r="N57" s="244">
        <v>1.1315104166666701E-2</v>
      </c>
      <c r="O57" s="244">
        <v>3.8229166666666702E-3</v>
      </c>
      <c r="P57" s="244">
        <v>0.74812825520833304</v>
      </c>
      <c r="Q57" s="244">
        <v>0</v>
      </c>
      <c r="R57" s="244">
        <v>2.0833333333333301E-2</v>
      </c>
      <c r="S57" s="244">
        <v>8.66178385416667E-2</v>
      </c>
      <c r="T57" s="244">
        <v>8.6067708333333309E-3</v>
      </c>
      <c r="U57" s="244">
        <v>0.42337239583333303</v>
      </c>
      <c r="V57" s="244">
        <v>0</v>
      </c>
      <c r="W57" s="244">
        <v>5.3808593749999998E-3</v>
      </c>
      <c r="X57" s="244">
        <v>8.3496093750000007E-3</v>
      </c>
      <c r="Y57" s="244">
        <v>3.0087890624999999E-2</v>
      </c>
      <c r="Z57" s="244">
        <v>0.15750390624999999</v>
      </c>
      <c r="AA57" s="244">
        <v>0</v>
      </c>
      <c r="AB57" s="244">
        <v>0</v>
      </c>
      <c r="AC57" s="244">
        <v>5.7482421875000002E-2</v>
      </c>
      <c r="AD57" s="244">
        <v>2.5990885416666698</v>
      </c>
      <c r="AE57" s="244">
        <v>1.49407552083333E-2</v>
      </c>
      <c r="AF57" s="244">
        <v>4.0592447916666698E-2</v>
      </c>
      <c r="AG57" s="244">
        <v>0.100826822916667</v>
      </c>
      <c r="AH57" s="244">
        <v>2.01530794270833</v>
      </c>
      <c r="AI57" s="244">
        <v>42.352727213541698</v>
      </c>
      <c r="AJ57" s="244">
        <v>5.4443359375E-2</v>
      </c>
      <c r="AK57" s="244">
        <v>2.3512369791666699E-2</v>
      </c>
      <c r="AL57" s="244">
        <v>1.5950520833333301E-2</v>
      </c>
      <c r="AM57" s="244">
        <v>1.3248697916666699E-3</v>
      </c>
      <c r="AN57" s="244">
        <v>7.3079427083333299E-3</v>
      </c>
      <c r="AO57" s="244">
        <v>0</v>
      </c>
      <c r="AP57" s="244">
        <v>4.9544270833333298E-4</v>
      </c>
      <c r="AQ57" s="244">
        <v>1.03873697916667E-3</v>
      </c>
      <c r="AR57" s="244">
        <v>1.8330078125E-3</v>
      </c>
      <c r="AS57" s="244">
        <v>9.0917968750000005E-4</v>
      </c>
      <c r="AT57" s="244">
        <v>2.80598958333333E-4</v>
      </c>
      <c r="AU57" s="244">
        <v>2.3339843749999999E-4</v>
      </c>
      <c r="AV57" s="244">
        <v>1.2447916666666701E-3</v>
      </c>
      <c r="AW57" s="244">
        <v>1.1813151041666699E-3</v>
      </c>
      <c r="AX57" s="244">
        <v>2.8092447916666701E-4</v>
      </c>
      <c r="AY57" s="244">
        <v>1.25748697916667E-3</v>
      </c>
      <c r="AZ57" s="244">
        <v>1.3408203125E-3</v>
      </c>
      <c r="BA57" s="244">
        <v>1.740234375E-3</v>
      </c>
      <c r="BB57" s="244">
        <v>4.1819661458333303E-3</v>
      </c>
      <c r="BC57" s="244">
        <v>4.2545572916666699E-3</v>
      </c>
      <c r="BD57" s="244">
        <v>1.39713541666667E-3</v>
      </c>
      <c r="BE57" s="244">
        <v>9.8404947916666693E-4</v>
      </c>
      <c r="BF57" s="244">
        <v>1.4192708333333299E-3</v>
      </c>
      <c r="BG57" s="244">
        <v>1.0224609374999999E-3</v>
      </c>
      <c r="BH57" s="244">
        <v>4.830078125</v>
      </c>
      <c r="BI57" s="244">
        <v>0.49186197916666702</v>
      </c>
      <c r="BJ57" s="244">
        <v>0</v>
      </c>
      <c r="BK57" s="244">
        <v>2.60416666666667E-3</v>
      </c>
      <c r="BL57" s="244">
        <v>0</v>
      </c>
      <c r="BM57" s="244">
        <v>0.25218750000000001</v>
      </c>
      <c r="BN57" s="244">
        <v>0.11510416666666699</v>
      </c>
      <c r="BO57" s="244">
        <v>7.328125</v>
      </c>
      <c r="BP57" s="244">
        <v>0</v>
      </c>
      <c r="BQ57" s="244">
        <v>2.9918098958333301</v>
      </c>
      <c r="BR57" s="244">
        <v>0</v>
      </c>
      <c r="BS57" s="244">
        <v>0</v>
      </c>
      <c r="BT57" s="244">
        <v>8.4111328125</v>
      </c>
      <c r="BU57" s="244">
        <v>1.5171484374999999</v>
      </c>
      <c r="BV57" s="244">
        <v>0</v>
      </c>
      <c r="BW57" s="244">
        <v>0</v>
      </c>
      <c r="BX57" s="244">
        <v>2.2321484374999998</v>
      </c>
      <c r="BY57" s="244">
        <v>0</v>
      </c>
      <c r="BZ57" s="244">
        <v>0</v>
      </c>
      <c r="CA57" s="244">
        <v>0</v>
      </c>
    </row>
    <row r="58" spans="1:79">
      <c r="A58" s="245">
        <v>12304</v>
      </c>
      <c r="B58" s="243" t="s">
        <v>1681</v>
      </c>
      <c r="C58" s="212" t="s">
        <v>1625</v>
      </c>
      <c r="D58" s="246">
        <v>58</v>
      </c>
      <c r="E58" s="248">
        <v>188.187830687831</v>
      </c>
      <c r="F58" s="244">
        <v>91.282354497354504</v>
      </c>
      <c r="G58" s="244">
        <v>5.7541005291005298</v>
      </c>
      <c r="H58" s="244">
        <v>0.88941798941799</v>
      </c>
      <c r="I58" s="244">
        <v>38.147354497354499</v>
      </c>
      <c r="J58" s="244">
        <v>2.3970899470899498</v>
      </c>
      <c r="K58" s="244">
        <v>6.3452380952380996E-2</v>
      </c>
      <c r="L58" s="244">
        <v>2.4404761904761901E-2</v>
      </c>
      <c r="M58" s="244">
        <v>0.92738095238095197</v>
      </c>
      <c r="N58" s="244">
        <v>0.31238095238095198</v>
      </c>
      <c r="O58" s="244">
        <v>4.8809523809523803E-2</v>
      </c>
      <c r="P58" s="244">
        <v>7.5925925925925899</v>
      </c>
      <c r="Q58" s="244">
        <v>0</v>
      </c>
      <c r="R58" s="244">
        <v>0</v>
      </c>
      <c r="S58" s="244">
        <v>3.5902116402116402</v>
      </c>
      <c r="T58" s="244">
        <v>0.23320105820105799</v>
      </c>
      <c r="U58" s="244">
        <v>0.16269841269841301</v>
      </c>
      <c r="V58" s="244">
        <v>0</v>
      </c>
      <c r="W58" s="244">
        <v>0</v>
      </c>
      <c r="X58" s="244">
        <v>0</v>
      </c>
      <c r="Y58" s="244">
        <v>1.3032142857142901</v>
      </c>
      <c r="Z58" s="244">
        <v>0</v>
      </c>
      <c r="AA58" s="244">
        <v>0</v>
      </c>
      <c r="AB58" s="244">
        <v>0</v>
      </c>
      <c r="AC58" s="244">
        <v>0</v>
      </c>
      <c r="AD58" s="244">
        <v>7.4654761904761902</v>
      </c>
      <c r="AE58" s="244">
        <v>0.103042328042328</v>
      </c>
      <c r="AF58" s="244">
        <v>2.06084656084656</v>
      </c>
      <c r="AG58" s="244">
        <v>0.37020634920634898</v>
      </c>
      <c r="AH58" s="244">
        <v>75.925925925925895</v>
      </c>
      <c r="AI58" s="244">
        <v>114.056481481481</v>
      </c>
      <c r="AJ58" s="244">
        <v>18.384920634920601</v>
      </c>
      <c r="AK58" s="244">
        <v>0.84060846560846603</v>
      </c>
      <c r="AL58" s="244">
        <v>0.11931216931216899</v>
      </c>
      <c r="AM58" s="244">
        <v>8.1349206349206393E-2</v>
      </c>
      <c r="AN58" s="244">
        <v>0.39589947089947097</v>
      </c>
      <c r="AO58" s="244">
        <v>0</v>
      </c>
      <c r="AP58" s="244">
        <v>0.12419312169312199</v>
      </c>
      <c r="AQ58" s="244">
        <v>0.166494708994709</v>
      </c>
      <c r="AR58" s="244">
        <v>0.374748677248677</v>
      </c>
      <c r="AS58" s="244">
        <v>0.14968253968254</v>
      </c>
      <c r="AT58" s="244">
        <v>0.11931216931216899</v>
      </c>
      <c r="AU58" s="244">
        <v>0.118227513227513</v>
      </c>
      <c r="AV58" s="244">
        <v>0.25760582010582</v>
      </c>
      <c r="AW58" s="244">
        <v>0.16269841269841301</v>
      </c>
      <c r="AX58" s="244">
        <v>6.7248677248677294E-2</v>
      </c>
      <c r="AY58" s="244">
        <v>0.24404761904761901</v>
      </c>
      <c r="AZ58" s="244">
        <v>0.30153439153439199</v>
      </c>
      <c r="BA58" s="244">
        <v>0.23862433862433899</v>
      </c>
      <c r="BB58" s="244">
        <v>0.27387566137566099</v>
      </c>
      <c r="BC58" s="244">
        <v>1.9182142857142901</v>
      </c>
      <c r="BD58" s="244">
        <v>0.22343915343915299</v>
      </c>
      <c r="BE58" s="244">
        <v>0.57757936507936503</v>
      </c>
      <c r="BF58" s="244">
        <v>0.27387566137566099</v>
      </c>
      <c r="BG58" s="244">
        <v>0.14642857142857099</v>
      </c>
      <c r="BH58" s="244">
        <v>0</v>
      </c>
      <c r="BI58" s="244">
        <v>123.650793650794</v>
      </c>
      <c r="BJ58" s="244">
        <v>0</v>
      </c>
      <c r="BK58" s="244">
        <v>0</v>
      </c>
      <c r="BL58" s="244">
        <v>0</v>
      </c>
      <c r="BM58" s="244">
        <v>0</v>
      </c>
      <c r="BN58" s="244">
        <v>0</v>
      </c>
      <c r="BO58" s="244">
        <v>49.482010582010602</v>
      </c>
      <c r="BP58" s="244">
        <v>0</v>
      </c>
      <c r="BQ58" s="244">
        <v>27.463492063492101</v>
      </c>
      <c r="BR58" s="244">
        <v>0</v>
      </c>
      <c r="BS58" s="244">
        <v>0</v>
      </c>
      <c r="BT58" s="244">
        <v>176.256613756614</v>
      </c>
      <c r="BU58" s="244">
        <v>9.4636243386243404</v>
      </c>
      <c r="BV58" s="244">
        <v>0</v>
      </c>
      <c r="BW58" s="244">
        <v>0</v>
      </c>
      <c r="BX58" s="244">
        <v>3.9644179894179898</v>
      </c>
      <c r="BY58" s="244">
        <v>0</v>
      </c>
      <c r="BZ58" s="244">
        <v>0</v>
      </c>
      <c r="CA58" s="244">
        <v>0.46560846560846603</v>
      </c>
    </row>
    <row r="59" spans="1:79">
      <c r="A59" s="245">
        <v>62507</v>
      </c>
      <c r="B59" s="243" t="s">
        <v>1682</v>
      </c>
      <c r="C59" s="212" t="s">
        <v>1625</v>
      </c>
      <c r="D59" s="246">
        <v>59</v>
      </c>
      <c r="E59" s="248">
        <v>423.21292217327499</v>
      </c>
      <c r="F59" s="244">
        <v>31.467929515418501</v>
      </c>
      <c r="G59" s="244">
        <v>9.1424229074889904</v>
      </c>
      <c r="H59" s="244">
        <v>22.235447870778302</v>
      </c>
      <c r="I59" s="244">
        <v>45.552687224669597</v>
      </c>
      <c r="J59" s="244">
        <v>4.0448164464023497</v>
      </c>
      <c r="K59" s="244">
        <v>0.115791424375918</v>
      </c>
      <c r="L59" s="244">
        <v>3.735859030837E-2</v>
      </c>
      <c r="M59" s="244">
        <v>1.1484140969162999</v>
      </c>
      <c r="N59" s="244">
        <v>0.48491864904552101</v>
      </c>
      <c r="O59" s="244">
        <v>8.1980558002936896E-2</v>
      </c>
      <c r="P59" s="244">
        <v>9.7171806167400891</v>
      </c>
      <c r="Q59" s="244">
        <v>0</v>
      </c>
      <c r="R59" s="244">
        <v>0.32926284875183598</v>
      </c>
      <c r="S59" s="244">
        <v>4.0019582966226102</v>
      </c>
      <c r="T59" s="244">
        <v>0.648655859030837</v>
      </c>
      <c r="U59" s="244">
        <v>39.2638766519824</v>
      </c>
      <c r="V59" s="244">
        <v>0</v>
      </c>
      <c r="W59" s="244">
        <v>1.4903817914831099</v>
      </c>
      <c r="X59" s="244">
        <v>0</v>
      </c>
      <c r="Y59" s="244">
        <v>17.486130690161499</v>
      </c>
      <c r="Z59" s="244">
        <v>2.85286343612335</v>
      </c>
      <c r="AA59" s="244">
        <v>5.3509544787077798E-2</v>
      </c>
      <c r="AB59" s="244">
        <v>2.3480176211453698</v>
      </c>
      <c r="AC59" s="244">
        <v>3.98760646108664</v>
      </c>
      <c r="AD59" s="244">
        <v>11.627488986784099</v>
      </c>
      <c r="AE59" s="244">
        <v>0.17166372980910399</v>
      </c>
      <c r="AF59" s="244">
        <v>2.8225991189427302</v>
      </c>
      <c r="AG59" s="244">
        <v>0.59688399412628501</v>
      </c>
      <c r="AH59" s="244">
        <v>107.612041116006</v>
      </c>
      <c r="AI59" s="244">
        <v>181.901101321586</v>
      </c>
      <c r="AJ59" s="244">
        <v>19.71</v>
      </c>
      <c r="AK59" s="244">
        <v>1.2875506607929501</v>
      </c>
      <c r="AL59" s="244">
        <v>3.44741556534508</v>
      </c>
      <c r="AM59" s="244">
        <v>4.9511894273127801</v>
      </c>
      <c r="AN59" s="244">
        <v>12.698682819383301</v>
      </c>
      <c r="AO59" s="244">
        <v>0</v>
      </c>
      <c r="AP59" s="244">
        <v>0.20035682819383299</v>
      </c>
      <c r="AQ59" s="244">
        <v>0.29008076358296597</v>
      </c>
      <c r="AR59" s="244">
        <v>0.61617180616740097</v>
      </c>
      <c r="AS59" s="244">
        <v>0.385221732745962</v>
      </c>
      <c r="AT59" s="244">
        <v>0.14351101321585899</v>
      </c>
      <c r="AU59" s="244">
        <v>0.14969456681351001</v>
      </c>
      <c r="AV59" s="244">
        <v>0.42838325991189402</v>
      </c>
      <c r="AW59" s="244">
        <v>0.28438032305433197</v>
      </c>
      <c r="AX59" s="244">
        <v>9.94992657856094E-2</v>
      </c>
      <c r="AY59" s="244">
        <v>0.40698825256975002</v>
      </c>
      <c r="AZ59" s="244">
        <v>0.52648458149779698</v>
      </c>
      <c r="BA59" s="244">
        <v>0.49620998531571198</v>
      </c>
      <c r="BB59" s="244">
        <v>0.63846842878120402</v>
      </c>
      <c r="BC59" s="244">
        <v>2.6357929515418501</v>
      </c>
      <c r="BD59" s="244">
        <v>0.36202349486049901</v>
      </c>
      <c r="BE59" s="244">
        <v>0.73273861967694598</v>
      </c>
      <c r="BF59" s="244">
        <v>0.45439794419970603</v>
      </c>
      <c r="BG59" s="244">
        <v>0.24592217327459601</v>
      </c>
      <c r="BH59" s="244">
        <v>1.45080763582966</v>
      </c>
      <c r="BI59" s="244">
        <v>147.22173274596199</v>
      </c>
      <c r="BJ59" s="244">
        <v>9.8384728340675506E-2</v>
      </c>
      <c r="BK59" s="244">
        <v>3.2644640234948601</v>
      </c>
      <c r="BL59" s="244">
        <v>0</v>
      </c>
      <c r="BM59" s="244">
        <v>0</v>
      </c>
      <c r="BN59" s="244">
        <v>8.8487518355359798E-2</v>
      </c>
      <c r="BO59" s="244">
        <v>66.956710719530093</v>
      </c>
      <c r="BP59" s="244">
        <v>0</v>
      </c>
      <c r="BQ59" s="244">
        <v>60.160704845814998</v>
      </c>
      <c r="BR59" s="244">
        <v>9.9118942731277505E-3</v>
      </c>
      <c r="BS59" s="244">
        <v>0</v>
      </c>
      <c r="BT59" s="244">
        <v>241.30443465491899</v>
      </c>
      <c r="BU59" s="244">
        <v>19.5222173274596</v>
      </c>
      <c r="BV59" s="244">
        <v>0</v>
      </c>
      <c r="BW59" s="244">
        <v>0</v>
      </c>
      <c r="BX59" s="244">
        <v>6.9321292217327501</v>
      </c>
      <c r="BY59" s="244">
        <v>0</v>
      </c>
      <c r="BZ59" s="244">
        <v>0</v>
      </c>
      <c r="CA59" s="244">
        <v>0.89280469897210002</v>
      </c>
    </row>
    <row r="60" spans="1:79">
      <c r="A60" s="245">
        <v>12306</v>
      </c>
      <c r="B60" s="243" t="s">
        <v>1655</v>
      </c>
      <c r="C60" s="212" t="s">
        <v>1625</v>
      </c>
      <c r="D60" s="246">
        <v>60</v>
      </c>
      <c r="E60" s="248">
        <v>628.73449131513701</v>
      </c>
      <c r="F60" s="244">
        <v>33.310868486352398</v>
      </c>
      <c r="G60" s="244">
        <v>6.9504714640198504</v>
      </c>
      <c r="H60" s="244">
        <v>46.483771712158799</v>
      </c>
      <c r="I60" s="244">
        <v>46.078808933002499</v>
      </c>
      <c r="J60" s="244">
        <v>2.8954838709677402</v>
      </c>
      <c r="K60" s="244">
        <v>7.6645161290322603E-2</v>
      </c>
      <c r="L60" s="244">
        <v>2.94789081885856E-2</v>
      </c>
      <c r="M60" s="244">
        <v>1.12019851116625</v>
      </c>
      <c r="N60" s="244">
        <v>0.37733002481389599</v>
      </c>
      <c r="O60" s="244">
        <v>5.89578163771712E-2</v>
      </c>
      <c r="P60" s="244">
        <v>9.1712158808932998</v>
      </c>
      <c r="Q60" s="244">
        <v>0</v>
      </c>
      <c r="R60" s="244">
        <v>0</v>
      </c>
      <c r="S60" s="244">
        <v>4.3366749379652596</v>
      </c>
      <c r="T60" s="244">
        <v>1.0245856079404501</v>
      </c>
      <c r="U60" s="244">
        <v>83.7498759305211</v>
      </c>
      <c r="V60" s="244">
        <v>0</v>
      </c>
      <c r="W60" s="244">
        <v>0</v>
      </c>
      <c r="X60" s="244">
        <v>0</v>
      </c>
      <c r="Y60" s="244">
        <v>1.5741736972704701</v>
      </c>
      <c r="Z60" s="244">
        <v>0</v>
      </c>
      <c r="AA60" s="244">
        <v>0</v>
      </c>
      <c r="AB60" s="244">
        <v>0</v>
      </c>
      <c r="AC60" s="244">
        <v>0</v>
      </c>
      <c r="AD60" s="244">
        <v>8.6266997518610395</v>
      </c>
      <c r="AE60" s="244">
        <v>0.124466501240695</v>
      </c>
      <c r="AF60" s="244">
        <v>2.5120347394540898</v>
      </c>
      <c r="AG60" s="244">
        <v>0.44692803970223299</v>
      </c>
      <c r="AH60" s="244">
        <v>91.712158808932998</v>
      </c>
      <c r="AI60" s="244">
        <v>137.755037220844</v>
      </c>
      <c r="AJ60" s="244">
        <v>22.207444168734501</v>
      </c>
      <c r="AK60" s="244">
        <v>1.0199255583126601</v>
      </c>
      <c r="AL60" s="244">
        <v>7.2279900744416903</v>
      </c>
      <c r="AM60" s="244">
        <v>10.451612903225801</v>
      </c>
      <c r="AN60" s="244">
        <v>26.679454094292801</v>
      </c>
      <c r="AO60" s="244">
        <v>0</v>
      </c>
      <c r="AP60" s="244">
        <v>0.15001488833746901</v>
      </c>
      <c r="AQ60" s="244">
        <v>0.201111662531017</v>
      </c>
      <c r="AR60" s="244">
        <v>0.45266501240694801</v>
      </c>
      <c r="AS60" s="244">
        <v>0.18080397022332501</v>
      </c>
      <c r="AT60" s="244">
        <v>0.144119106699752</v>
      </c>
      <c r="AU60" s="244">
        <v>0.14280893300248099</v>
      </c>
      <c r="AV60" s="244">
        <v>0.31116625310173701</v>
      </c>
      <c r="AW60" s="244">
        <v>0.19652605459057099</v>
      </c>
      <c r="AX60" s="244">
        <v>8.1230769230769204E-2</v>
      </c>
      <c r="AY60" s="244">
        <v>0.29478908188585601</v>
      </c>
      <c r="AZ60" s="244">
        <v>0.36422828784119099</v>
      </c>
      <c r="BA60" s="244">
        <v>0.28823821339950401</v>
      </c>
      <c r="BB60" s="244">
        <v>0.33081885856079402</v>
      </c>
      <c r="BC60" s="244">
        <v>2.3170421836228301</v>
      </c>
      <c r="BD60" s="244">
        <v>0.26989578163771699</v>
      </c>
      <c r="BE60" s="244">
        <v>0.69766749379652604</v>
      </c>
      <c r="BF60" s="244">
        <v>0.33081885856079402</v>
      </c>
      <c r="BG60" s="244">
        <v>0.17687344913151401</v>
      </c>
      <c r="BH60" s="244">
        <v>0</v>
      </c>
      <c r="BI60" s="244">
        <v>149.35980148883399</v>
      </c>
      <c r="BJ60" s="244">
        <v>0</v>
      </c>
      <c r="BK60" s="244">
        <v>0</v>
      </c>
      <c r="BL60" s="244">
        <v>0</v>
      </c>
      <c r="BM60" s="244">
        <v>0</v>
      </c>
      <c r="BN60" s="244">
        <v>0</v>
      </c>
      <c r="BO60" s="244">
        <v>64.996749379652599</v>
      </c>
      <c r="BP60" s="244">
        <v>0</v>
      </c>
      <c r="BQ60" s="244">
        <v>44.0991066997519</v>
      </c>
      <c r="BR60" s="244">
        <v>0</v>
      </c>
      <c r="BS60" s="244">
        <v>0</v>
      </c>
      <c r="BT60" s="244">
        <v>237.778511166253</v>
      </c>
      <c r="BU60" s="244">
        <v>13.792555831265499</v>
      </c>
      <c r="BV60" s="244">
        <v>0</v>
      </c>
      <c r="BW60" s="244">
        <v>0</v>
      </c>
      <c r="BX60" s="244">
        <v>6.6413895781637704</v>
      </c>
      <c r="BY60" s="244">
        <v>0</v>
      </c>
      <c r="BZ60" s="244">
        <v>0</v>
      </c>
      <c r="CA60" s="244">
        <v>0.218362282878412</v>
      </c>
    </row>
    <row r="61" spans="1:79">
      <c r="A61" s="245">
        <v>24105</v>
      </c>
      <c r="B61" s="243" t="s">
        <v>1683</v>
      </c>
      <c r="C61" s="212" t="s">
        <v>1625</v>
      </c>
      <c r="D61" s="246">
        <v>61</v>
      </c>
      <c r="E61" s="248">
        <v>112.94570610687001</v>
      </c>
      <c r="F61" s="244">
        <v>130.83041698473301</v>
      </c>
      <c r="G61" s="244">
        <v>1.5016416030534401</v>
      </c>
      <c r="H61" s="244">
        <v>5.8783877862595402</v>
      </c>
      <c r="I61" s="244">
        <v>12.665150763358801</v>
      </c>
      <c r="J61" s="244">
        <v>2.2632309160305302</v>
      </c>
      <c r="K61" s="244">
        <v>5.6650190839694699E-2</v>
      </c>
      <c r="L61" s="244">
        <v>2.5565505725190799E-2</v>
      </c>
      <c r="M61" s="244">
        <v>0.343753148854962</v>
      </c>
      <c r="N61" s="244">
        <v>0.103087977099237</v>
      </c>
      <c r="O61" s="244">
        <v>0.114160687022901</v>
      </c>
      <c r="P61" s="244">
        <v>10.7992175572519</v>
      </c>
      <c r="Q61" s="244">
        <v>0</v>
      </c>
      <c r="R61" s="244">
        <v>7.2024012404580198</v>
      </c>
      <c r="S61" s="244">
        <v>0.47200381679389303</v>
      </c>
      <c r="T61" s="244">
        <v>0.34922328244274797</v>
      </c>
      <c r="U61" s="244">
        <v>19.037412213740499</v>
      </c>
      <c r="V61" s="244">
        <v>0</v>
      </c>
      <c r="W61" s="244">
        <v>5.1327776717557301</v>
      </c>
      <c r="X61" s="244">
        <v>0.75572519083969503</v>
      </c>
      <c r="Y61" s="244">
        <v>52.539121183206099</v>
      </c>
      <c r="Z61" s="244">
        <v>143.07269274809201</v>
      </c>
      <c r="AA61" s="244">
        <v>0</v>
      </c>
      <c r="AB61" s="244">
        <v>0</v>
      </c>
      <c r="AC61" s="244">
        <v>2.5971570610687</v>
      </c>
      <c r="AD61" s="244">
        <v>23.7946395038168</v>
      </c>
      <c r="AE61" s="244">
        <v>0.21842366412213701</v>
      </c>
      <c r="AF61" s="244">
        <v>0.57094675572519105</v>
      </c>
      <c r="AG61" s="244">
        <v>0.40497652671755702</v>
      </c>
      <c r="AH61" s="244">
        <v>51.046965648855</v>
      </c>
      <c r="AI61" s="244">
        <v>330.24635496183203</v>
      </c>
      <c r="AJ61" s="244">
        <v>0.199265839694657</v>
      </c>
      <c r="AK61" s="244">
        <v>0.334269847328244</v>
      </c>
      <c r="AL61" s="244">
        <v>0.93081660305343505</v>
      </c>
      <c r="AM61" s="244">
        <v>1.3231784351145</v>
      </c>
      <c r="AN61" s="244">
        <v>3.3814448473282401</v>
      </c>
      <c r="AO61" s="244">
        <v>0</v>
      </c>
      <c r="AP61" s="244">
        <v>4.3239541984732802E-2</v>
      </c>
      <c r="AQ61" s="244">
        <v>6.7192442748091594E-2</v>
      </c>
      <c r="AR61" s="244">
        <v>0.13648324427480901</v>
      </c>
      <c r="AS61" s="244">
        <v>8.4757709923664104E-2</v>
      </c>
      <c r="AT61" s="244">
        <v>1.71292175572519E-2</v>
      </c>
      <c r="AU61" s="244">
        <v>2.9745171755725199E-2</v>
      </c>
      <c r="AV61" s="244">
        <v>0.110552633587786</v>
      </c>
      <c r="AW61" s="244">
        <v>7.5065896946564903E-2</v>
      </c>
      <c r="AX61" s="244">
        <v>2.49640076335878E-2</v>
      </c>
      <c r="AY61" s="244">
        <v>0.113085591603053</v>
      </c>
      <c r="AZ61" s="244">
        <v>1.4541431297709901E-2</v>
      </c>
      <c r="BA61" s="244">
        <v>2.6021564885496201E-2</v>
      </c>
      <c r="BB61" s="244">
        <v>4.0010667938931301E-2</v>
      </c>
      <c r="BC61" s="244">
        <v>5.2938740458015297E-2</v>
      </c>
      <c r="BD61" s="244">
        <v>1.3729980916030501E-2</v>
      </c>
      <c r="BE61" s="244">
        <v>1.0030534351144999E-2</v>
      </c>
      <c r="BF61" s="244">
        <v>1.15379007633588E-2</v>
      </c>
      <c r="BG61" s="244">
        <v>8.2474942748091598E-2</v>
      </c>
      <c r="BH61" s="244">
        <v>41.6556870229008</v>
      </c>
      <c r="BI61" s="244">
        <v>10.9701145038168</v>
      </c>
      <c r="BJ61" s="244">
        <v>1.9370229007633599</v>
      </c>
      <c r="BK61" s="244">
        <v>1.40343511450382</v>
      </c>
      <c r="BL61" s="244">
        <v>0</v>
      </c>
      <c r="BM61" s="244">
        <v>0.231011450381679</v>
      </c>
      <c r="BN61" s="244">
        <v>0.26517175572519103</v>
      </c>
      <c r="BO61" s="244">
        <v>30.873587786259499</v>
      </c>
      <c r="BP61" s="244">
        <v>3.0229007633587801</v>
      </c>
      <c r="BQ61" s="244">
        <v>19.551927480916</v>
      </c>
      <c r="BR61" s="244">
        <v>0.17444656488549601</v>
      </c>
      <c r="BS61" s="244">
        <v>1.57442748091603E-2</v>
      </c>
      <c r="BT61" s="244">
        <v>62.358148854961797</v>
      </c>
      <c r="BU61" s="244">
        <v>11.1446755725191</v>
      </c>
      <c r="BV61" s="244">
        <v>3.5477099236641201</v>
      </c>
      <c r="BW61" s="244">
        <v>0</v>
      </c>
      <c r="BX61" s="244">
        <v>7.5485963740458004</v>
      </c>
      <c r="BY61" s="244">
        <v>4.5973282442748099E-2</v>
      </c>
      <c r="BZ61" s="244">
        <v>0</v>
      </c>
      <c r="CA61" s="244">
        <v>0.43893129770992401</v>
      </c>
    </row>
    <row r="62" spans="1:79">
      <c r="A62" s="245">
        <v>26601</v>
      </c>
      <c r="B62" s="243" t="s">
        <v>1684</v>
      </c>
      <c r="C62" s="212" t="s">
        <v>1625</v>
      </c>
      <c r="D62" s="246">
        <v>62</v>
      </c>
      <c r="E62" s="248">
        <v>450.15116279069798</v>
      </c>
      <c r="F62" s="244">
        <v>63.266511627907001</v>
      </c>
      <c r="G62" s="244">
        <v>15.9820930232558</v>
      </c>
      <c r="H62" s="244">
        <v>33.621744186046499</v>
      </c>
      <c r="I62" s="244">
        <v>20.117209302325598</v>
      </c>
      <c r="J62" s="244">
        <v>4.0871511627906996</v>
      </c>
      <c r="K62" s="244">
        <v>0.253244186046512</v>
      </c>
      <c r="L62" s="244">
        <v>0.127973837209302</v>
      </c>
      <c r="M62" s="244">
        <v>6.8215523255813997</v>
      </c>
      <c r="N62" s="244">
        <v>0.75344186046511596</v>
      </c>
      <c r="O62" s="244">
        <v>0.25843023255814002</v>
      </c>
      <c r="P62" s="244">
        <v>60.445930232558098</v>
      </c>
      <c r="Q62" s="244">
        <v>0</v>
      </c>
      <c r="R62" s="244">
        <v>25.882796511627902</v>
      </c>
      <c r="S62" s="244">
        <v>4.7756976744186099</v>
      </c>
      <c r="T62" s="244">
        <v>0.33987209302325599</v>
      </c>
      <c r="U62" s="244">
        <v>17.098034883720899</v>
      </c>
      <c r="V62" s="244">
        <v>0</v>
      </c>
      <c r="W62" s="244">
        <v>4.4244360465116301</v>
      </c>
      <c r="X62" s="244">
        <v>0</v>
      </c>
      <c r="Y62" s="244">
        <v>50.155563953488397</v>
      </c>
      <c r="Z62" s="244">
        <v>75.622723255813995</v>
      </c>
      <c r="AA62" s="244">
        <v>0</v>
      </c>
      <c r="AB62" s="244">
        <v>0</v>
      </c>
      <c r="AC62" s="244">
        <v>13.4348220930233</v>
      </c>
      <c r="AD62" s="244">
        <v>39.301453488372097</v>
      </c>
      <c r="AE62" s="244">
        <v>0.96703488372093005</v>
      </c>
      <c r="AF62" s="244">
        <v>2.0998255813953501</v>
      </c>
      <c r="AG62" s="244">
        <v>1.16572093023256</v>
      </c>
      <c r="AH62" s="244">
        <v>257.62209302325601</v>
      </c>
      <c r="AI62" s="244">
        <v>583.20052325581401</v>
      </c>
      <c r="AJ62" s="244">
        <v>2.2104069767441898</v>
      </c>
      <c r="AK62" s="244">
        <v>2.68139534883721</v>
      </c>
      <c r="AL62" s="244">
        <v>6.2211627906976696</v>
      </c>
      <c r="AM62" s="244">
        <v>12.818372093023299</v>
      </c>
      <c r="AN62" s="244">
        <v>12.442267441860499</v>
      </c>
      <c r="AO62" s="244">
        <v>0</v>
      </c>
      <c r="AP62" s="244">
        <v>0.34408139534883703</v>
      </c>
      <c r="AQ62" s="244">
        <v>0.71069767441860499</v>
      </c>
      <c r="AR62" s="244">
        <v>0.98001162790697705</v>
      </c>
      <c r="AS62" s="244">
        <v>0.53207558139534905</v>
      </c>
      <c r="AT62" s="244">
        <v>0.19040116279069799</v>
      </c>
      <c r="AU62" s="244">
        <v>0.20831395348837201</v>
      </c>
      <c r="AV62" s="244">
        <v>0.82924418604651196</v>
      </c>
      <c r="AW62" s="244">
        <v>0.40884302325581401</v>
      </c>
      <c r="AX62" s="244">
        <v>0.14091860465116299</v>
      </c>
      <c r="AY62" s="244">
        <v>0.612023255813954</v>
      </c>
      <c r="AZ62" s="244">
        <v>0.67058139534883698</v>
      </c>
      <c r="BA62" s="244">
        <v>1.67501744186047</v>
      </c>
      <c r="BB62" s="244">
        <v>1.8556627906976699</v>
      </c>
      <c r="BC62" s="244">
        <v>3.0786046511627898</v>
      </c>
      <c r="BD62" s="244">
        <v>0.86275000000000002</v>
      </c>
      <c r="BE62" s="244">
        <v>0.57450581395348799</v>
      </c>
      <c r="BF62" s="244">
        <v>0.77273837209302298</v>
      </c>
      <c r="BG62" s="244">
        <v>0.58528488372093002</v>
      </c>
      <c r="BH62" s="244">
        <v>108.20011627907</v>
      </c>
      <c r="BI62" s="244">
        <v>8.6741279069767394</v>
      </c>
      <c r="BJ62" s="244">
        <v>9.8720930232558199</v>
      </c>
      <c r="BK62" s="244">
        <v>51.819767441860499</v>
      </c>
      <c r="BL62" s="244">
        <v>0</v>
      </c>
      <c r="BM62" s="244">
        <v>0</v>
      </c>
      <c r="BN62" s="244">
        <v>1.6545348837209299</v>
      </c>
      <c r="BO62" s="244">
        <v>47.057616279069798</v>
      </c>
      <c r="BP62" s="244">
        <v>0</v>
      </c>
      <c r="BQ62" s="244">
        <v>26.090930232558101</v>
      </c>
      <c r="BR62" s="244">
        <v>0</v>
      </c>
      <c r="BS62" s="244">
        <v>0</v>
      </c>
      <c r="BT62" s="244">
        <v>154.69906976744201</v>
      </c>
      <c r="BU62" s="244">
        <v>15.847267441860501</v>
      </c>
      <c r="BV62" s="244">
        <v>0</v>
      </c>
      <c r="BW62" s="244">
        <v>0</v>
      </c>
      <c r="BX62" s="244">
        <v>27.727034883720901</v>
      </c>
      <c r="BY62" s="244">
        <v>0</v>
      </c>
      <c r="BZ62" s="244">
        <v>0</v>
      </c>
      <c r="CA62" s="244">
        <v>2.63953488372093</v>
      </c>
    </row>
    <row r="63" spans="1:79">
      <c r="A63" s="245">
        <v>25617</v>
      </c>
      <c r="B63" s="243" t="s">
        <v>1685</v>
      </c>
      <c r="C63" s="27" t="s">
        <v>1686</v>
      </c>
      <c r="D63" s="246">
        <v>100</v>
      </c>
      <c r="E63" s="248">
        <v>85.387859922179004</v>
      </c>
      <c r="F63" s="244">
        <v>148.68749182879401</v>
      </c>
      <c r="G63" s="244">
        <v>2.2156132295719799</v>
      </c>
      <c r="H63" s="244">
        <v>3.1881035019455299</v>
      </c>
      <c r="I63" s="244">
        <v>11.6526155642023</v>
      </c>
      <c r="J63" s="244">
        <v>0.88184046692606999</v>
      </c>
      <c r="K63" s="244">
        <v>4.8149902723735399E-2</v>
      </c>
      <c r="L63" s="244">
        <v>3.1821011673151801E-2</v>
      </c>
      <c r="M63" s="244">
        <v>0.72441478599221798</v>
      </c>
      <c r="N63" s="244">
        <v>0.108663813229572</v>
      </c>
      <c r="O63" s="244">
        <v>4.9168871595330697E-2</v>
      </c>
      <c r="P63" s="244">
        <v>7.45332879377432</v>
      </c>
      <c r="Q63" s="244">
        <v>0</v>
      </c>
      <c r="R63" s="244">
        <v>3.6205236381322998</v>
      </c>
      <c r="S63" s="244">
        <v>0.68278210116731497</v>
      </c>
      <c r="T63" s="244">
        <v>0.103968871595331</v>
      </c>
      <c r="U63" s="244">
        <v>10.3340739299611</v>
      </c>
      <c r="V63" s="244">
        <v>0</v>
      </c>
      <c r="W63" s="244">
        <v>0.60588813229572003</v>
      </c>
      <c r="X63" s="244">
        <v>0</v>
      </c>
      <c r="Y63" s="244">
        <v>7.4699414396887196</v>
      </c>
      <c r="Z63" s="244">
        <v>7.0999671206225701</v>
      </c>
      <c r="AA63" s="244">
        <v>0</v>
      </c>
      <c r="AB63" s="244">
        <v>0</v>
      </c>
      <c r="AC63" s="244">
        <v>1.32052782101167</v>
      </c>
      <c r="AD63" s="244">
        <v>19.656648832684802</v>
      </c>
      <c r="AE63" s="244">
        <v>0.103832490272374</v>
      </c>
      <c r="AF63" s="244">
        <v>0.804951361867704</v>
      </c>
      <c r="AG63" s="244">
        <v>0.16102801556420199</v>
      </c>
      <c r="AH63" s="244">
        <v>36.710194552529202</v>
      </c>
      <c r="AI63" s="244">
        <v>78.3788326848249</v>
      </c>
      <c r="AJ63" s="244">
        <v>0.21608171206225699</v>
      </c>
      <c r="AK63" s="244">
        <v>0.18476945525291799</v>
      </c>
      <c r="AL63" s="244">
        <v>0.52305447470817101</v>
      </c>
      <c r="AM63" s="244">
        <v>0.72990272373540799</v>
      </c>
      <c r="AN63" s="244">
        <v>1.8290272373540899</v>
      </c>
      <c r="AO63" s="244">
        <v>0</v>
      </c>
      <c r="AP63" s="244">
        <v>1.5861867704280198E-2</v>
      </c>
      <c r="AQ63" s="244">
        <v>4.5768482490272398E-2</v>
      </c>
      <c r="AR63" s="244">
        <v>6.2120622568093399E-2</v>
      </c>
      <c r="AS63" s="244">
        <v>3.59124513618677E-2</v>
      </c>
      <c r="AT63" s="244">
        <v>9.3774319066147905E-3</v>
      </c>
      <c r="AU63" s="244">
        <v>7.51945525291829E-3</v>
      </c>
      <c r="AV63" s="244">
        <v>5.2834630350194603E-2</v>
      </c>
      <c r="AW63" s="244">
        <v>4.57762645914397E-2</v>
      </c>
      <c r="AX63" s="244">
        <v>9.1147859922179001E-3</v>
      </c>
      <c r="AY63" s="244">
        <v>5.7291828793774299E-2</v>
      </c>
      <c r="AZ63" s="244">
        <v>4.46089494163424E-2</v>
      </c>
      <c r="BA63" s="244">
        <v>4.6402723735408602E-2</v>
      </c>
      <c r="BB63" s="244">
        <v>0.136108949416342</v>
      </c>
      <c r="BC63" s="244">
        <v>0.12629377431906599</v>
      </c>
      <c r="BD63" s="244">
        <v>5.2140077821011703E-2</v>
      </c>
      <c r="BE63" s="244">
        <v>4.1957198443579799E-2</v>
      </c>
      <c r="BF63" s="244">
        <v>4.5891050583657597E-2</v>
      </c>
      <c r="BG63" s="244">
        <v>4.5455252918288003E-2</v>
      </c>
      <c r="BH63" s="244">
        <v>12.936964980544699</v>
      </c>
      <c r="BI63" s="244">
        <v>51.7577042801557</v>
      </c>
      <c r="BJ63" s="244">
        <v>0.82101167315175105</v>
      </c>
      <c r="BK63" s="244">
        <v>1.3163424124513601</v>
      </c>
      <c r="BL63" s="244">
        <v>0</v>
      </c>
      <c r="BM63" s="244">
        <v>0</v>
      </c>
      <c r="BN63" s="244">
        <v>0.14112840466926099</v>
      </c>
      <c r="BO63" s="244">
        <v>8.2425291828793803</v>
      </c>
      <c r="BP63" s="244">
        <v>0</v>
      </c>
      <c r="BQ63" s="244">
        <v>20.6987937743191</v>
      </c>
      <c r="BR63" s="244">
        <v>0</v>
      </c>
      <c r="BS63" s="244">
        <v>0</v>
      </c>
      <c r="BT63" s="244">
        <v>28.9696887159533</v>
      </c>
      <c r="BU63" s="244">
        <v>3.0621595330739302</v>
      </c>
      <c r="BV63" s="244">
        <v>0</v>
      </c>
      <c r="BW63" s="244">
        <v>0</v>
      </c>
      <c r="BX63" s="244">
        <v>2.9978015564202298</v>
      </c>
      <c r="BY63" s="244">
        <v>0</v>
      </c>
      <c r="BZ63" s="244">
        <v>0</v>
      </c>
      <c r="CA63" s="244">
        <v>0.69260700389105101</v>
      </c>
    </row>
    <row r="64" spans="1:79">
      <c r="A64" s="245">
        <v>25106</v>
      </c>
      <c r="B64" s="243" t="s">
        <v>1687</v>
      </c>
      <c r="C64" s="27" t="s">
        <v>1686</v>
      </c>
      <c r="D64" s="246">
        <v>101</v>
      </c>
      <c r="E64" s="248">
        <v>82.404833836858003</v>
      </c>
      <c r="F64" s="244">
        <v>230.27416918429</v>
      </c>
      <c r="G64" s="244">
        <v>0.92173716012084606</v>
      </c>
      <c r="H64" s="244">
        <v>5.81870090634441</v>
      </c>
      <c r="I64" s="244">
        <v>6.1037311178247702</v>
      </c>
      <c r="J64" s="244">
        <v>1.63367069486405</v>
      </c>
      <c r="K64" s="244">
        <v>0.114410574018127</v>
      </c>
      <c r="L64" s="244">
        <v>3.7756797583081599E-2</v>
      </c>
      <c r="M64" s="244">
        <v>0.25697129909365601</v>
      </c>
      <c r="N64" s="244">
        <v>0.35264078549848998</v>
      </c>
      <c r="O64" s="244">
        <v>0.102143202416918</v>
      </c>
      <c r="P64" s="244">
        <v>9.6934743202416893</v>
      </c>
      <c r="Q64" s="244">
        <v>0</v>
      </c>
      <c r="R64" s="244">
        <v>8.8017424471299108</v>
      </c>
      <c r="S64" s="244">
        <v>1.0157703927492401</v>
      </c>
      <c r="T64" s="244">
        <v>0.140848942598187</v>
      </c>
      <c r="U64" s="244">
        <v>16.7879637462236</v>
      </c>
      <c r="V64" s="244">
        <v>0</v>
      </c>
      <c r="W64" s="244">
        <v>3.9403265861027199</v>
      </c>
      <c r="X64" s="244">
        <v>4.7528700906344401</v>
      </c>
      <c r="Y64" s="244">
        <v>37.885656042296098</v>
      </c>
      <c r="Z64" s="244">
        <v>8.5395906344410903</v>
      </c>
      <c r="AA64" s="244">
        <v>0</v>
      </c>
      <c r="AB64" s="244">
        <v>0</v>
      </c>
      <c r="AC64" s="244">
        <v>23.1752049848943</v>
      </c>
      <c r="AD64" s="244">
        <v>17.879909365558898</v>
      </c>
      <c r="AE64" s="244">
        <v>0.15918580060422999</v>
      </c>
      <c r="AF64" s="244">
        <v>0.71625377643504495</v>
      </c>
      <c r="AG64" s="244">
        <v>0.13732628398791499</v>
      </c>
      <c r="AH64" s="244">
        <v>24.0392749244713</v>
      </c>
      <c r="AI64" s="244">
        <v>156.90770392749201</v>
      </c>
      <c r="AJ64" s="244">
        <v>0.31489425981873098</v>
      </c>
      <c r="AK64" s="244">
        <v>0.37030211480362502</v>
      </c>
      <c r="AL64" s="244">
        <v>0.93649546827794605</v>
      </c>
      <c r="AM64" s="244">
        <v>1.35546827794562</v>
      </c>
      <c r="AN64" s="244">
        <v>3.3645619335347399</v>
      </c>
      <c r="AO64" s="244">
        <v>0</v>
      </c>
      <c r="AP64" s="244">
        <v>1.45770392749245E-2</v>
      </c>
      <c r="AQ64" s="244">
        <v>3.09637462235649E-2</v>
      </c>
      <c r="AR64" s="244">
        <v>5.2925981873111802E-2</v>
      </c>
      <c r="AS64" s="244">
        <v>3.0717522658610299E-2</v>
      </c>
      <c r="AT64" s="244">
        <v>9.3247734138972808E-3</v>
      </c>
      <c r="AU64" s="244">
        <v>6.6722054380664699E-3</v>
      </c>
      <c r="AV64" s="244">
        <v>3.1135951661631401E-2</v>
      </c>
      <c r="AW64" s="244">
        <v>2.7435045317220502E-2</v>
      </c>
      <c r="AX64" s="244">
        <v>5.2598187311178298E-3</v>
      </c>
      <c r="AY64" s="244">
        <v>4.2191842900302097E-2</v>
      </c>
      <c r="AZ64" s="244">
        <v>5.3181268882175198E-2</v>
      </c>
      <c r="BA64" s="244">
        <v>4.1799093655589099E-2</v>
      </c>
      <c r="BB64" s="244">
        <v>7.7064954682779505E-2</v>
      </c>
      <c r="BC64" s="244">
        <v>0.17724773413897299</v>
      </c>
      <c r="BD64" s="244">
        <v>3.4554380664652599E-2</v>
      </c>
      <c r="BE64" s="244">
        <v>2.62054380664653E-2</v>
      </c>
      <c r="BF64" s="244">
        <v>3.2132930513595198E-2</v>
      </c>
      <c r="BG64" s="244">
        <v>2.4191842900302098E-2</v>
      </c>
      <c r="BH64" s="244">
        <v>19.950649546827801</v>
      </c>
      <c r="BI64" s="244">
        <v>24.860634441087601</v>
      </c>
      <c r="BJ64" s="244">
        <v>3.1389728096676701</v>
      </c>
      <c r="BK64" s="244">
        <v>7.7711480362537797</v>
      </c>
      <c r="BL64" s="244">
        <v>0</v>
      </c>
      <c r="BM64" s="244">
        <v>0</v>
      </c>
      <c r="BN64" s="244">
        <v>0.70256797583081598</v>
      </c>
      <c r="BO64" s="244">
        <v>49.740830815709998</v>
      </c>
      <c r="BP64" s="244">
        <v>0</v>
      </c>
      <c r="BQ64" s="244">
        <v>49.411148036253799</v>
      </c>
      <c r="BR64" s="244">
        <v>0</v>
      </c>
      <c r="BS64" s="244">
        <v>0</v>
      </c>
      <c r="BT64" s="244">
        <v>98.444274924471301</v>
      </c>
      <c r="BU64" s="244">
        <v>14.7772356495468</v>
      </c>
      <c r="BV64" s="244">
        <v>0</v>
      </c>
      <c r="BW64" s="244">
        <v>0</v>
      </c>
      <c r="BX64" s="244">
        <v>11.020332326284001</v>
      </c>
      <c r="BY64" s="244">
        <v>0</v>
      </c>
      <c r="BZ64" s="244">
        <v>0</v>
      </c>
      <c r="CA64" s="244">
        <v>2.92749244712991</v>
      </c>
    </row>
    <row r="65" spans="1:79">
      <c r="A65" s="245">
        <v>25108</v>
      </c>
      <c r="B65" s="243" t="s">
        <v>1688</v>
      </c>
      <c r="C65" s="27" t="s">
        <v>1686</v>
      </c>
      <c r="D65" s="246">
        <v>102</v>
      </c>
      <c r="E65" s="248">
        <v>75.143504531722002</v>
      </c>
      <c r="F65" s="244">
        <v>231.086117824773</v>
      </c>
      <c r="G65" s="244">
        <v>0.72370090634441098</v>
      </c>
      <c r="H65" s="244">
        <v>5.81870090634441</v>
      </c>
      <c r="I65" s="244">
        <v>4.3874169184290004</v>
      </c>
      <c r="J65" s="244">
        <v>1.83170694864048</v>
      </c>
      <c r="K65" s="244">
        <v>5.4999697885196402E-2</v>
      </c>
      <c r="L65" s="244">
        <v>3.1485649546827803E-2</v>
      </c>
      <c r="M65" s="244">
        <v>0.319682779456193</v>
      </c>
      <c r="N65" s="244">
        <v>0.30511208459214501</v>
      </c>
      <c r="O65" s="244">
        <v>9.0261027190332299E-2</v>
      </c>
      <c r="P65" s="244">
        <v>10.733164652568</v>
      </c>
      <c r="Q65" s="244">
        <v>0</v>
      </c>
      <c r="R65" s="244">
        <v>21.3546004531722</v>
      </c>
      <c r="S65" s="244">
        <v>0.58009063444108799</v>
      </c>
      <c r="T65" s="244">
        <v>0.140848942598187</v>
      </c>
      <c r="U65" s="244">
        <v>29.297253776434999</v>
      </c>
      <c r="V65" s="244">
        <v>0</v>
      </c>
      <c r="W65" s="244">
        <v>1.1183099697885199</v>
      </c>
      <c r="X65" s="244">
        <v>0</v>
      </c>
      <c r="Y65" s="244">
        <v>13.527196827794601</v>
      </c>
      <c r="Z65" s="244">
        <v>18.086918429002999</v>
      </c>
      <c r="AA65" s="244">
        <v>0</v>
      </c>
      <c r="AB65" s="244">
        <v>0</v>
      </c>
      <c r="AC65" s="244">
        <v>26.597271450151101</v>
      </c>
      <c r="AD65" s="244">
        <v>29.1019637462236</v>
      </c>
      <c r="AE65" s="244">
        <v>0.139382175226586</v>
      </c>
      <c r="AF65" s="244">
        <v>1.11232628398792</v>
      </c>
      <c r="AG65" s="244">
        <v>0.14392749244712999</v>
      </c>
      <c r="AH65" s="244">
        <v>22.058912386707</v>
      </c>
      <c r="AI65" s="244">
        <v>179.35181268882201</v>
      </c>
      <c r="AJ65" s="244">
        <v>0.96181268882175197</v>
      </c>
      <c r="AK65" s="244">
        <v>0.31749244712990898</v>
      </c>
      <c r="AL65" s="244">
        <v>0.91669184290030203</v>
      </c>
      <c r="AM65" s="244">
        <v>1.35546827794562</v>
      </c>
      <c r="AN65" s="244">
        <v>3.3711631419939598</v>
      </c>
      <c r="AO65" s="244">
        <v>0</v>
      </c>
      <c r="AP65" s="244">
        <v>1.8537764350453199E-2</v>
      </c>
      <c r="AQ65" s="244">
        <v>3.42643504531722E-2</v>
      </c>
      <c r="AR65" s="244">
        <v>5.0285498489425998E-2</v>
      </c>
      <c r="AS65" s="244">
        <v>3.4018126888217502E-2</v>
      </c>
      <c r="AT65" s="244">
        <v>1.1965256797583101E-2</v>
      </c>
      <c r="AU65" s="244">
        <v>7.9924471299093695E-3</v>
      </c>
      <c r="AV65" s="244">
        <v>3.24561933534743E-2</v>
      </c>
      <c r="AW65" s="244">
        <v>3.2055891238670697E-2</v>
      </c>
      <c r="AX65" s="244">
        <v>7.9003021148036298E-3</v>
      </c>
      <c r="AY65" s="244">
        <v>4.0211480362537799E-2</v>
      </c>
      <c r="AZ65" s="244">
        <v>4.9220543806646498E-2</v>
      </c>
      <c r="BA65" s="244">
        <v>6.1602719033232597E-2</v>
      </c>
      <c r="BB65" s="244">
        <v>0.10016918429002999</v>
      </c>
      <c r="BC65" s="244">
        <v>0.164045317220544</v>
      </c>
      <c r="BD65" s="244">
        <v>4.2475830815709999E-2</v>
      </c>
      <c r="BE65" s="244">
        <v>3.21465256797583E-2</v>
      </c>
      <c r="BF65" s="244">
        <v>3.5433534743202398E-2</v>
      </c>
      <c r="BG65" s="244">
        <v>2.5512084592145001E-2</v>
      </c>
      <c r="BH65" s="244">
        <v>17.554410876132899</v>
      </c>
      <c r="BI65" s="244">
        <v>22.933081570997</v>
      </c>
      <c r="BJ65" s="244">
        <v>3.1389728096676701</v>
      </c>
      <c r="BK65" s="244">
        <v>3.8104229607250799</v>
      </c>
      <c r="BL65" s="244">
        <v>0</v>
      </c>
      <c r="BM65" s="244">
        <v>0</v>
      </c>
      <c r="BN65" s="244">
        <v>0.66296072507552894</v>
      </c>
      <c r="BO65" s="244">
        <v>28.326510574018101</v>
      </c>
      <c r="BP65" s="244">
        <v>0</v>
      </c>
      <c r="BQ65" s="244">
        <v>48.084305135951702</v>
      </c>
      <c r="BR65" s="244">
        <v>0</v>
      </c>
      <c r="BS65" s="244">
        <v>0</v>
      </c>
      <c r="BT65" s="244">
        <v>108.73555891238701</v>
      </c>
      <c r="BU65" s="244">
        <v>10.123383685800601</v>
      </c>
      <c r="BV65" s="244">
        <v>0</v>
      </c>
      <c r="BW65" s="244">
        <v>0</v>
      </c>
      <c r="BX65" s="244">
        <v>6.4258912386707001</v>
      </c>
      <c r="BY65" s="244">
        <v>0</v>
      </c>
      <c r="BZ65" s="244">
        <v>0</v>
      </c>
      <c r="CA65" s="244">
        <v>0.94712990936555896</v>
      </c>
    </row>
    <row r="66" spans="1:79">
      <c r="A66" s="245">
        <v>24103</v>
      </c>
      <c r="B66" s="243" t="s">
        <v>1689</v>
      </c>
      <c r="C66" s="27" t="s">
        <v>1686</v>
      </c>
      <c r="D66" s="246">
        <v>103</v>
      </c>
      <c r="E66" s="248">
        <v>68.163563636363605</v>
      </c>
      <c r="F66" s="244">
        <v>143.331165090909</v>
      </c>
      <c r="G66" s="244">
        <v>0.98597309090909102</v>
      </c>
      <c r="H66" s="244">
        <v>4.4265549090909104</v>
      </c>
      <c r="I66" s="244">
        <v>5.5157170909090896</v>
      </c>
      <c r="J66" s="244">
        <v>1.74712</v>
      </c>
      <c r="K66" s="244">
        <v>3.1473636363636398E-2</v>
      </c>
      <c r="L66" s="244">
        <v>4.40133636363636E-2</v>
      </c>
      <c r="M66" s="244">
        <v>0.250995090909091</v>
      </c>
      <c r="N66" s="244">
        <v>0.285168363636364</v>
      </c>
      <c r="O66" s="244">
        <v>0.12087545454545499</v>
      </c>
      <c r="P66" s="244">
        <v>11.233465454545501</v>
      </c>
      <c r="Q66" s="244">
        <v>0</v>
      </c>
      <c r="R66" s="244">
        <v>10.061746636363599</v>
      </c>
      <c r="S66" s="244">
        <v>0.36941818181818198</v>
      </c>
      <c r="T66" s="244">
        <v>0.186505454545455</v>
      </c>
      <c r="U66" s="244">
        <v>25.542421818181801</v>
      </c>
      <c r="V66" s="244">
        <v>0</v>
      </c>
      <c r="W66" s="244">
        <v>5.0889974545454599</v>
      </c>
      <c r="X66" s="244">
        <v>0.72</v>
      </c>
      <c r="Y66" s="244">
        <v>45.442651454545498</v>
      </c>
      <c r="Z66" s="244">
        <v>165.087669090909</v>
      </c>
      <c r="AA66" s="244">
        <v>0</v>
      </c>
      <c r="AB66" s="244">
        <v>0</v>
      </c>
      <c r="AC66" s="244">
        <v>29.923783090909101</v>
      </c>
      <c r="AD66" s="244">
        <v>27.048818181818199</v>
      </c>
      <c r="AE66" s="244">
        <v>0.18905163636363601</v>
      </c>
      <c r="AF66" s="244">
        <v>0.86334545454545497</v>
      </c>
      <c r="AG66" s="244">
        <v>0.247942545454545</v>
      </c>
      <c r="AH66" s="244">
        <v>27.702454545454501</v>
      </c>
      <c r="AI66" s="244">
        <v>255.48150909090899</v>
      </c>
      <c r="AJ66" s="244">
        <v>0.73670181818181801</v>
      </c>
      <c r="AK66" s="244">
        <v>0.39009818181818201</v>
      </c>
      <c r="AL66" s="244">
        <v>0.70827272727272705</v>
      </c>
      <c r="AM66" s="244">
        <v>1.0217454545454501</v>
      </c>
      <c r="AN66" s="244">
        <v>2.5637090909090898</v>
      </c>
      <c r="AO66" s="244">
        <v>0</v>
      </c>
      <c r="AP66" s="244">
        <v>1.6185454545454499E-2</v>
      </c>
      <c r="AQ66" s="244">
        <v>3.2076363636363597E-2</v>
      </c>
      <c r="AR66" s="244">
        <v>5.5036363636363599E-2</v>
      </c>
      <c r="AS66" s="244">
        <v>3.5812727272727302E-2</v>
      </c>
      <c r="AT66" s="244">
        <v>9.7254545454545493E-3</v>
      </c>
      <c r="AU66" s="244">
        <v>8.3763636363636401E-3</v>
      </c>
      <c r="AV66" s="244">
        <v>3.7576363636363602E-2</v>
      </c>
      <c r="AW66" s="244">
        <v>3.38072727272727E-2</v>
      </c>
      <c r="AX66" s="244">
        <v>9.0381818181818202E-3</v>
      </c>
      <c r="AY66" s="244">
        <v>4.0463636363636403E-2</v>
      </c>
      <c r="AZ66" s="244">
        <v>5.3598181818181802E-2</v>
      </c>
      <c r="BA66" s="244">
        <v>5.6645454545454603E-2</v>
      </c>
      <c r="BB66" s="244">
        <v>0.110032727272727</v>
      </c>
      <c r="BC66" s="244">
        <v>0.14771999999999999</v>
      </c>
      <c r="BD66" s="244">
        <v>4.3058181818181801E-2</v>
      </c>
      <c r="BE66" s="244">
        <v>3.2027272727272703E-2</v>
      </c>
      <c r="BF66" s="244">
        <v>3.8050909090909101E-2</v>
      </c>
      <c r="BG66" s="244">
        <v>2.7016363636363599E-2</v>
      </c>
      <c r="BH66" s="244">
        <v>19.4758</v>
      </c>
      <c r="BI66" s="244">
        <v>26.3945636363636</v>
      </c>
      <c r="BJ66" s="244">
        <v>4.8436363636363602</v>
      </c>
      <c r="BK66" s="244">
        <v>5.0196363636363603</v>
      </c>
      <c r="BL66" s="244">
        <v>0</v>
      </c>
      <c r="BM66" s="244">
        <v>0</v>
      </c>
      <c r="BN66" s="244">
        <v>0.16232727272727299</v>
      </c>
      <c r="BO66" s="244">
        <v>37.710327272727298</v>
      </c>
      <c r="BP66" s="244">
        <v>2.88</v>
      </c>
      <c r="BQ66" s="244">
        <v>39.631472727272701</v>
      </c>
      <c r="BR66" s="244">
        <v>0.16619999999999999</v>
      </c>
      <c r="BS66" s="244">
        <v>1.4999999999999999E-2</v>
      </c>
      <c r="BT66" s="244">
        <v>91.720872727272706</v>
      </c>
      <c r="BU66" s="244">
        <v>23.152945454545499</v>
      </c>
      <c r="BV66" s="244">
        <v>3.38</v>
      </c>
      <c r="BW66" s="244">
        <v>0</v>
      </c>
      <c r="BX66" s="244">
        <v>17.1312363636364</v>
      </c>
      <c r="BY66" s="244">
        <v>4.3799999999999999E-2</v>
      </c>
      <c r="BZ66" s="244">
        <v>0</v>
      </c>
      <c r="CA66" s="244">
        <v>1.3654545454545499</v>
      </c>
    </row>
    <row r="67" spans="1:79">
      <c r="A67" s="245">
        <v>24303</v>
      </c>
      <c r="B67" s="243" t="s">
        <v>1690</v>
      </c>
      <c r="C67" s="27" t="s">
        <v>1686</v>
      </c>
      <c r="D67" s="246">
        <v>104</v>
      </c>
      <c r="E67" s="248">
        <v>121</v>
      </c>
      <c r="F67" s="244">
        <v>101.65193989071</v>
      </c>
      <c r="G67" s="244">
        <v>1.5032240437158499</v>
      </c>
      <c r="H67" s="244">
        <v>7.3509836065573797</v>
      </c>
      <c r="I67" s="244">
        <v>11.2241256830601</v>
      </c>
      <c r="J67" s="244">
        <v>2.6854918032786901</v>
      </c>
      <c r="K67" s="244">
        <v>5.8527322404371598E-2</v>
      </c>
      <c r="L67" s="244">
        <v>8.2338797814207706E-2</v>
      </c>
      <c r="M67" s="244">
        <v>0.38594262295081999</v>
      </c>
      <c r="N67" s="244">
        <v>0.49490163934426201</v>
      </c>
      <c r="O67" s="244">
        <v>0.236271584699454</v>
      </c>
      <c r="P67" s="244">
        <v>17.785748633879798</v>
      </c>
      <c r="Q67" s="244">
        <v>0</v>
      </c>
      <c r="R67" s="244">
        <v>15.4791409836066</v>
      </c>
      <c r="S67" s="244">
        <v>0.47336065573770503</v>
      </c>
      <c r="T67" s="244">
        <v>0.19728415300546501</v>
      </c>
      <c r="U67" s="244">
        <v>29.926245901639302</v>
      </c>
      <c r="V67" s="244">
        <v>0</v>
      </c>
      <c r="W67" s="244">
        <v>3.31198360655738</v>
      </c>
      <c r="X67" s="244">
        <v>0</v>
      </c>
      <c r="Y67" s="244">
        <v>22.462209016393398</v>
      </c>
      <c r="Z67" s="244">
        <v>52.601062841530002</v>
      </c>
      <c r="AA67" s="244">
        <v>0</v>
      </c>
      <c r="AB67" s="244">
        <v>0</v>
      </c>
      <c r="AC67" s="244">
        <v>69.562627049180307</v>
      </c>
      <c r="AD67" s="244">
        <v>29.6614754098361</v>
      </c>
      <c r="AE67" s="244">
        <v>0.36398907103825101</v>
      </c>
      <c r="AF67" s="244">
        <v>0.93734972677595596</v>
      </c>
      <c r="AG67" s="244">
        <v>0.32853551912568302</v>
      </c>
      <c r="AH67" s="244">
        <v>45.438524590163901</v>
      </c>
      <c r="AI67" s="244">
        <v>392.56557377049199</v>
      </c>
      <c r="AJ67" s="244">
        <v>1.14030054644809</v>
      </c>
      <c r="AK67" s="244">
        <v>0.70196721311475396</v>
      </c>
      <c r="AL67" s="244">
        <v>1.18120218579235</v>
      </c>
      <c r="AM67" s="244">
        <v>1.6474043715847</v>
      </c>
      <c r="AN67" s="244">
        <v>4.3170491803278699</v>
      </c>
      <c r="AO67" s="244">
        <v>0</v>
      </c>
      <c r="AP67" s="244">
        <v>2.45819672131148E-2</v>
      </c>
      <c r="AQ67" s="244">
        <v>5.0191256830601098E-2</v>
      </c>
      <c r="AR67" s="244">
        <v>8.7158469945355199E-2</v>
      </c>
      <c r="AS67" s="244">
        <v>6.15136612021858E-2</v>
      </c>
      <c r="AT67" s="244">
        <v>1.61502732240437E-2</v>
      </c>
      <c r="AU67" s="244">
        <v>1.3688524590163899E-2</v>
      </c>
      <c r="AV67" s="244">
        <v>6.1890710382513703E-2</v>
      </c>
      <c r="AW67" s="244">
        <v>5.3803278688524601E-2</v>
      </c>
      <c r="AX67" s="244">
        <v>1.4322404371584699E-2</v>
      </c>
      <c r="AY67" s="244">
        <v>6.2912568306010899E-2</v>
      </c>
      <c r="AZ67" s="244">
        <v>8.5882513661202198E-2</v>
      </c>
      <c r="BA67" s="244">
        <v>9.1136612021857896E-2</v>
      </c>
      <c r="BB67" s="244">
        <v>0.172486338797814</v>
      </c>
      <c r="BC67" s="244">
        <v>0.25314207650273202</v>
      </c>
      <c r="BD67" s="244">
        <v>6.3622950819672106E-2</v>
      </c>
      <c r="BE67" s="244">
        <v>5.0062841530054601E-2</v>
      </c>
      <c r="BF67" s="244">
        <v>6.06775956284153E-2</v>
      </c>
      <c r="BG67" s="244">
        <v>4.3420765027322401E-2</v>
      </c>
      <c r="BH67" s="244">
        <v>32.577459016393497</v>
      </c>
      <c r="BI67" s="244">
        <v>49.939289617486303</v>
      </c>
      <c r="BJ67" s="244">
        <v>8.3087431693989107</v>
      </c>
      <c r="BK67" s="244">
        <v>10.524043715847</v>
      </c>
      <c r="BL67" s="244">
        <v>0</v>
      </c>
      <c r="BM67" s="244">
        <v>0</v>
      </c>
      <c r="BN67" s="244">
        <v>0.198196721311475</v>
      </c>
      <c r="BO67" s="244">
        <v>58.3135792349727</v>
      </c>
      <c r="BP67" s="244">
        <v>0</v>
      </c>
      <c r="BQ67" s="244">
        <v>15.2073770491803</v>
      </c>
      <c r="BR67" s="244">
        <v>0</v>
      </c>
      <c r="BS67" s="244">
        <v>0</v>
      </c>
      <c r="BT67" s="244">
        <v>130.11270491803299</v>
      </c>
      <c r="BU67" s="244">
        <v>35.062677595628401</v>
      </c>
      <c r="BV67" s="244">
        <v>0</v>
      </c>
      <c r="BW67" s="244">
        <v>0</v>
      </c>
      <c r="BX67" s="244">
        <v>25.314316939890698</v>
      </c>
      <c r="BY67" s="244">
        <v>0</v>
      </c>
      <c r="BZ67" s="244">
        <v>0</v>
      </c>
      <c r="CA67" s="244">
        <v>1.7158469945355199</v>
      </c>
    </row>
    <row r="68" spans="1:79">
      <c r="A68" s="245">
        <v>24603</v>
      </c>
      <c r="B68" s="243" t="s">
        <v>1691</v>
      </c>
      <c r="C68" s="27" t="s">
        <v>1686</v>
      </c>
      <c r="D68" s="246">
        <v>105</v>
      </c>
      <c r="E68" s="248">
        <v>58.206422018348597</v>
      </c>
      <c r="F68" s="244">
        <v>111.158623853211</v>
      </c>
      <c r="G68" s="244">
        <v>1.3582568807339399</v>
      </c>
      <c r="H68" s="244">
        <v>3.5169724770642201</v>
      </c>
      <c r="I68" s="244">
        <v>3.8538532110091701</v>
      </c>
      <c r="J68" s="244">
        <v>2.9530275229357801</v>
      </c>
      <c r="K68" s="244">
        <v>3.2114678899082601E-2</v>
      </c>
      <c r="L68" s="244">
        <v>4.5461009174311902E-2</v>
      </c>
      <c r="M68" s="244">
        <v>0.28112385321100902</v>
      </c>
      <c r="N68" s="244">
        <v>0.40660091743119298</v>
      </c>
      <c r="O68" s="244">
        <v>0.101743119266055</v>
      </c>
      <c r="P68" s="244">
        <v>16.992660550458702</v>
      </c>
      <c r="Q68" s="244">
        <v>0</v>
      </c>
      <c r="R68" s="244">
        <v>5.1186238532110098</v>
      </c>
      <c r="S68" s="244">
        <v>0.20688073394495399</v>
      </c>
      <c r="T68" s="244">
        <v>0.36894495412843997</v>
      </c>
      <c r="U68" s="244">
        <v>35.993394495412801</v>
      </c>
      <c r="V68" s="244">
        <v>0</v>
      </c>
      <c r="W68" s="244">
        <v>13.3103532110092</v>
      </c>
      <c r="X68" s="244">
        <v>0</v>
      </c>
      <c r="Y68" s="244">
        <v>102.42777522935801</v>
      </c>
      <c r="Z68" s="244">
        <v>118.574311926606</v>
      </c>
      <c r="AA68" s="244">
        <v>0.451321100917431</v>
      </c>
      <c r="AB68" s="244">
        <v>19.804128440366998</v>
      </c>
      <c r="AC68" s="244">
        <v>35.690917431192702</v>
      </c>
      <c r="AD68" s="244">
        <v>46.509633027522902</v>
      </c>
      <c r="AE68" s="244">
        <v>0.134816513761468</v>
      </c>
      <c r="AF68" s="244">
        <v>0.63577981651376103</v>
      </c>
      <c r="AG68" s="244">
        <v>0.443935779816514</v>
      </c>
      <c r="AH68" s="244">
        <v>37.4587155963303</v>
      </c>
      <c r="AI68" s="244">
        <v>274.95642201834897</v>
      </c>
      <c r="AJ68" s="244">
        <v>1.86876146788991</v>
      </c>
      <c r="AK68" s="244">
        <v>0.248807339449541</v>
      </c>
      <c r="AL68" s="244">
        <v>0.27302752293577998</v>
      </c>
      <c r="AM68" s="244">
        <v>2.1204128440367001</v>
      </c>
      <c r="AN68" s="244">
        <v>0.64426146788990801</v>
      </c>
      <c r="AO68" s="244">
        <v>0</v>
      </c>
      <c r="AP68" s="244">
        <v>3.0614678899082599E-2</v>
      </c>
      <c r="AQ68" s="244">
        <v>5.4577981651376103E-2</v>
      </c>
      <c r="AR68" s="244">
        <v>9.0275229357798206E-2</v>
      </c>
      <c r="AS68" s="244">
        <v>4.5990825688073403E-2</v>
      </c>
      <c r="AT68" s="244">
        <v>1.6972477064220198E-2</v>
      </c>
      <c r="AU68" s="244">
        <v>1.30412844036697E-2</v>
      </c>
      <c r="AV68" s="244">
        <v>5.6825688073394498E-2</v>
      </c>
      <c r="AW68" s="244">
        <v>5.3688073394495398E-2</v>
      </c>
      <c r="AX68" s="244">
        <v>1.1197247706421999E-2</v>
      </c>
      <c r="AY68" s="244">
        <v>7.2963302752293596E-2</v>
      </c>
      <c r="AZ68" s="244">
        <v>8.9334862385321095E-2</v>
      </c>
      <c r="BA68" s="244">
        <v>8.3197247706422006E-2</v>
      </c>
      <c r="BB68" s="244">
        <v>0.159536697247706</v>
      </c>
      <c r="BC68" s="244">
        <v>0.201853211009174</v>
      </c>
      <c r="BD68" s="244">
        <v>8.5151376146788998E-2</v>
      </c>
      <c r="BE68" s="244">
        <v>5.6330275229357803E-2</v>
      </c>
      <c r="BF68" s="244">
        <v>6.1486238532110098E-2</v>
      </c>
      <c r="BG68" s="244">
        <v>3.9752293577981698E-2</v>
      </c>
      <c r="BH68" s="244">
        <v>20.038532110091701</v>
      </c>
      <c r="BI68" s="244">
        <v>33.1073394495413</v>
      </c>
      <c r="BJ68" s="244">
        <v>1.3348623853210999</v>
      </c>
      <c r="BK68" s="244">
        <v>1.3114678899082599</v>
      </c>
      <c r="BL68" s="244">
        <v>0</v>
      </c>
      <c r="BM68" s="244">
        <v>0</v>
      </c>
      <c r="BN68" s="244">
        <v>0.82926605504587203</v>
      </c>
      <c r="BO68" s="244">
        <v>75.619724770642193</v>
      </c>
      <c r="BP68" s="244">
        <v>0</v>
      </c>
      <c r="BQ68" s="244">
        <v>21.027064220183501</v>
      </c>
      <c r="BR68" s="244">
        <v>9.2889908256880802E-2</v>
      </c>
      <c r="BS68" s="244">
        <v>0</v>
      </c>
      <c r="BT68" s="244">
        <v>143.23348623853201</v>
      </c>
      <c r="BU68" s="244">
        <v>32.694495412843999</v>
      </c>
      <c r="BV68" s="244">
        <v>0</v>
      </c>
      <c r="BW68" s="244">
        <v>0</v>
      </c>
      <c r="BX68" s="244">
        <v>43.978899082568802</v>
      </c>
      <c r="BY68" s="244">
        <v>0</v>
      </c>
      <c r="BZ68" s="244">
        <v>0</v>
      </c>
      <c r="CA68" s="244">
        <v>1.0825688073394499</v>
      </c>
    </row>
    <row r="69" spans="1:79">
      <c r="A69" s="245">
        <v>56601</v>
      </c>
      <c r="B69" s="243" t="s">
        <v>1692</v>
      </c>
      <c r="C69" s="27" t="s">
        <v>1686</v>
      </c>
      <c r="D69" s="246">
        <v>106</v>
      </c>
      <c r="E69" s="248">
        <v>187.977064220183</v>
      </c>
      <c r="F69" s="244">
        <v>87.958165137614699</v>
      </c>
      <c r="G69" s="244">
        <v>15.6963302752294</v>
      </c>
      <c r="H69" s="244">
        <v>12.801376146789</v>
      </c>
      <c r="I69" s="244">
        <v>2.1657798165137598</v>
      </c>
      <c r="J69" s="244">
        <v>0.63192660550458701</v>
      </c>
      <c r="K69" s="244">
        <v>0.17160550458715601</v>
      </c>
      <c r="L69" s="244">
        <v>0.36279816513761498</v>
      </c>
      <c r="M69" s="244">
        <v>0.220642201834862</v>
      </c>
      <c r="N69" s="244">
        <v>1.5890366972477099</v>
      </c>
      <c r="O69" s="244">
        <v>0.18371559633027501</v>
      </c>
      <c r="P69" s="244">
        <v>46.275229357798203</v>
      </c>
      <c r="Q69" s="244">
        <v>2.1100917431192698</v>
      </c>
      <c r="R69" s="244">
        <v>1.2715596330275201</v>
      </c>
      <c r="S69" s="244">
        <v>4.7398853211009202</v>
      </c>
      <c r="T69" s="244">
        <v>1.1496788990825699</v>
      </c>
      <c r="U69" s="244">
        <v>4.3899082568807302</v>
      </c>
      <c r="V69" s="244">
        <v>165.629013761468</v>
      </c>
      <c r="W69" s="244">
        <v>176.16905963302801</v>
      </c>
      <c r="X69" s="244">
        <v>0</v>
      </c>
      <c r="Y69" s="244">
        <v>111.03371559633</v>
      </c>
      <c r="Z69" s="244">
        <v>26.536238532110101</v>
      </c>
      <c r="AA69" s="244">
        <v>0.50146788990825697</v>
      </c>
      <c r="AB69" s="244">
        <v>22.0045871559633</v>
      </c>
      <c r="AC69" s="244">
        <v>37.561926605504603</v>
      </c>
      <c r="AD69" s="244">
        <v>35.484403669724799</v>
      </c>
      <c r="AE69" s="244">
        <v>0.35532110091743102</v>
      </c>
      <c r="AF69" s="244">
        <v>1.70454128440367</v>
      </c>
      <c r="AG69" s="244">
        <v>7.4669724770642196E-2</v>
      </c>
      <c r="AH69" s="244">
        <v>228.52752293578001</v>
      </c>
      <c r="AI69" s="244">
        <v>167.24520642201799</v>
      </c>
      <c r="AJ69" s="244">
        <v>66.068302752293604</v>
      </c>
      <c r="AK69" s="244">
        <v>2.45596330275229</v>
      </c>
      <c r="AL69" s="244">
        <v>3.04779816513761</v>
      </c>
      <c r="AM69" s="244">
        <v>5.8025229357798196</v>
      </c>
      <c r="AN69" s="244">
        <v>1.8048119266055</v>
      </c>
      <c r="AO69" s="244">
        <v>326.41009174311898</v>
      </c>
      <c r="AP69" s="244">
        <v>0.21630275229357801</v>
      </c>
      <c r="AQ69" s="244">
        <v>0.97668807339449504</v>
      </c>
      <c r="AR69" s="244">
        <v>1.1284403669724801</v>
      </c>
      <c r="AS69" s="244">
        <v>0.66846788990825701</v>
      </c>
      <c r="AT69" s="244">
        <v>0.48541284403669699</v>
      </c>
      <c r="AU69" s="244">
        <v>0.40868348623853201</v>
      </c>
      <c r="AV69" s="244">
        <v>1.31760550458716</v>
      </c>
      <c r="AW69" s="244">
        <v>0.47992660550458699</v>
      </c>
      <c r="AX69" s="244">
        <v>0.235922018348624</v>
      </c>
      <c r="AY69" s="244">
        <v>0.97819266055045895</v>
      </c>
      <c r="AZ69" s="244">
        <v>1.3849311926605501</v>
      </c>
      <c r="BA69" s="244">
        <v>0.71727981651376205</v>
      </c>
      <c r="BB69" s="244">
        <v>1.7093990825688099</v>
      </c>
      <c r="BC69" s="244">
        <v>2.2233211009174298</v>
      </c>
      <c r="BD69" s="244">
        <v>0.65593119266055</v>
      </c>
      <c r="BE69" s="244">
        <v>0.54903669724770598</v>
      </c>
      <c r="BF69" s="244">
        <v>1.1777247706422</v>
      </c>
      <c r="BG69" s="244">
        <v>0.36259633027522897</v>
      </c>
      <c r="BH69" s="244">
        <v>7.7366972477064202</v>
      </c>
      <c r="BI69" s="244">
        <v>5.15917431192661</v>
      </c>
      <c r="BJ69" s="244">
        <v>1.3348623853210999</v>
      </c>
      <c r="BK69" s="244">
        <v>354.75183486238501</v>
      </c>
      <c r="BL69" s="244">
        <v>0</v>
      </c>
      <c r="BM69" s="244">
        <v>0</v>
      </c>
      <c r="BN69" s="244">
        <v>38.030183486238499</v>
      </c>
      <c r="BO69" s="244">
        <v>2899.1229357798202</v>
      </c>
      <c r="BP69" s="244">
        <v>267.981651376147</v>
      </c>
      <c r="BQ69" s="244">
        <v>5041.6000000000004</v>
      </c>
      <c r="BR69" s="244">
        <v>44.742431192660597</v>
      </c>
      <c r="BS69" s="244">
        <v>0</v>
      </c>
      <c r="BT69" s="244">
        <v>1657.7201834862401</v>
      </c>
      <c r="BU69" s="244">
        <v>45.5660550458716</v>
      </c>
      <c r="BV69" s="244">
        <v>0</v>
      </c>
      <c r="BW69" s="244">
        <v>0</v>
      </c>
      <c r="BX69" s="244">
        <v>15.4926605504587</v>
      </c>
      <c r="BY69" s="244">
        <v>0</v>
      </c>
      <c r="BZ69" s="244">
        <v>97.549541284403702</v>
      </c>
      <c r="CA69" s="244">
        <v>5.3027522935779796</v>
      </c>
    </row>
    <row r="70" spans="1:79">
      <c r="A70" s="245">
        <v>12303</v>
      </c>
      <c r="B70" s="243" t="s">
        <v>1693</v>
      </c>
      <c r="C70" s="27" t="s">
        <v>1686</v>
      </c>
      <c r="D70" s="246">
        <v>107</v>
      </c>
      <c r="E70" s="248">
        <v>245.157692307692</v>
      </c>
      <c r="F70" s="244">
        <v>18.441961538461499</v>
      </c>
      <c r="G70" s="244">
        <v>6.3571538461538504</v>
      </c>
      <c r="H70" s="244">
        <v>5.1971153846153904</v>
      </c>
      <c r="I70" s="244">
        <v>42.057000000000002</v>
      </c>
      <c r="J70" s="244">
        <v>2.81865384615385</v>
      </c>
      <c r="K70" s="244">
        <v>7.1965384615384598E-2</v>
      </c>
      <c r="L70" s="244">
        <v>3.61E-2</v>
      </c>
      <c r="M70" s="244">
        <v>1.0268769230769199</v>
      </c>
      <c r="N70" s="244">
        <v>0.35620000000000002</v>
      </c>
      <c r="O70" s="244">
        <v>6.7396153846153897E-2</v>
      </c>
      <c r="P70" s="244">
        <v>9.2157692307692294</v>
      </c>
      <c r="Q70" s="244">
        <v>0</v>
      </c>
      <c r="R70" s="244">
        <v>2.1381576923076899</v>
      </c>
      <c r="S70" s="244">
        <v>3.96680769230769</v>
      </c>
      <c r="T70" s="244">
        <v>0.3286</v>
      </c>
      <c r="U70" s="244">
        <v>8.6968461538461508</v>
      </c>
      <c r="V70" s="244">
        <v>0</v>
      </c>
      <c r="W70" s="244">
        <v>0.31056923076923099</v>
      </c>
      <c r="X70" s="244">
        <v>0</v>
      </c>
      <c r="Y70" s="244">
        <v>5.1302769230769201</v>
      </c>
      <c r="Z70" s="244">
        <v>5.9227269230769197</v>
      </c>
      <c r="AA70" s="244">
        <v>0</v>
      </c>
      <c r="AB70" s="244">
        <v>0</v>
      </c>
      <c r="AC70" s="244">
        <v>0.75658846153846204</v>
      </c>
      <c r="AD70" s="244">
        <v>10.706961538461499</v>
      </c>
      <c r="AE70" s="244">
        <v>0.15469230769230799</v>
      </c>
      <c r="AF70" s="244">
        <v>2.32319230769231</v>
      </c>
      <c r="AG70" s="244">
        <v>0.42159999999999997</v>
      </c>
      <c r="AH70" s="244">
        <v>84.434615384615398</v>
      </c>
      <c r="AI70" s="244">
        <v>142.86426153846199</v>
      </c>
      <c r="AJ70" s="244">
        <v>19.841346153846199</v>
      </c>
      <c r="AK70" s="244">
        <v>0.97884615384615403</v>
      </c>
      <c r="AL70" s="244">
        <v>0.79488461538461497</v>
      </c>
      <c r="AM70" s="244">
        <v>1.0549615384615401</v>
      </c>
      <c r="AN70" s="244">
        <v>2.88</v>
      </c>
      <c r="AO70" s="244">
        <v>0</v>
      </c>
      <c r="AP70" s="244">
        <v>0.13658846153846199</v>
      </c>
      <c r="AQ70" s="244">
        <v>0.184453846153846</v>
      </c>
      <c r="AR70" s="244">
        <v>0.41122692307692299</v>
      </c>
      <c r="AS70" s="244">
        <v>0.16667307692307701</v>
      </c>
      <c r="AT70" s="244">
        <v>0.130719230769231</v>
      </c>
      <c r="AU70" s="244">
        <v>0.12945000000000001</v>
      </c>
      <c r="AV70" s="244">
        <v>0.28398076923076898</v>
      </c>
      <c r="AW70" s="244">
        <v>0.18044230769230801</v>
      </c>
      <c r="AX70" s="244">
        <v>7.3953846153846203E-2</v>
      </c>
      <c r="AY70" s="244">
        <v>0.26886538461538501</v>
      </c>
      <c r="AZ70" s="244">
        <v>0.33260384615384597</v>
      </c>
      <c r="BA70" s="244">
        <v>0.2737</v>
      </c>
      <c r="BB70" s="244">
        <v>0.31462692307692303</v>
      </c>
      <c r="BC70" s="244">
        <v>2.1049423076923102</v>
      </c>
      <c r="BD70" s="244">
        <v>0.248907692307692</v>
      </c>
      <c r="BE70" s="244">
        <v>0.62716923076923103</v>
      </c>
      <c r="BF70" s="244">
        <v>0.30070384615384599</v>
      </c>
      <c r="BG70" s="244">
        <v>0.161565384615385</v>
      </c>
      <c r="BH70" s="244">
        <v>3.58076923076923</v>
      </c>
      <c r="BI70" s="244">
        <v>134.326192307692</v>
      </c>
      <c r="BJ70" s="244">
        <v>0.86538461538461497</v>
      </c>
      <c r="BK70" s="244">
        <v>1.19038461538462</v>
      </c>
      <c r="BL70" s="244">
        <v>0</v>
      </c>
      <c r="BM70" s="244">
        <v>0</v>
      </c>
      <c r="BN70" s="244">
        <v>0.128769230769231</v>
      </c>
      <c r="BO70" s="244">
        <v>58.999653846153798</v>
      </c>
      <c r="BP70" s="244">
        <v>0</v>
      </c>
      <c r="BQ70" s="244">
        <v>33.8397692307692</v>
      </c>
      <c r="BR70" s="244">
        <v>0</v>
      </c>
      <c r="BS70" s="244">
        <v>0</v>
      </c>
      <c r="BT70" s="244">
        <v>207.39453846153901</v>
      </c>
      <c r="BU70" s="244">
        <v>11.8505769230769</v>
      </c>
      <c r="BV70" s="244">
        <v>0</v>
      </c>
      <c r="BW70" s="244">
        <v>0</v>
      </c>
      <c r="BX70" s="244">
        <v>8.6113846153846207</v>
      </c>
      <c r="BY70" s="244">
        <v>0</v>
      </c>
      <c r="BZ70" s="244">
        <v>0</v>
      </c>
      <c r="CA70" s="244">
        <v>1.1461538461538501</v>
      </c>
    </row>
    <row r="71" spans="1:79">
      <c r="A71" s="245">
        <v>13103</v>
      </c>
      <c r="B71" s="243" t="s">
        <v>1694</v>
      </c>
      <c r="C71" s="27" t="s">
        <v>1686</v>
      </c>
      <c r="D71" s="246">
        <v>108</v>
      </c>
      <c r="E71" s="248">
        <v>56.481998474447003</v>
      </c>
      <c r="F71" s="244">
        <v>113.64532799389799</v>
      </c>
      <c r="G71" s="244">
        <v>2.5787376048817698</v>
      </c>
      <c r="H71" s="244">
        <v>2.30802440884821</v>
      </c>
      <c r="I71" s="244">
        <v>5.9112776506483602</v>
      </c>
      <c r="J71" s="244">
        <v>1.1802898550724601</v>
      </c>
      <c r="K71" s="244">
        <v>2.9212585812357E-2</v>
      </c>
      <c r="L71" s="244">
        <v>1.3973407704042699E-2</v>
      </c>
      <c r="M71" s="244">
        <v>0.19578792906178499</v>
      </c>
      <c r="N71" s="244">
        <v>0.18177055682685</v>
      </c>
      <c r="O71" s="244">
        <v>3.4642143401983197E-2</v>
      </c>
      <c r="P71" s="244">
        <v>7.37728832951945</v>
      </c>
      <c r="Q71" s="244">
        <v>0</v>
      </c>
      <c r="R71" s="244">
        <v>0.84381079328756703</v>
      </c>
      <c r="S71" s="244">
        <v>0.30480167810831399</v>
      </c>
      <c r="T71" s="244">
        <v>7.4792906178489701E-2</v>
      </c>
      <c r="U71" s="244">
        <v>5.0855171624714002</v>
      </c>
      <c r="V71" s="244">
        <v>0</v>
      </c>
      <c r="W71" s="244">
        <v>0.66944664378337204</v>
      </c>
      <c r="X71" s="244">
        <v>0</v>
      </c>
      <c r="Y71" s="244">
        <v>7.7628188024408802</v>
      </c>
      <c r="Z71" s="244">
        <v>2.9128710907704001</v>
      </c>
      <c r="AA71" s="244">
        <v>0</v>
      </c>
      <c r="AB71" s="244">
        <v>0</v>
      </c>
      <c r="AC71" s="244">
        <v>0.49734786422578198</v>
      </c>
      <c r="AD71" s="244">
        <v>9.3226353928299002</v>
      </c>
      <c r="AE71" s="244">
        <v>0.11295881006865</v>
      </c>
      <c r="AF71" s="244">
        <v>0.81225591151792498</v>
      </c>
      <c r="AG71" s="244">
        <v>0.29659572845156401</v>
      </c>
      <c r="AH71" s="244">
        <v>32.422944317315</v>
      </c>
      <c r="AI71" s="244">
        <v>124.018787185355</v>
      </c>
      <c r="AJ71" s="244">
        <v>5.1730434782608699</v>
      </c>
      <c r="AK71" s="244">
        <v>0.31464492753623202</v>
      </c>
      <c r="AL71" s="244">
        <v>0.37189931350114402</v>
      </c>
      <c r="AM71" s="244">
        <v>0.51667696414950404</v>
      </c>
      <c r="AN71" s="244">
        <v>1.3115320366132699</v>
      </c>
      <c r="AO71" s="244">
        <v>0</v>
      </c>
      <c r="AP71" s="244">
        <v>7.0374523264683506E-2</v>
      </c>
      <c r="AQ71" s="244">
        <v>0.102366895499619</v>
      </c>
      <c r="AR71" s="244">
        <v>0.184104118993135</v>
      </c>
      <c r="AS71" s="244">
        <v>0.171692601067887</v>
      </c>
      <c r="AT71" s="244">
        <v>3.0233409610983999E-2</v>
      </c>
      <c r="AU71" s="244">
        <v>2.3225019069412701E-2</v>
      </c>
      <c r="AV71" s="244">
        <v>0.152081617086194</v>
      </c>
      <c r="AW71" s="244">
        <v>7.9828375286041198E-2</v>
      </c>
      <c r="AX71" s="244">
        <v>2.7395881006864999E-2</v>
      </c>
      <c r="AY71" s="244">
        <v>0.12417696414950399</v>
      </c>
      <c r="AZ71" s="244">
        <v>0.11422387490465299</v>
      </c>
      <c r="BA71" s="244">
        <v>0.18405758962624</v>
      </c>
      <c r="BB71" s="244">
        <v>0.28482189168573602</v>
      </c>
      <c r="BC71" s="244">
        <v>0.43929748283752901</v>
      </c>
      <c r="BD71" s="244">
        <v>0.102355835240275</v>
      </c>
      <c r="BE71" s="244">
        <v>0.114173150266972</v>
      </c>
      <c r="BF71" s="244">
        <v>0.12269374523264701</v>
      </c>
      <c r="BG71" s="244">
        <v>7.5988558352402702E-2</v>
      </c>
      <c r="BH71" s="244">
        <v>4.6769603356216596</v>
      </c>
      <c r="BI71" s="244">
        <v>57.822681159420299</v>
      </c>
      <c r="BJ71" s="244">
        <v>0.31617086193745197</v>
      </c>
      <c r="BK71" s="244">
        <v>2.0592677345537802</v>
      </c>
      <c r="BL71" s="244">
        <v>0</v>
      </c>
      <c r="BM71" s="244">
        <v>0.120034324942792</v>
      </c>
      <c r="BN71" s="244">
        <v>0.103733790999237</v>
      </c>
      <c r="BO71" s="244">
        <v>24.446331045003799</v>
      </c>
      <c r="BP71" s="244">
        <v>0</v>
      </c>
      <c r="BQ71" s="244">
        <v>6.2862318840579698</v>
      </c>
      <c r="BR71" s="244">
        <v>0</v>
      </c>
      <c r="BS71" s="244">
        <v>0</v>
      </c>
      <c r="BT71" s="244">
        <v>47.460976353928302</v>
      </c>
      <c r="BU71" s="244">
        <v>16.809469870328002</v>
      </c>
      <c r="BV71" s="244">
        <v>0</v>
      </c>
      <c r="BW71" s="244">
        <v>0</v>
      </c>
      <c r="BX71" s="244">
        <v>5.5318726163234198</v>
      </c>
      <c r="BY71" s="244">
        <v>0</v>
      </c>
      <c r="BZ71" s="244">
        <v>0</v>
      </c>
      <c r="CA71" s="244">
        <v>0.516018306636156</v>
      </c>
    </row>
    <row r="72" spans="1:79">
      <c r="A72" s="245">
        <v>13104</v>
      </c>
      <c r="B72" s="243" t="s">
        <v>1695</v>
      </c>
      <c r="C72" s="27" t="s">
        <v>1686</v>
      </c>
      <c r="D72" s="246">
        <v>109</v>
      </c>
      <c r="E72" s="248">
        <v>87.299323242187498</v>
      </c>
      <c r="F72" s="244">
        <v>131.507383007812</v>
      </c>
      <c r="G72" s="244">
        <v>2.7295912890624998</v>
      </c>
      <c r="H72" s="244">
        <v>5.11362390625</v>
      </c>
      <c r="I72" s="244">
        <v>6.6082756640625</v>
      </c>
      <c r="J72" s="244">
        <v>2.385988984375</v>
      </c>
      <c r="K72" s="244">
        <v>4.6781679687500001E-2</v>
      </c>
      <c r="L72" s="244">
        <v>3.8415468750000001E-2</v>
      </c>
      <c r="M72" s="244">
        <v>0.36355289062500001</v>
      </c>
      <c r="N72" s="244">
        <v>0.44152964843749998</v>
      </c>
      <c r="O72" s="244">
        <v>6.4303828125000004E-2</v>
      </c>
      <c r="P72" s="244">
        <v>12.771281249999999</v>
      </c>
      <c r="Q72" s="244">
        <v>0</v>
      </c>
      <c r="R72" s="244">
        <v>1.1389041796874999</v>
      </c>
      <c r="S72" s="244">
        <v>1.9247865234374999</v>
      </c>
      <c r="T72" s="244">
        <v>0.28235578124999999</v>
      </c>
      <c r="U72" s="244">
        <v>1.5311496093750001</v>
      </c>
      <c r="V72" s="244">
        <v>0</v>
      </c>
      <c r="W72" s="244">
        <v>2.4967944531250001</v>
      </c>
      <c r="X72" s="244">
        <v>1.028828125E-2</v>
      </c>
      <c r="Y72" s="244">
        <v>27.67970734375</v>
      </c>
      <c r="Z72" s="244">
        <v>8.3973003906250003</v>
      </c>
      <c r="AA72" s="244">
        <v>8.5406250000000003E-2</v>
      </c>
      <c r="AB72" s="244">
        <v>3.8327343749999998</v>
      </c>
      <c r="AC72" s="244">
        <v>6.9513524609374997</v>
      </c>
      <c r="AD72" s="244">
        <v>31.9043515625</v>
      </c>
      <c r="AE72" s="244">
        <v>0.15186949218750001</v>
      </c>
      <c r="AF72" s="244">
        <v>1.306369921875</v>
      </c>
      <c r="AG72" s="244">
        <v>0.51017925781249995</v>
      </c>
      <c r="AH72" s="244">
        <v>44.703408437500002</v>
      </c>
      <c r="AI72" s="244">
        <v>168.59000296875001</v>
      </c>
      <c r="AJ72" s="244">
        <v>1.0065629296875001</v>
      </c>
      <c r="AK72" s="244">
        <v>0.37531683593749998</v>
      </c>
      <c r="AL72" s="244">
        <v>0.32688175781250001</v>
      </c>
      <c r="AM72" s="244">
        <v>3.1939729687499998</v>
      </c>
      <c r="AN72" s="244">
        <v>0.8556446875</v>
      </c>
      <c r="AO72" s="244">
        <v>0</v>
      </c>
      <c r="AP72" s="244">
        <v>7.2250171875000005E-2</v>
      </c>
      <c r="AQ72" s="244">
        <v>9.0298359374999998E-2</v>
      </c>
      <c r="AR72" s="244">
        <v>0.19347865624999999</v>
      </c>
      <c r="AS72" s="244">
        <v>0.158434546875</v>
      </c>
      <c r="AT72" s="244">
        <v>3.1088968750000001E-2</v>
      </c>
      <c r="AU72" s="244">
        <v>1.80781953125E-2</v>
      </c>
      <c r="AV72" s="244">
        <v>0.1488682109375</v>
      </c>
      <c r="AW72" s="244">
        <v>7.8043992187499994E-2</v>
      </c>
      <c r="AX72" s="244">
        <v>2.6535234375000001E-2</v>
      </c>
      <c r="AY72" s="244">
        <v>0.10938453125</v>
      </c>
      <c r="AZ72" s="244">
        <v>0.12261657031250001</v>
      </c>
      <c r="BA72" s="244">
        <v>0.17278637499999999</v>
      </c>
      <c r="BB72" s="244">
        <v>0.34676270312500002</v>
      </c>
      <c r="BC72" s="244">
        <v>0.49786196093750001</v>
      </c>
      <c r="BD72" s="244">
        <v>0.10592212500000001</v>
      </c>
      <c r="BE72" s="244">
        <v>0.10703814843749999</v>
      </c>
      <c r="BF72" s="244">
        <v>0.13488099218749999</v>
      </c>
      <c r="BG72" s="244">
        <v>7.98933046875E-2</v>
      </c>
      <c r="BH72" s="244">
        <v>6.2780859375000002</v>
      </c>
      <c r="BI72" s="244">
        <v>76.523585937500002</v>
      </c>
      <c r="BJ72" s="244">
        <v>0.67841796875000004</v>
      </c>
      <c r="BK72" s="244">
        <v>3.9881250000000001</v>
      </c>
      <c r="BL72" s="244">
        <v>0</v>
      </c>
      <c r="BM72" s="244">
        <v>0.18914062500000001</v>
      </c>
      <c r="BN72" s="244">
        <v>0.66164843750000002</v>
      </c>
      <c r="BO72" s="244">
        <v>36.195109375000001</v>
      </c>
      <c r="BP72" s="244">
        <v>0.50927734375</v>
      </c>
      <c r="BQ72" s="244">
        <v>91.142328125000006</v>
      </c>
      <c r="BR72" s="244">
        <v>0.14088281250000001</v>
      </c>
      <c r="BS72" s="244">
        <v>0.15625</v>
      </c>
      <c r="BT72" s="244">
        <v>64.731550781249993</v>
      </c>
      <c r="BU72" s="244">
        <v>61.754070312499998</v>
      </c>
      <c r="BV72" s="244">
        <v>0</v>
      </c>
      <c r="BW72" s="244">
        <v>4.7949218750000001E-2</v>
      </c>
      <c r="BX72" s="244">
        <v>16.6257640625</v>
      </c>
      <c r="BY72" s="244">
        <v>0</v>
      </c>
      <c r="BZ72" s="244">
        <v>0</v>
      </c>
      <c r="CA72" s="244">
        <v>0.66171875000000002</v>
      </c>
    </row>
    <row r="73" spans="1:79">
      <c r="A73" s="245">
        <v>13105</v>
      </c>
      <c r="B73" s="243" t="s">
        <v>1696</v>
      </c>
      <c r="C73" s="27" t="s">
        <v>1686</v>
      </c>
      <c r="D73" s="246">
        <v>110</v>
      </c>
      <c r="E73" s="248">
        <v>58.396567505720803</v>
      </c>
      <c r="F73" s="244">
        <v>113.575446224256</v>
      </c>
      <c r="G73" s="244">
        <v>2.9214454614797898</v>
      </c>
      <c r="H73" s="244">
        <v>2.27834858886346</v>
      </c>
      <c r="I73" s="244">
        <v>6.4578871090770402</v>
      </c>
      <c r="J73" s="244">
        <v>0.491045003813883</v>
      </c>
      <c r="K73" s="244">
        <v>2.6723646071701E-2</v>
      </c>
      <c r="L73" s="244">
        <v>2.11530415713196E-2</v>
      </c>
      <c r="M73" s="244">
        <v>0.261744832189169</v>
      </c>
      <c r="N73" s="244">
        <v>2.0946758199847398E-2</v>
      </c>
      <c r="O73" s="244">
        <v>4.5363729977116699E-2</v>
      </c>
      <c r="P73" s="244">
        <v>10.569832189168601</v>
      </c>
      <c r="Q73" s="244">
        <v>0</v>
      </c>
      <c r="R73" s="244">
        <v>0.84381079328756703</v>
      </c>
      <c r="S73" s="244">
        <v>0.108558352402746</v>
      </c>
      <c r="T73" s="244">
        <v>9.8054919908466806E-2</v>
      </c>
      <c r="U73" s="244">
        <v>4.29097101449275</v>
      </c>
      <c r="V73" s="244">
        <v>0</v>
      </c>
      <c r="W73" s="244">
        <v>0.76804694889397396</v>
      </c>
      <c r="X73" s="244">
        <v>0</v>
      </c>
      <c r="Y73" s="244">
        <v>9.3327654080854305</v>
      </c>
      <c r="Z73" s="244">
        <v>2.9128710907704001</v>
      </c>
      <c r="AA73" s="244">
        <v>0</v>
      </c>
      <c r="AB73" s="244">
        <v>0</v>
      </c>
      <c r="AC73" s="244">
        <v>0.49734786422578198</v>
      </c>
      <c r="AD73" s="244">
        <v>9.4723546910755108</v>
      </c>
      <c r="AE73" s="244">
        <v>9.5536231884058007E-2</v>
      </c>
      <c r="AF73" s="244">
        <v>0.71542658276125104</v>
      </c>
      <c r="AG73" s="244">
        <v>0.202781845919146</v>
      </c>
      <c r="AH73" s="244">
        <v>37.088270404271597</v>
      </c>
      <c r="AI73" s="244">
        <v>84.085663615560605</v>
      </c>
      <c r="AJ73" s="244">
        <v>0.37321891685736103</v>
      </c>
      <c r="AK73" s="244">
        <v>0.36375362318840598</v>
      </c>
      <c r="AL73" s="244">
        <v>0.34796720061022102</v>
      </c>
      <c r="AM73" s="244">
        <v>0.512847826086956</v>
      </c>
      <c r="AN73" s="244">
        <v>1.26079595728452</v>
      </c>
      <c r="AO73" s="244">
        <v>0</v>
      </c>
      <c r="AP73" s="244">
        <v>4.3218916857360803E-3</v>
      </c>
      <c r="AQ73" s="244">
        <v>7.5957284515636896E-3</v>
      </c>
      <c r="AR73" s="244">
        <v>1.1792906178489699E-2</v>
      </c>
      <c r="AS73" s="244">
        <v>8.9542334096109795E-3</v>
      </c>
      <c r="AT73" s="244">
        <v>2.4721586575133501E-3</v>
      </c>
      <c r="AU73" s="244">
        <v>3.1220442410373802E-3</v>
      </c>
      <c r="AV73" s="244">
        <v>8.4889397406559906E-3</v>
      </c>
      <c r="AW73" s="244">
        <v>7.0747520976353903E-3</v>
      </c>
      <c r="AX73" s="244">
        <v>2.5064836003051102E-3</v>
      </c>
      <c r="AY73" s="244">
        <v>9.3028222730739893E-3</v>
      </c>
      <c r="AZ73" s="244">
        <v>8.9225781845919203E-3</v>
      </c>
      <c r="BA73" s="244">
        <v>2.13192219679634E-2</v>
      </c>
      <c r="BB73" s="244">
        <v>2.6355072463768101E-2</v>
      </c>
      <c r="BC73" s="244">
        <v>3.7237986270022901E-2</v>
      </c>
      <c r="BD73" s="244">
        <v>1.0456521739130401E-2</v>
      </c>
      <c r="BE73" s="244">
        <v>8.8718535469107605E-3</v>
      </c>
      <c r="BF73" s="244">
        <v>7.8196033562166305E-3</v>
      </c>
      <c r="BG73" s="244">
        <v>6.1067887109077096E-3</v>
      </c>
      <c r="BH73" s="244">
        <v>4.0604691075514898</v>
      </c>
      <c r="BI73" s="244">
        <v>55.908112128146399</v>
      </c>
      <c r="BJ73" s="244">
        <v>0.31617086193745197</v>
      </c>
      <c r="BK73" s="244">
        <v>0.59462242562929102</v>
      </c>
      <c r="BL73" s="244">
        <v>0</v>
      </c>
      <c r="BM73" s="244">
        <v>0.120034324942792</v>
      </c>
      <c r="BN73" s="244">
        <v>0.103733790999237</v>
      </c>
      <c r="BO73" s="244">
        <v>4.5348131197559098</v>
      </c>
      <c r="BP73" s="244">
        <v>0</v>
      </c>
      <c r="BQ73" s="244">
        <v>2.85436689549962</v>
      </c>
      <c r="BR73" s="244">
        <v>0</v>
      </c>
      <c r="BS73" s="244">
        <v>0</v>
      </c>
      <c r="BT73" s="244">
        <v>11.371350114416501</v>
      </c>
      <c r="BU73" s="244">
        <v>1.7801029748283801</v>
      </c>
      <c r="BV73" s="244">
        <v>0</v>
      </c>
      <c r="BW73" s="244">
        <v>0</v>
      </c>
      <c r="BX73" s="244">
        <v>1.77548817696415</v>
      </c>
      <c r="BY73" s="244">
        <v>0</v>
      </c>
      <c r="BZ73" s="244">
        <v>0</v>
      </c>
      <c r="CA73" s="244">
        <v>0.516018306636156</v>
      </c>
    </row>
    <row r="74" spans="1:79">
      <c r="A74" s="245">
        <v>21302</v>
      </c>
      <c r="B74" s="243" t="s">
        <v>1697</v>
      </c>
      <c r="C74" s="27" t="s">
        <v>1686</v>
      </c>
      <c r="D74" s="246">
        <v>111</v>
      </c>
      <c r="E74" s="248">
        <v>202.149425287356</v>
      </c>
      <c r="F74" s="244">
        <v>173.29183908045999</v>
      </c>
      <c r="G74" s="244">
        <v>7.11306513409962</v>
      </c>
      <c r="H74" s="244">
        <v>12.0077011494253</v>
      </c>
      <c r="I74" s="244">
        <v>13.233333333333301</v>
      </c>
      <c r="J74" s="244">
        <v>6.8414176245210703</v>
      </c>
      <c r="K74" s="244">
        <v>0.325831417624521</v>
      </c>
      <c r="L74" s="244">
        <v>0.44069157088122601</v>
      </c>
      <c r="M74" s="244">
        <v>2.8588237547892699</v>
      </c>
      <c r="N74" s="244">
        <v>0.515670498084291</v>
      </c>
      <c r="O74" s="244">
        <v>0.32015325670498102</v>
      </c>
      <c r="P74" s="244">
        <v>140.345977011494</v>
      </c>
      <c r="Q74" s="244">
        <v>0</v>
      </c>
      <c r="R74" s="244">
        <v>67.545502681992303</v>
      </c>
      <c r="S74" s="244">
        <v>2.85869731800766</v>
      </c>
      <c r="T74" s="244">
        <v>3.2640689655172399</v>
      </c>
      <c r="U74" s="244">
        <v>182.66909578544099</v>
      </c>
      <c r="V74" s="244">
        <v>0</v>
      </c>
      <c r="W74" s="244">
        <v>841.75431034482699</v>
      </c>
      <c r="X74" s="244">
        <v>0</v>
      </c>
      <c r="Y74" s="244">
        <v>10105.8396896552</v>
      </c>
      <c r="Z74" s="244">
        <v>7387.6681609195402</v>
      </c>
      <c r="AA74" s="244">
        <v>0</v>
      </c>
      <c r="AB74" s="244">
        <v>0</v>
      </c>
      <c r="AC74" s="244">
        <v>194.571804597701</v>
      </c>
      <c r="AD74" s="244">
        <v>370.03827586206899</v>
      </c>
      <c r="AE74" s="244">
        <v>0.51114942528735596</v>
      </c>
      <c r="AF74" s="244">
        <v>8.07291187739464</v>
      </c>
      <c r="AG74" s="244">
        <v>1.2189885057471299</v>
      </c>
      <c r="AH74" s="244">
        <v>79.808199233716493</v>
      </c>
      <c r="AI74" s="244">
        <v>1285.2867049808401</v>
      </c>
      <c r="AJ74" s="244">
        <v>1.52241379310345</v>
      </c>
      <c r="AK74" s="244">
        <v>1.3738314176245201</v>
      </c>
      <c r="AL74" s="244">
        <v>2.29789272030651</v>
      </c>
      <c r="AM74" s="244">
        <v>2.4501532567049802</v>
      </c>
      <c r="AN74" s="244">
        <v>7.0621072796934898</v>
      </c>
      <c r="AO74" s="244">
        <v>0</v>
      </c>
      <c r="AP74" s="244">
        <v>0.19308045977011501</v>
      </c>
      <c r="AQ74" s="244">
        <v>0.21329885057471301</v>
      </c>
      <c r="AR74" s="244">
        <v>0.43257854406130303</v>
      </c>
      <c r="AS74" s="244">
        <v>0.25714176245210701</v>
      </c>
      <c r="AT74" s="244">
        <v>0.105896551724138</v>
      </c>
      <c r="AU74" s="244">
        <v>7.0049808429118801E-2</v>
      </c>
      <c r="AV74" s="244">
        <v>0.26946360153256699</v>
      </c>
      <c r="AW74" s="244">
        <v>0.26742145593869698</v>
      </c>
      <c r="AX74" s="244">
        <v>6.2842911877394603E-2</v>
      </c>
      <c r="AY74" s="244">
        <v>0.27827969348658999</v>
      </c>
      <c r="AZ74" s="244">
        <v>0.53541379310344805</v>
      </c>
      <c r="BA74" s="244">
        <v>0.43352107279693503</v>
      </c>
      <c r="BB74" s="244">
        <v>0.55730651340996196</v>
      </c>
      <c r="BC74" s="244">
        <v>1.0381417624521101</v>
      </c>
      <c r="BD74" s="244">
        <v>0.29194252873563198</v>
      </c>
      <c r="BE74" s="244">
        <v>0.29100383141762498</v>
      </c>
      <c r="BF74" s="244">
        <v>0.26910344827586202</v>
      </c>
      <c r="BG74" s="244">
        <v>0.22129885057471299</v>
      </c>
      <c r="BH74" s="244">
        <v>21.923678160919501</v>
      </c>
      <c r="BI74" s="244">
        <v>21.9443295019157</v>
      </c>
      <c r="BJ74" s="244">
        <v>3.2337164750957901</v>
      </c>
      <c r="BK74" s="244">
        <v>5.5908045977011502</v>
      </c>
      <c r="BL74" s="244">
        <v>0</v>
      </c>
      <c r="BM74" s="244">
        <v>0</v>
      </c>
      <c r="BN74" s="244">
        <v>0.36344827586206901</v>
      </c>
      <c r="BO74" s="244">
        <v>535.90904214559396</v>
      </c>
      <c r="BP74" s="244">
        <v>0</v>
      </c>
      <c r="BQ74" s="244">
        <v>68.439923371647495</v>
      </c>
      <c r="BR74" s="244">
        <v>0</v>
      </c>
      <c r="BS74" s="244">
        <v>0</v>
      </c>
      <c r="BT74" s="244">
        <v>611.80613026819901</v>
      </c>
      <c r="BU74" s="244">
        <v>514.76417624521105</v>
      </c>
      <c r="BV74" s="244">
        <v>0</v>
      </c>
      <c r="BW74" s="244">
        <v>0</v>
      </c>
      <c r="BX74" s="244">
        <v>108.985287356322</v>
      </c>
      <c r="BY74" s="244">
        <v>0</v>
      </c>
      <c r="BZ74" s="244">
        <v>0</v>
      </c>
      <c r="CA74" s="244">
        <v>1.98850574712644</v>
      </c>
    </row>
    <row r="75" spans="1:79">
      <c r="A75" s="245">
        <v>21303</v>
      </c>
      <c r="B75" s="243" t="s">
        <v>1698</v>
      </c>
      <c r="C75" s="27" t="s">
        <v>1686</v>
      </c>
      <c r="D75" s="246">
        <v>112</v>
      </c>
      <c r="E75" s="248">
        <v>161.18390804597701</v>
      </c>
      <c r="F75" s="244">
        <v>183.44218390804599</v>
      </c>
      <c r="G75" s="244">
        <v>5.6868582375478898</v>
      </c>
      <c r="H75" s="244">
        <v>11.158045977011501</v>
      </c>
      <c r="I75" s="244">
        <v>7.5133333333333301</v>
      </c>
      <c r="J75" s="244">
        <v>5.1724521072796898</v>
      </c>
      <c r="K75" s="244">
        <v>6.6383141762452094E-2</v>
      </c>
      <c r="L75" s="244">
        <v>0.19565708812260499</v>
      </c>
      <c r="M75" s="244">
        <v>1.84985823754789</v>
      </c>
      <c r="N75" s="244">
        <v>0.44739463601532597</v>
      </c>
      <c r="O75" s="244">
        <v>0.38842911877394598</v>
      </c>
      <c r="P75" s="244">
        <v>212.566666666667</v>
      </c>
      <c r="Q75" s="244">
        <v>0</v>
      </c>
      <c r="R75" s="244">
        <v>45.5864681992337</v>
      </c>
      <c r="S75" s="244">
        <v>0.795249042145594</v>
      </c>
      <c r="T75" s="244">
        <v>2.1564827586206898</v>
      </c>
      <c r="U75" s="244">
        <v>500.56150957854402</v>
      </c>
      <c r="V75" s="244">
        <v>0</v>
      </c>
      <c r="W75" s="244">
        <v>756.31617241379297</v>
      </c>
      <c r="X75" s="244">
        <v>0</v>
      </c>
      <c r="Y75" s="244">
        <v>9080.4832620689704</v>
      </c>
      <c r="Z75" s="244">
        <v>5451.7288505747101</v>
      </c>
      <c r="AA75" s="244">
        <v>0</v>
      </c>
      <c r="AB75" s="244">
        <v>0</v>
      </c>
      <c r="AC75" s="244">
        <v>26.9832390804598</v>
      </c>
      <c r="AD75" s="244">
        <v>141.43551724137899</v>
      </c>
      <c r="AE75" s="244">
        <v>0.37459770114942498</v>
      </c>
      <c r="AF75" s="244">
        <v>3.7639463601532599</v>
      </c>
      <c r="AG75" s="244">
        <v>1.83498850574713</v>
      </c>
      <c r="AH75" s="244">
        <v>93.630268199233697</v>
      </c>
      <c r="AI75" s="244">
        <v>1059.2177394636001</v>
      </c>
      <c r="AJ75" s="244">
        <v>3.3279310344827602</v>
      </c>
      <c r="AK75" s="244">
        <v>1.63176245210728</v>
      </c>
      <c r="AL75" s="244">
        <v>1.91858237547893</v>
      </c>
      <c r="AM75" s="244">
        <v>2.4349808429118802</v>
      </c>
      <c r="AN75" s="244">
        <v>6.4703831417624498</v>
      </c>
      <c r="AO75" s="244">
        <v>0</v>
      </c>
      <c r="AP75" s="244">
        <v>8.83908045977011E-2</v>
      </c>
      <c r="AQ75" s="244">
        <v>0.170816091954023</v>
      </c>
      <c r="AR75" s="244">
        <v>0.32788888888888901</v>
      </c>
      <c r="AS75" s="244">
        <v>0.18734865900383099</v>
      </c>
      <c r="AT75" s="244">
        <v>5.5827586206896603E-2</v>
      </c>
      <c r="AU75" s="244">
        <v>4.1222222222222202E-2</v>
      </c>
      <c r="AV75" s="244">
        <v>0.21332567049808401</v>
      </c>
      <c r="AW75" s="244">
        <v>0.185490421455939</v>
      </c>
      <c r="AX75" s="244">
        <v>5.9808429118774001E-2</v>
      </c>
      <c r="AY75" s="244">
        <v>0.22669348659003799</v>
      </c>
      <c r="AZ75" s="244">
        <v>0.26837931034482798</v>
      </c>
      <c r="BA75" s="244">
        <v>0.306072796934866</v>
      </c>
      <c r="BB75" s="244">
        <v>0.41468582375478902</v>
      </c>
      <c r="BC75" s="244">
        <v>0.72559003831417601</v>
      </c>
      <c r="BD75" s="244">
        <v>0.235804597701149</v>
      </c>
      <c r="BE75" s="244">
        <v>0.18479693486589999</v>
      </c>
      <c r="BF75" s="244">
        <v>0.17655172413793099</v>
      </c>
      <c r="BG75" s="244">
        <v>0.154540229885057</v>
      </c>
      <c r="BH75" s="244">
        <v>375.44091954023003</v>
      </c>
      <c r="BI75" s="244">
        <v>24.9939846743295</v>
      </c>
      <c r="BJ75" s="244">
        <v>3.2337164750957901</v>
      </c>
      <c r="BK75" s="244">
        <v>34.8735632183908</v>
      </c>
      <c r="BL75" s="244">
        <v>0</v>
      </c>
      <c r="BM75" s="244">
        <v>0</v>
      </c>
      <c r="BN75" s="244">
        <v>26.171724137931001</v>
      </c>
      <c r="BO75" s="244">
        <v>252.184904214559</v>
      </c>
      <c r="BP75" s="244">
        <v>0</v>
      </c>
      <c r="BQ75" s="244">
        <v>72.202681992337205</v>
      </c>
      <c r="BR75" s="244">
        <v>1.8055172413793099</v>
      </c>
      <c r="BS75" s="244">
        <v>0</v>
      </c>
      <c r="BT75" s="244">
        <v>190.104061302682</v>
      </c>
      <c r="BU75" s="244">
        <v>340.281417624521</v>
      </c>
      <c r="BV75" s="244">
        <v>0</v>
      </c>
      <c r="BW75" s="244">
        <v>0</v>
      </c>
      <c r="BX75" s="244">
        <v>43.956321839080502</v>
      </c>
      <c r="BY75" s="244">
        <v>0</v>
      </c>
      <c r="BZ75" s="244">
        <v>0</v>
      </c>
      <c r="CA75" s="244">
        <v>5.0229885057471302</v>
      </c>
    </row>
    <row r="76" spans="1:79">
      <c r="A76" s="245">
        <v>21304</v>
      </c>
      <c r="B76" s="243" t="s">
        <v>1699</v>
      </c>
      <c r="C76" s="27" t="s">
        <v>1686</v>
      </c>
      <c r="D76" s="246">
        <v>113</v>
      </c>
      <c r="E76" s="248">
        <v>162.70114942528701</v>
      </c>
      <c r="F76" s="244">
        <v>184.079425287356</v>
      </c>
      <c r="G76" s="244">
        <v>4.5792720306513397</v>
      </c>
      <c r="H76" s="244">
        <v>10.869770114942501</v>
      </c>
      <c r="I76" s="244">
        <v>9.8043678160919505</v>
      </c>
      <c r="J76" s="244">
        <v>4.5352107279693499</v>
      </c>
      <c r="K76" s="244">
        <v>5.2727969348658997E-2</v>
      </c>
      <c r="L76" s="244">
        <v>0.58482950191570904</v>
      </c>
      <c r="M76" s="244">
        <v>0.84089272030651296</v>
      </c>
      <c r="N76" s="244">
        <v>0.80242911877394596</v>
      </c>
      <c r="O76" s="244">
        <v>0.44304980842911901</v>
      </c>
      <c r="P76" s="244">
        <v>155.214942528736</v>
      </c>
      <c r="Q76" s="244">
        <v>0</v>
      </c>
      <c r="R76" s="244">
        <v>72.161254406130297</v>
      </c>
      <c r="S76" s="244">
        <v>2.1607662835249002</v>
      </c>
      <c r="T76" s="244">
        <v>0.199241379310345</v>
      </c>
      <c r="U76" s="244">
        <v>369.57806130268199</v>
      </c>
      <c r="V76" s="244">
        <v>0</v>
      </c>
      <c r="W76" s="244">
        <v>240.58306896551699</v>
      </c>
      <c r="X76" s="244">
        <v>0</v>
      </c>
      <c r="Y76" s="244">
        <v>2881.34313793104</v>
      </c>
      <c r="Z76" s="244">
        <v>4198.73022988506</v>
      </c>
      <c r="AA76" s="244">
        <v>0</v>
      </c>
      <c r="AB76" s="244">
        <v>0</v>
      </c>
      <c r="AC76" s="244">
        <v>342.73042528735601</v>
      </c>
      <c r="AD76" s="244">
        <v>182.658965517241</v>
      </c>
      <c r="AE76" s="244">
        <v>0.313908045977011</v>
      </c>
      <c r="AF76" s="244">
        <v>3.9156704980842898</v>
      </c>
      <c r="AG76" s="244">
        <v>2.0929195402298899</v>
      </c>
      <c r="AH76" s="244">
        <v>66.319923371647505</v>
      </c>
      <c r="AI76" s="244">
        <v>409.77773946360099</v>
      </c>
      <c r="AJ76" s="244">
        <v>9.51827586206897</v>
      </c>
      <c r="AK76" s="244">
        <v>0.87314176245210695</v>
      </c>
      <c r="AL76" s="244">
        <v>1.7972030651341</v>
      </c>
      <c r="AM76" s="244">
        <v>2.4501532567049802</v>
      </c>
      <c r="AN76" s="244">
        <v>6.3186590038314199</v>
      </c>
      <c r="AO76" s="244">
        <v>0</v>
      </c>
      <c r="AP76" s="244">
        <v>7.0183908045977003E-2</v>
      </c>
      <c r="AQ76" s="244">
        <v>0.11012643678160899</v>
      </c>
      <c r="AR76" s="244">
        <v>0.229268199233716</v>
      </c>
      <c r="AS76" s="244">
        <v>0.158521072796935</v>
      </c>
      <c r="AT76" s="244">
        <v>3.4586206896551702E-2</v>
      </c>
      <c r="AU76" s="244">
        <v>3.2118773946360202E-2</v>
      </c>
      <c r="AV76" s="244">
        <v>0.13746360153256701</v>
      </c>
      <c r="AW76" s="244">
        <v>0.12783524904214599</v>
      </c>
      <c r="AX76" s="244">
        <v>5.5256704980842897E-2</v>
      </c>
      <c r="AY76" s="244">
        <v>0.12959003831417601</v>
      </c>
      <c r="AZ76" s="244">
        <v>0.224379310344828</v>
      </c>
      <c r="BA76" s="244">
        <v>0.252969348659004</v>
      </c>
      <c r="BB76" s="244">
        <v>0.33427203065134098</v>
      </c>
      <c r="BC76" s="244">
        <v>0.55565900383141797</v>
      </c>
      <c r="BD76" s="244">
        <v>0.18725287356321799</v>
      </c>
      <c r="BE76" s="244">
        <v>0.14686590038314201</v>
      </c>
      <c r="BF76" s="244">
        <v>0.143172413793103</v>
      </c>
      <c r="BG76" s="244">
        <v>0.107505747126437</v>
      </c>
      <c r="BH76" s="244">
        <v>58.307126436781601</v>
      </c>
      <c r="BI76" s="244">
        <v>81.981570881226105</v>
      </c>
      <c r="BJ76" s="244">
        <v>3.2337164750957901</v>
      </c>
      <c r="BK76" s="244">
        <v>5.5908045977011502</v>
      </c>
      <c r="BL76" s="244">
        <v>0</v>
      </c>
      <c r="BM76" s="244">
        <v>0</v>
      </c>
      <c r="BN76" s="244">
        <v>0.36344827586206901</v>
      </c>
      <c r="BO76" s="244">
        <v>164.88283524904199</v>
      </c>
      <c r="BP76" s="244">
        <v>0</v>
      </c>
      <c r="BQ76" s="244">
        <v>81.442681992337199</v>
      </c>
      <c r="BR76" s="244">
        <v>0</v>
      </c>
      <c r="BS76" s="244">
        <v>0</v>
      </c>
      <c r="BT76" s="244">
        <v>198.615785440613</v>
      </c>
      <c r="BU76" s="244">
        <v>193.10900383141799</v>
      </c>
      <c r="BV76" s="244">
        <v>0</v>
      </c>
      <c r="BW76" s="244">
        <v>0</v>
      </c>
      <c r="BX76" s="244">
        <v>47.643218390804599</v>
      </c>
      <c r="BY76" s="244">
        <v>0</v>
      </c>
      <c r="BZ76" s="244">
        <v>0</v>
      </c>
      <c r="CA76" s="244">
        <v>1.98850574712644</v>
      </c>
    </row>
    <row r="77" spans="1:79">
      <c r="A77" s="245">
        <v>21305</v>
      </c>
      <c r="B77" s="243" t="s">
        <v>1700</v>
      </c>
      <c r="C77" s="27" t="s">
        <v>1686</v>
      </c>
      <c r="D77" s="246">
        <v>114</v>
      </c>
      <c r="E77" s="248">
        <v>190.011494252874</v>
      </c>
      <c r="F77" s="244">
        <v>176.91804597701099</v>
      </c>
      <c r="G77" s="244">
        <v>3.89651340996169</v>
      </c>
      <c r="H77" s="244">
        <v>10.975977011494299</v>
      </c>
      <c r="I77" s="244">
        <v>15.7367816091954</v>
      </c>
      <c r="J77" s="244">
        <v>6.85659003831418</v>
      </c>
      <c r="K77" s="244">
        <v>0.216590038314176</v>
      </c>
      <c r="L77" s="244">
        <v>0.64248467432950196</v>
      </c>
      <c r="M77" s="244">
        <v>1.4174444444444401</v>
      </c>
      <c r="N77" s="244">
        <v>0.14698084291187699</v>
      </c>
      <c r="O77" s="244">
        <v>0.251877394636015</v>
      </c>
      <c r="P77" s="244">
        <v>67.063218390804593</v>
      </c>
      <c r="Q77" s="244">
        <v>0</v>
      </c>
      <c r="R77" s="244">
        <v>45.499378544061301</v>
      </c>
      <c r="S77" s="244">
        <v>0.44628352490421502</v>
      </c>
      <c r="T77" s="244">
        <v>0.199241379310345</v>
      </c>
      <c r="U77" s="244">
        <v>22.251164750957901</v>
      </c>
      <c r="V77" s="244">
        <v>0</v>
      </c>
      <c r="W77" s="244">
        <v>281.700613793103</v>
      </c>
      <c r="X77" s="244">
        <v>0</v>
      </c>
      <c r="Y77" s="244">
        <v>3375.20520689655</v>
      </c>
      <c r="Z77" s="244">
        <v>19.246091954023001</v>
      </c>
      <c r="AA77" s="244">
        <v>0</v>
      </c>
      <c r="AB77" s="244">
        <v>0</v>
      </c>
      <c r="AC77" s="244">
        <v>2.6711149425287402</v>
      </c>
      <c r="AD77" s="244">
        <v>176.33206896551701</v>
      </c>
      <c r="AE77" s="244">
        <v>0.313908045977011</v>
      </c>
      <c r="AF77" s="244">
        <v>3.9156704980842898</v>
      </c>
      <c r="AG77" s="244">
        <v>0.37843678160919503</v>
      </c>
      <c r="AH77" s="244">
        <v>74.588888888888903</v>
      </c>
      <c r="AI77" s="244">
        <v>440.50187739463598</v>
      </c>
      <c r="AJ77" s="244">
        <v>1.52241379310345</v>
      </c>
      <c r="AK77" s="244">
        <v>1.11590038314176</v>
      </c>
      <c r="AL77" s="244">
        <v>1.6454789272030701</v>
      </c>
      <c r="AM77" s="244">
        <v>2.3742911877394599</v>
      </c>
      <c r="AN77" s="244">
        <v>6.0152107279693503</v>
      </c>
      <c r="AO77" s="244">
        <v>0</v>
      </c>
      <c r="AP77" s="244">
        <v>1.7080459770114902E-2</v>
      </c>
      <c r="AQ77" s="244">
        <v>3.1229885057471301E-2</v>
      </c>
      <c r="AR77" s="244">
        <v>4.5681992337164697E-2</v>
      </c>
      <c r="AS77" s="244">
        <v>3.56245210727969E-2</v>
      </c>
      <c r="AT77" s="244">
        <v>1.3344827586206901E-2</v>
      </c>
      <c r="AU77" s="244">
        <v>1.3911877394636001E-2</v>
      </c>
      <c r="AV77" s="244">
        <v>3.8842911877394602E-2</v>
      </c>
      <c r="AW77" s="244">
        <v>3.2249042145593897E-2</v>
      </c>
      <c r="AX77" s="244">
        <v>9.7394636015325706E-3</v>
      </c>
      <c r="AY77" s="244">
        <v>3.7038314176245202E-2</v>
      </c>
      <c r="AZ77" s="244">
        <v>4.8379310344827599E-2</v>
      </c>
      <c r="BA77" s="244">
        <v>0.13007279693486601</v>
      </c>
      <c r="BB77" s="244">
        <v>0.11427203065134101</v>
      </c>
      <c r="BC77" s="244">
        <v>0.246141762452107</v>
      </c>
      <c r="BD77" s="244">
        <v>5.0701149425287403E-2</v>
      </c>
      <c r="BE77" s="244">
        <v>3.1555555555555601E-2</v>
      </c>
      <c r="BF77" s="244">
        <v>3.3931034482758603E-2</v>
      </c>
      <c r="BG77" s="244">
        <v>2.55747126436782E-2</v>
      </c>
      <c r="BH77" s="244">
        <v>21.923678160919501</v>
      </c>
      <c r="BI77" s="244">
        <v>9.8063984674329507</v>
      </c>
      <c r="BJ77" s="244">
        <v>3.2337164750957901</v>
      </c>
      <c r="BK77" s="244">
        <v>5.5908045977011502</v>
      </c>
      <c r="BL77" s="244">
        <v>0</v>
      </c>
      <c r="BM77" s="244">
        <v>0</v>
      </c>
      <c r="BN77" s="244">
        <v>0.36344827586206901</v>
      </c>
      <c r="BO77" s="244">
        <v>29.150421455938702</v>
      </c>
      <c r="BP77" s="244">
        <v>0</v>
      </c>
      <c r="BQ77" s="244">
        <v>22.330957854406101</v>
      </c>
      <c r="BR77" s="244">
        <v>0</v>
      </c>
      <c r="BS77" s="244">
        <v>0</v>
      </c>
      <c r="BT77" s="244">
        <v>76.219923371647496</v>
      </c>
      <c r="BU77" s="244">
        <v>6.4883141762452103</v>
      </c>
      <c r="BV77" s="244">
        <v>0</v>
      </c>
      <c r="BW77" s="244">
        <v>0</v>
      </c>
      <c r="BX77" s="244">
        <v>29.4818390804598</v>
      </c>
      <c r="BY77" s="244">
        <v>0</v>
      </c>
      <c r="BZ77" s="244">
        <v>0</v>
      </c>
      <c r="CA77" s="244">
        <v>1.98850574712644</v>
      </c>
    </row>
    <row r="78" spans="1:79">
      <c r="A78" s="247">
        <v>21306</v>
      </c>
      <c r="B78" s="243" t="s">
        <v>1701</v>
      </c>
      <c r="C78" s="27" t="s">
        <v>1686</v>
      </c>
      <c r="D78" s="246">
        <v>115</v>
      </c>
      <c r="E78" s="248">
        <v>164.21839080459799</v>
      </c>
      <c r="F78" s="244">
        <v>181.66701149425299</v>
      </c>
      <c r="G78" s="244">
        <v>4.7765134099616899</v>
      </c>
      <c r="H78" s="244">
        <v>11.2794252873563</v>
      </c>
      <c r="I78" s="244">
        <v>7.4678160919540204</v>
      </c>
      <c r="J78" s="244">
        <v>7.8731417624521098</v>
      </c>
      <c r="K78" s="244">
        <v>0.121003831417625</v>
      </c>
      <c r="L78" s="244">
        <v>0.31096743295019202</v>
      </c>
      <c r="M78" s="244">
        <v>1.28772030651341</v>
      </c>
      <c r="N78" s="244">
        <v>0.14698084291187699</v>
      </c>
      <c r="O78" s="244">
        <v>0.37477394636015299</v>
      </c>
      <c r="P78" s="244">
        <v>84.364321839080503</v>
      </c>
      <c r="Q78" s="244">
        <v>0</v>
      </c>
      <c r="R78" s="244">
        <v>67.010523371647494</v>
      </c>
      <c r="S78" s="244">
        <v>0.44628352490421502</v>
      </c>
      <c r="T78" s="244">
        <v>0.199241379310345</v>
      </c>
      <c r="U78" s="244">
        <v>22.251164750957901</v>
      </c>
      <c r="V78" s="244">
        <v>0</v>
      </c>
      <c r="W78" s="244">
        <v>280.162586206897</v>
      </c>
      <c r="X78" s="244">
        <v>0</v>
      </c>
      <c r="Y78" s="244">
        <v>3361.9979241379301</v>
      </c>
      <c r="Z78" s="244">
        <v>19.246091954023001</v>
      </c>
      <c r="AA78" s="244">
        <v>0</v>
      </c>
      <c r="AB78" s="244">
        <v>0</v>
      </c>
      <c r="AC78" s="244">
        <v>2.6711149425287402</v>
      </c>
      <c r="AD78" s="244">
        <v>156.486551724138</v>
      </c>
      <c r="AE78" s="244">
        <v>0.45045977011494298</v>
      </c>
      <c r="AF78" s="244">
        <v>5.3115325670498104</v>
      </c>
      <c r="AG78" s="244">
        <v>0.13567816091953999</v>
      </c>
      <c r="AH78" s="244">
        <v>62.450957854406099</v>
      </c>
      <c r="AI78" s="244">
        <v>545.03980842911903</v>
      </c>
      <c r="AJ78" s="244">
        <v>0.15689655172413799</v>
      </c>
      <c r="AK78" s="244">
        <v>1.08555555555556</v>
      </c>
      <c r="AL78" s="244">
        <v>1.6454789272030701</v>
      </c>
      <c r="AM78" s="244">
        <v>2.3742911877394599</v>
      </c>
      <c r="AN78" s="244">
        <v>6.0152107279693503</v>
      </c>
      <c r="AO78" s="244">
        <v>0</v>
      </c>
      <c r="AP78" s="244">
        <v>1.7080459770114902E-2</v>
      </c>
      <c r="AQ78" s="244">
        <v>3.1229885057471301E-2</v>
      </c>
      <c r="AR78" s="244">
        <v>4.5681992337164697E-2</v>
      </c>
      <c r="AS78" s="244">
        <v>3.56245210727969E-2</v>
      </c>
      <c r="AT78" s="244">
        <v>1.3344827586206901E-2</v>
      </c>
      <c r="AU78" s="244">
        <v>1.3911877394636001E-2</v>
      </c>
      <c r="AV78" s="244">
        <v>3.8842911877394602E-2</v>
      </c>
      <c r="AW78" s="244">
        <v>3.2249042145593897E-2</v>
      </c>
      <c r="AX78" s="244">
        <v>9.7394636015325706E-3</v>
      </c>
      <c r="AY78" s="244">
        <v>3.7038314176245202E-2</v>
      </c>
      <c r="AZ78" s="244">
        <v>4.8379310344827599E-2</v>
      </c>
      <c r="BA78" s="244">
        <v>0.13007279693486601</v>
      </c>
      <c r="BB78" s="244">
        <v>0.11427203065134101</v>
      </c>
      <c r="BC78" s="244">
        <v>0.246141762452107</v>
      </c>
      <c r="BD78" s="244">
        <v>5.0701149425287403E-2</v>
      </c>
      <c r="BE78" s="244">
        <v>3.1555555555555601E-2</v>
      </c>
      <c r="BF78" s="244">
        <v>3.3931034482758603E-2</v>
      </c>
      <c r="BG78" s="244">
        <v>2.55747126436782E-2</v>
      </c>
      <c r="BH78" s="244">
        <v>21.923678160919501</v>
      </c>
      <c r="BI78" s="244">
        <v>11.323639846743299</v>
      </c>
      <c r="BJ78" s="244">
        <v>3.2337164750957901</v>
      </c>
      <c r="BK78" s="244">
        <v>5.5908045977011502</v>
      </c>
      <c r="BL78" s="244">
        <v>0</v>
      </c>
      <c r="BM78" s="244">
        <v>0</v>
      </c>
      <c r="BN78" s="244">
        <v>0.36344827586206901</v>
      </c>
      <c r="BO78" s="244">
        <v>29.150421455938702</v>
      </c>
      <c r="BP78" s="244">
        <v>0</v>
      </c>
      <c r="BQ78" s="244">
        <v>22.330957854406101</v>
      </c>
      <c r="BR78" s="244">
        <v>0</v>
      </c>
      <c r="BS78" s="244">
        <v>0</v>
      </c>
      <c r="BT78" s="244">
        <v>76.219923371647496</v>
      </c>
      <c r="BU78" s="244">
        <v>6.4883141762452103</v>
      </c>
      <c r="BV78" s="244">
        <v>0</v>
      </c>
      <c r="BW78" s="244">
        <v>0</v>
      </c>
      <c r="BX78" s="244">
        <v>29.4818390804598</v>
      </c>
      <c r="BY78" s="244">
        <v>0</v>
      </c>
      <c r="BZ78" s="244">
        <v>0</v>
      </c>
      <c r="CA78" s="244">
        <v>1.98850574712644</v>
      </c>
    </row>
    <row r="79" spans="1:79">
      <c r="A79" s="245">
        <v>21307</v>
      </c>
      <c r="B79" s="243" t="s">
        <v>1702</v>
      </c>
      <c r="C79" s="27" t="s">
        <v>1686</v>
      </c>
      <c r="D79" s="246">
        <v>116</v>
      </c>
      <c r="E79" s="248">
        <v>168.77011494252901</v>
      </c>
      <c r="F79" s="244">
        <v>182.57735632183901</v>
      </c>
      <c r="G79" s="244">
        <v>4.6854789272030697</v>
      </c>
      <c r="H79" s="244">
        <v>11.067011494252901</v>
      </c>
      <c r="I79" s="244">
        <v>10.836091954023001</v>
      </c>
      <c r="J79" s="244">
        <v>4.4138314176245199</v>
      </c>
      <c r="K79" s="244">
        <v>0.18927969348658999</v>
      </c>
      <c r="L79" s="244">
        <v>0.41186398467433</v>
      </c>
      <c r="M79" s="244">
        <v>1.4462720306513399</v>
      </c>
      <c r="N79" s="244">
        <v>0.63856704980842904</v>
      </c>
      <c r="O79" s="244">
        <v>0.40208429118773997</v>
      </c>
      <c r="P79" s="244">
        <v>44.759770114942498</v>
      </c>
      <c r="Q79" s="244">
        <v>0</v>
      </c>
      <c r="R79" s="244">
        <v>53.971957854406099</v>
      </c>
      <c r="S79" s="244">
        <v>3.5718007662835198</v>
      </c>
      <c r="T79" s="244">
        <v>0.199241379310345</v>
      </c>
      <c r="U79" s="244">
        <v>379.88013026819903</v>
      </c>
      <c r="V79" s="244">
        <v>0</v>
      </c>
      <c r="W79" s="244">
        <v>229.534668965517</v>
      </c>
      <c r="X79" s="244">
        <v>0</v>
      </c>
      <c r="Y79" s="244">
        <v>2754.3500344827598</v>
      </c>
      <c r="Z79" s="244">
        <v>8681.5867816091995</v>
      </c>
      <c r="AA79" s="244">
        <v>0</v>
      </c>
      <c r="AB79" s="244">
        <v>0</v>
      </c>
      <c r="AC79" s="244">
        <v>66.562756321839103</v>
      </c>
      <c r="AD79" s="244">
        <v>74.676896551724099</v>
      </c>
      <c r="AE79" s="244">
        <v>0.42011494252873599</v>
      </c>
      <c r="AF79" s="244">
        <v>3.9460153256705</v>
      </c>
      <c r="AG79" s="244">
        <v>1.86533333333333</v>
      </c>
      <c r="AH79" s="244">
        <v>177.07854406130301</v>
      </c>
      <c r="AI79" s="244">
        <v>787.63153256705004</v>
      </c>
      <c r="AJ79" s="244">
        <v>2.25068965517241</v>
      </c>
      <c r="AK79" s="244">
        <v>0.64555555555555499</v>
      </c>
      <c r="AL79" s="244">
        <v>2.0551340996168599</v>
      </c>
      <c r="AM79" s="244">
        <v>2.4046360153256701</v>
      </c>
      <c r="AN79" s="244">
        <v>6.4855555555555604</v>
      </c>
      <c r="AO79" s="244">
        <v>0</v>
      </c>
      <c r="AP79" s="244">
        <v>0.121770114942529</v>
      </c>
      <c r="AQ79" s="244">
        <v>0.368057471264368</v>
      </c>
      <c r="AR79" s="244">
        <v>0.61161302681992302</v>
      </c>
      <c r="AS79" s="244">
        <v>0.34817624521072799</v>
      </c>
      <c r="AT79" s="244">
        <v>7.7068965517241406E-2</v>
      </c>
      <c r="AU79" s="244">
        <v>6.8532567049808396E-2</v>
      </c>
      <c r="AV79" s="244">
        <v>0.44698084291187701</v>
      </c>
      <c r="AW79" s="244">
        <v>0.32052490421455898</v>
      </c>
      <c r="AX79" s="244">
        <v>0.122015325670498</v>
      </c>
      <c r="AY79" s="244">
        <v>0.40876245210728002</v>
      </c>
      <c r="AZ79" s="244">
        <v>0.40796551724137903</v>
      </c>
      <c r="BA79" s="244">
        <v>0.51393486590038295</v>
      </c>
      <c r="BB79" s="244">
        <v>0.86682375478927198</v>
      </c>
      <c r="BC79" s="244">
        <v>1.1640727969348701</v>
      </c>
      <c r="BD79" s="244">
        <v>0.40270114942528701</v>
      </c>
      <c r="BE79" s="244">
        <v>0.36686590038314199</v>
      </c>
      <c r="BF79" s="244">
        <v>0.33131034482758598</v>
      </c>
      <c r="BG79" s="244">
        <v>0.247091954022989</v>
      </c>
      <c r="BH79" s="244">
        <v>52.769195402298898</v>
      </c>
      <c r="BI79" s="244">
        <v>64.836743295019204</v>
      </c>
      <c r="BJ79" s="244">
        <v>3.2337164750957901</v>
      </c>
      <c r="BK79" s="244">
        <v>5.5908045977011502</v>
      </c>
      <c r="BL79" s="244">
        <v>0</v>
      </c>
      <c r="BM79" s="244">
        <v>0</v>
      </c>
      <c r="BN79" s="244">
        <v>30.495862068965501</v>
      </c>
      <c r="BO79" s="244">
        <v>314.39180076628401</v>
      </c>
      <c r="BP79" s="244">
        <v>0</v>
      </c>
      <c r="BQ79" s="244">
        <v>32.815095785440597</v>
      </c>
      <c r="BR79" s="244">
        <v>1.47172413793103</v>
      </c>
      <c r="BS79" s="244">
        <v>0</v>
      </c>
      <c r="BT79" s="244">
        <v>98.902681992337193</v>
      </c>
      <c r="BU79" s="244">
        <v>458.62624521072797</v>
      </c>
      <c r="BV79" s="244">
        <v>0</v>
      </c>
      <c r="BW79" s="244">
        <v>0</v>
      </c>
      <c r="BX79" s="244">
        <v>78.8377011494253</v>
      </c>
      <c r="BY79" s="244">
        <v>0</v>
      </c>
      <c r="BZ79" s="244">
        <v>0</v>
      </c>
      <c r="CA79" s="244">
        <v>1.98850574712644</v>
      </c>
    </row>
    <row r="80" spans="1:79">
      <c r="A80" s="245">
        <v>21308</v>
      </c>
      <c r="B80" s="243" t="s">
        <v>1703</v>
      </c>
      <c r="C80" s="27" t="s">
        <v>1686</v>
      </c>
      <c r="D80" s="246">
        <v>117</v>
      </c>
      <c r="E80" s="248">
        <v>202.149425287356</v>
      </c>
      <c r="F80" s="244">
        <v>168.907011494253</v>
      </c>
      <c r="G80" s="244">
        <v>8.2661685823754798</v>
      </c>
      <c r="H80" s="244">
        <v>10.778735632183899</v>
      </c>
      <c r="I80" s="244">
        <v>14.507816091954</v>
      </c>
      <c r="J80" s="244">
        <v>7.8276245210728002</v>
      </c>
      <c r="K80" s="244">
        <v>6.6383141762452094E-2</v>
      </c>
      <c r="L80" s="244">
        <v>0.15241570881226099</v>
      </c>
      <c r="M80" s="244">
        <v>1.12916858237548</v>
      </c>
      <c r="N80" s="244">
        <v>0.59760153256704995</v>
      </c>
      <c r="O80" s="244">
        <v>0.37477394636015299</v>
      </c>
      <c r="P80" s="244">
        <v>96.801149425287406</v>
      </c>
      <c r="Q80" s="244">
        <v>0</v>
      </c>
      <c r="R80" s="244">
        <v>61.648288888888899</v>
      </c>
      <c r="S80" s="244">
        <v>0.44628352490421502</v>
      </c>
      <c r="T80" s="244">
        <v>0.199241379310345</v>
      </c>
      <c r="U80" s="244">
        <v>681.58357854406097</v>
      </c>
      <c r="V80" s="244">
        <v>0</v>
      </c>
      <c r="W80" s="244">
        <v>1282.63203448276</v>
      </c>
      <c r="X80" s="244">
        <v>0</v>
      </c>
      <c r="Y80" s="244">
        <v>15397.218999999999</v>
      </c>
      <c r="Z80" s="244">
        <v>2645.1812643678199</v>
      </c>
      <c r="AA80" s="244">
        <v>0</v>
      </c>
      <c r="AB80" s="244">
        <v>0</v>
      </c>
      <c r="AC80" s="244">
        <v>180.461459770115</v>
      </c>
      <c r="AD80" s="244">
        <v>984.26310344827596</v>
      </c>
      <c r="AE80" s="244">
        <v>0.76908045977011497</v>
      </c>
      <c r="AF80" s="244">
        <v>22.426015325670502</v>
      </c>
      <c r="AG80" s="244">
        <v>2.9274022988505801</v>
      </c>
      <c r="AH80" s="244">
        <v>128.22337164750999</v>
      </c>
      <c r="AI80" s="244">
        <v>1156.3211877394599</v>
      </c>
      <c r="AJ80" s="244">
        <v>29.606551724137901</v>
      </c>
      <c r="AK80" s="244">
        <v>0.82762452107279705</v>
      </c>
      <c r="AL80" s="244">
        <v>1.782030651341</v>
      </c>
      <c r="AM80" s="244">
        <v>2.4046360153256701</v>
      </c>
      <c r="AN80" s="244">
        <v>6.3034865900383199</v>
      </c>
      <c r="AO80" s="244">
        <v>0</v>
      </c>
      <c r="AP80" s="244">
        <v>0.121770114942529</v>
      </c>
      <c r="AQ80" s="244">
        <v>0.24819540229885101</v>
      </c>
      <c r="AR80" s="244">
        <v>0.45685440613026801</v>
      </c>
      <c r="AS80" s="244">
        <v>0.304176245210728</v>
      </c>
      <c r="AT80" s="244">
        <v>8.0103448275862105E-2</v>
      </c>
      <c r="AU80" s="244">
        <v>5.1842911877394697E-2</v>
      </c>
      <c r="AV80" s="244">
        <v>0.30739463601532602</v>
      </c>
      <c r="AW80" s="244">
        <v>0.26893869731800801</v>
      </c>
      <c r="AX80" s="244">
        <v>5.8291187739463603E-2</v>
      </c>
      <c r="AY80" s="244">
        <v>0.26159003831417599</v>
      </c>
      <c r="AZ80" s="244">
        <v>0.50051724137930997</v>
      </c>
      <c r="BA80" s="244">
        <v>0.44110727969348701</v>
      </c>
      <c r="BB80" s="244">
        <v>0.69840996168582403</v>
      </c>
      <c r="BC80" s="244">
        <v>0.87883141762452099</v>
      </c>
      <c r="BD80" s="244">
        <v>0.37842528735632203</v>
      </c>
      <c r="BE80" s="244">
        <v>0.32134865900383103</v>
      </c>
      <c r="BF80" s="244">
        <v>0.31765517241379299</v>
      </c>
      <c r="BG80" s="244">
        <v>0.20916091954023</v>
      </c>
      <c r="BH80" s="244">
        <v>61.660229885057497</v>
      </c>
      <c r="BI80" s="244">
        <v>17.999501915708802</v>
      </c>
      <c r="BJ80" s="244">
        <v>3.2337164750957901</v>
      </c>
      <c r="BK80" s="244">
        <v>5.5908045977011502</v>
      </c>
      <c r="BL80" s="244">
        <v>0</v>
      </c>
      <c r="BM80" s="244">
        <v>0</v>
      </c>
      <c r="BN80" s="244">
        <v>14.8379310344828</v>
      </c>
      <c r="BO80" s="244">
        <v>127.133869731801</v>
      </c>
      <c r="BP80" s="244">
        <v>0</v>
      </c>
      <c r="BQ80" s="244">
        <v>33.497854406130301</v>
      </c>
      <c r="BR80" s="244">
        <v>0</v>
      </c>
      <c r="BS80" s="244">
        <v>0</v>
      </c>
      <c r="BT80" s="244">
        <v>76.219923371647496</v>
      </c>
      <c r="BU80" s="244">
        <v>6.4883141762452103</v>
      </c>
      <c r="BV80" s="244">
        <v>0</v>
      </c>
      <c r="BW80" s="244">
        <v>0</v>
      </c>
      <c r="BX80" s="244">
        <v>39.116321839080499</v>
      </c>
      <c r="BY80" s="244">
        <v>0</v>
      </c>
      <c r="BZ80" s="244">
        <v>0</v>
      </c>
      <c r="CA80" s="244">
        <v>1.98850574712644</v>
      </c>
    </row>
    <row r="81" spans="1:79">
      <c r="A81" s="245">
        <v>21309</v>
      </c>
      <c r="B81" s="243" t="s">
        <v>1704</v>
      </c>
      <c r="C81" s="27" t="s">
        <v>1686</v>
      </c>
      <c r="D81" s="246">
        <v>118</v>
      </c>
      <c r="E81" s="248">
        <v>173.32183908045999</v>
      </c>
      <c r="F81" s="244">
        <v>177.61597701149401</v>
      </c>
      <c r="G81" s="244">
        <v>5.3530651340996203</v>
      </c>
      <c r="H81" s="244">
        <v>10.809080459770099</v>
      </c>
      <c r="I81" s="244">
        <v>9.2429885057471299</v>
      </c>
      <c r="J81" s="244">
        <v>9.9517624521072801</v>
      </c>
      <c r="K81" s="244">
        <v>0.161969348659004</v>
      </c>
      <c r="L81" s="244">
        <v>0.85869157088122605</v>
      </c>
      <c r="M81" s="244">
        <v>1.93634099616858</v>
      </c>
      <c r="N81" s="244">
        <v>0.14698084291187699</v>
      </c>
      <c r="O81" s="244">
        <v>0.93463601532567098</v>
      </c>
      <c r="P81" s="244">
        <v>137.159770114943</v>
      </c>
      <c r="Q81" s="244">
        <v>0</v>
      </c>
      <c r="R81" s="244">
        <v>75.408454406130303</v>
      </c>
      <c r="S81" s="244">
        <v>0.44628352490421502</v>
      </c>
      <c r="T81" s="244">
        <v>0.199241379310345</v>
      </c>
      <c r="U81" s="244">
        <v>22.251164750957901</v>
      </c>
      <c r="V81" s="244">
        <v>0</v>
      </c>
      <c r="W81" s="244">
        <v>432.13099999999997</v>
      </c>
      <c r="X81" s="244">
        <v>0</v>
      </c>
      <c r="Y81" s="244">
        <v>5181.3293448275899</v>
      </c>
      <c r="Z81" s="244">
        <v>19.246091954023001</v>
      </c>
      <c r="AA81" s="244">
        <v>0</v>
      </c>
      <c r="AB81" s="244">
        <v>0</v>
      </c>
      <c r="AC81" s="244">
        <v>2.6711149425287402</v>
      </c>
      <c r="AD81" s="244">
        <v>195.54034482758601</v>
      </c>
      <c r="AE81" s="244">
        <v>0.25321839080459801</v>
      </c>
      <c r="AF81" s="244">
        <v>15.294980842911899</v>
      </c>
      <c r="AG81" s="244">
        <v>0.32229885057471303</v>
      </c>
      <c r="AH81" s="244">
        <v>110.27440613026801</v>
      </c>
      <c r="AI81" s="244">
        <v>467.32670498084298</v>
      </c>
      <c r="AJ81" s="244">
        <v>1.52241379310345</v>
      </c>
      <c r="AK81" s="244">
        <v>2.5724521072796902</v>
      </c>
      <c r="AL81" s="244">
        <v>1.6454789272030701</v>
      </c>
      <c r="AM81" s="244">
        <v>2.3742911877394599</v>
      </c>
      <c r="AN81" s="244">
        <v>6.0152107279693503</v>
      </c>
      <c r="AO81" s="244">
        <v>0</v>
      </c>
      <c r="AP81" s="244">
        <v>1.7080459770114902E-2</v>
      </c>
      <c r="AQ81" s="244">
        <v>3.1229885057471301E-2</v>
      </c>
      <c r="AR81" s="244">
        <v>4.5681992337164697E-2</v>
      </c>
      <c r="AS81" s="244">
        <v>3.56245210727969E-2</v>
      </c>
      <c r="AT81" s="244">
        <v>1.3344827586206901E-2</v>
      </c>
      <c r="AU81" s="244">
        <v>1.3911877394636001E-2</v>
      </c>
      <c r="AV81" s="244">
        <v>3.8842911877394602E-2</v>
      </c>
      <c r="AW81" s="244">
        <v>3.2249042145593897E-2</v>
      </c>
      <c r="AX81" s="244">
        <v>9.7394636015325706E-3</v>
      </c>
      <c r="AY81" s="244">
        <v>3.7038314176245202E-2</v>
      </c>
      <c r="AZ81" s="244">
        <v>4.8379310344827599E-2</v>
      </c>
      <c r="BA81" s="244">
        <v>0.13007279693486601</v>
      </c>
      <c r="BB81" s="244">
        <v>0.11427203065134101</v>
      </c>
      <c r="BC81" s="244">
        <v>0.246141762452107</v>
      </c>
      <c r="BD81" s="244">
        <v>5.0701149425287403E-2</v>
      </c>
      <c r="BE81" s="244">
        <v>3.1555555555555601E-2</v>
      </c>
      <c r="BF81" s="244">
        <v>3.3931034482758603E-2</v>
      </c>
      <c r="BG81" s="244">
        <v>2.55747126436782E-2</v>
      </c>
      <c r="BH81" s="244">
        <v>21.923678160919501</v>
      </c>
      <c r="BI81" s="244">
        <v>28.013295019157098</v>
      </c>
      <c r="BJ81" s="244">
        <v>3.2337164750957901</v>
      </c>
      <c r="BK81" s="244">
        <v>5.5908045977011502</v>
      </c>
      <c r="BL81" s="244">
        <v>0</v>
      </c>
      <c r="BM81" s="244">
        <v>0</v>
      </c>
      <c r="BN81" s="244">
        <v>0.36344827586206901</v>
      </c>
      <c r="BO81" s="244">
        <v>29.150421455938702</v>
      </c>
      <c r="BP81" s="244">
        <v>0</v>
      </c>
      <c r="BQ81" s="244">
        <v>22.330957854406101</v>
      </c>
      <c r="BR81" s="244">
        <v>0</v>
      </c>
      <c r="BS81" s="244">
        <v>0</v>
      </c>
      <c r="BT81" s="244">
        <v>76.219923371647496</v>
      </c>
      <c r="BU81" s="244">
        <v>6.4883141762452103</v>
      </c>
      <c r="BV81" s="244">
        <v>0</v>
      </c>
      <c r="BW81" s="244">
        <v>0</v>
      </c>
      <c r="BX81" s="244">
        <v>29.4818390804598</v>
      </c>
      <c r="BY81" s="244">
        <v>0</v>
      </c>
      <c r="BZ81" s="244">
        <v>0</v>
      </c>
      <c r="CA81" s="244">
        <v>1.98850574712644</v>
      </c>
    </row>
    <row r="82" spans="1:79">
      <c r="A82" s="245">
        <v>21311</v>
      </c>
      <c r="B82" s="243" t="s">
        <v>1705</v>
      </c>
      <c r="C82" s="27" t="s">
        <v>1686</v>
      </c>
      <c r="D82" s="246">
        <v>119</v>
      </c>
      <c r="E82" s="248">
        <v>124.77011494252901</v>
      </c>
      <c r="F82" s="244">
        <v>44.766321839080497</v>
      </c>
      <c r="G82" s="244">
        <v>0.98340996168582395</v>
      </c>
      <c r="H82" s="244">
        <v>10.3994252873563</v>
      </c>
      <c r="I82" s="244">
        <v>6.6029885057471303</v>
      </c>
      <c r="J82" s="244">
        <v>1.2276245210728001</v>
      </c>
      <c r="K82" s="244">
        <v>2.5417624521072799E-2</v>
      </c>
      <c r="L82" s="244">
        <v>6.5932950191570902E-2</v>
      </c>
      <c r="M82" s="244">
        <v>0.12020306513410001</v>
      </c>
      <c r="N82" s="244">
        <v>0.14698084291187699</v>
      </c>
      <c r="O82" s="244">
        <v>0.115325670498084</v>
      </c>
      <c r="P82" s="244">
        <v>6.5252873563218401</v>
      </c>
      <c r="Q82" s="244">
        <v>0</v>
      </c>
      <c r="R82" s="244">
        <v>111.57554406130301</v>
      </c>
      <c r="S82" s="244">
        <v>0.44628352490421502</v>
      </c>
      <c r="T82" s="244">
        <v>0.199241379310345</v>
      </c>
      <c r="U82" s="244">
        <v>22.251164750957901</v>
      </c>
      <c r="V82" s="244">
        <v>0</v>
      </c>
      <c r="W82" s="244">
        <v>1.41272413793103</v>
      </c>
      <c r="X82" s="244">
        <v>0</v>
      </c>
      <c r="Y82" s="244">
        <v>16.943137931034499</v>
      </c>
      <c r="Z82" s="244">
        <v>19.246091954023001</v>
      </c>
      <c r="AA82" s="244">
        <v>0</v>
      </c>
      <c r="AB82" s="244">
        <v>0</v>
      </c>
      <c r="AC82" s="244">
        <v>2.6711149425287402</v>
      </c>
      <c r="AD82" s="244">
        <v>2320.0424137931</v>
      </c>
      <c r="AE82" s="244">
        <v>13.271149425287399</v>
      </c>
      <c r="AF82" s="244">
        <v>29.7087739463602</v>
      </c>
      <c r="AG82" s="244">
        <v>4.6874022988505697</v>
      </c>
      <c r="AH82" s="244">
        <v>946.01647509578504</v>
      </c>
      <c r="AI82" s="244">
        <v>4417.78325670498</v>
      </c>
      <c r="AJ82" s="244">
        <v>0.15689655172413799</v>
      </c>
      <c r="AK82" s="244">
        <v>12.631762452107299</v>
      </c>
      <c r="AL82" s="244">
        <v>1.6454789272030701</v>
      </c>
      <c r="AM82" s="244">
        <v>2.3742911877394599</v>
      </c>
      <c r="AN82" s="244">
        <v>6.0152107279693503</v>
      </c>
      <c r="AO82" s="244">
        <v>0</v>
      </c>
      <c r="AP82" s="244">
        <v>1.7080459770114902E-2</v>
      </c>
      <c r="AQ82" s="244">
        <v>3.1229885057471301E-2</v>
      </c>
      <c r="AR82" s="244">
        <v>4.5681992337164697E-2</v>
      </c>
      <c r="AS82" s="244">
        <v>3.56245210727969E-2</v>
      </c>
      <c r="AT82" s="244">
        <v>1.3344827586206901E-2</v>
      </c>
      <c r="AU82" s="244">
        <v>1.3911877394636001E-2</v>
      </c>
      <c r="AV82" s="244">
        <v>3.8842911877394602E-2</v>
      </c>
      <c r="AW82" s="244">
        <v>3.2249042145593897E-2</v>
      </c>
      <c r="AX82" s="244">
        <v>9.7394636015325706E-3</v>
      </c>
      <c r="AY82" s="244">
        <v>3.7038314176245202E-2</v>
      </c>
      <c r="AZ82" s="244">
        <v>4.8379310344827599E-2</v>
      </c>
      <c r="BA82" s="244">
        <v>0.13007279693486601</v>
      </c>
      <c r="BB82" s="244">
        <v>0.11427203065134101</v>
      </c>
      <c r="BC82" s="244">
        <v>0.246141762452107</v>
      </c>
      <c r="BD82" s="244">
        <v>5.0701149425287403E-2</v>
      </c>
      <c r="BE82" s="244">
        <v>3.1555555555555601E-2</v>
      </c>
      <c r="BF82" s="244">
        <v>3.3931034482758603E-2</v>
      </c>
      <c r="BG82" s="244">
        <v>2.55747126436782E-2</v>
      </c>
      <c r="BH82" s="244">
        <v>21.923678160919501</v>
      </c>
      <c r="BI82" s="244">
        <v>6.7719157088122603</v>
      </c>
      <c r="BJ82" s="244">
        <v>3.2337164750957901</v>
      </c>
      <c r="BK82" s="244">
        <v>5.5908045977011502</v>
      </c>
      <c r="BL82" s="244">
        <v>0</v>
      </c>
      <c r="BM82" s="244">
        <v>0</v>
      </c>
      <c r="BN82" s="244">
        <v>0.36344827586206901</v>
      </c>
      <c r="BO82" s="244">
        <v>29.150421455938702</v>
      </c>
      <c r="BP82" s="244">
        <v>0</v>
      </c>
      <c r="BQ82" s="244">
        <v>22.330957854406101</v>
      </c>
      <c r="BR82" s="244">
        <v>0</v>
      </c>
      <c r="BS82" s="244">
        <v>0</v>
      </c>
      <c r="BT82" s="244">
        <v>76.219923371647496</v>
      </c>
      <c r="BU82" s="244">
        <v>6.4883141762452103</v>
      </c>
      <c r="BV82" s="244">
        <v>0</v>
      </c>
      <c r="BW82" s="244">
        <v>0</v>
      </c>
      <c r="BX82" s="244">
        <v>29.4818390804598</v>
      </c>
      <c r="BY82" s="244">
        <v>0</v>
      </c>
      <c r="BZ82" s="244">
        <v>0</v>
      </c>
      <c r="CA82" s="244">
        <v>1.98850574712644</v>
      </c>
    </row>
    <row r="83" spans="1:79">
      <c r="A83" s="245">
        <v>21312</v>
      </c>
      <c r="B83" s="243" t="s">
        <v>248</v>
      </c>
      <c r="C83" s="27" t="s">
        <v>1686</v>
      </c>
      <c r="D83" s="246">
        <v>120</v>
      </c>
      <c r="E83" s="248">
        <v>166.82804597701201</v>
      </c>
      <c r="F83" s="244">
        <v>179.45183908045999</v>
      </c>
      <c r="G83" s="244">
        <v>4.7765134099616899</v>
      </c>
      <c r="H83" s="244">
        <v>11.067011494252901</v>
      </c>
      <c r="I83" s="244">
        <v>10.487126436781599</v>
      </c>
      <c r="J83" s="244">
        <v>7.3117624521072804</v>
      </c>
      <c r="K83" s="244">
        <v>0.107348659003831</v>
      </c>
      <c r="L83" s="244">
        <v>0.80103639846743302</v>
      </c>
      <c r="M83" s="244">
        <v>0.898547892720306</v>
      </c>
      <c r="N83" s="244">
        <v>0.70684291187739501</v>
      </c>
      <c r="O83" s="244">
        <v>0.347463601532567</v>
      </c>
      <c r="P83" s="244">
        <v>51.7163218390805</v>
      </c>
      <c r="Q83" s="244">
        <v>0</v>
      </c>
      <c r="R83" s="244">
        <v>58.737006130268199</v>
      </c>
      <c r="S83" s="244">
        <v>1.9786973180076599</v>
      </c>
      <c r="T83" s="244">
        <v>0.57855172413793099</v>
      </c>
      <c r="U83" s="244">
        <v>351.91737164750998</v>
      </c>
      <c r="V83" s="244">
        <v>0</v>
      </c>
      <c r="W83" s="244">
        <v>1.41272413793103</v>
      </c>
      <c r="X83" s="244">
        <v>0</v>
      </c>
      <c r="Y83" s="244">
        <v>1533.8052068965501</v>
      </c>
      <c r="Z83" s="244">
        <v>19.246091954023001</v>
      </c>
      <c r="AA83" s="244">
        <v>0</v>
      </c>
      <c r="AB83" s="244">
        <v>0</v>
      </c>
      <c r="AC83" s="244">
        <v>2.6711149425287402</v>
      </c>
      <c r="AD83" s="244">
        <v>334.125172413793</v>
      </c>
      <c r="AE83" s="244">
        <v>0.37459770114942498</v>
      </c>
      <c r="AF83" s="244">
        <v>4.6136015325670501</v>
      </c>
      <c r="AG83" s="244">
        <v>2.5329195402298899</v>
      </c>
      <c r="AH83" s="244">
        <v>76.257854406130306</v>
      </c>
      <c r="AI83" s="244">
        <v>790.66601532567097</v>
      </c>
      <c r="AJ83" s="244">
        <v>2.2810344827586202</v>
      </c>
      <c r="AK83" s="244">
        <v>1.82900383141762</v>
      </c>
      <c r="AL83" s="244">
        <v>1.8275478927203099</v>
      </c>
      <c r="AM83" s="244">
        <v>2.5108429118773898</v>
      </c>
      <c r="AN83" s="244">
        <v>6.3490038314176296</v>
      </c>
      <c r="AO83" s="244">
        <v>0</v>
      </c>
      <c r="AP83" s="244">
        <v>8.3839080459770093E-2</v>
      </c>
      <c r="AQ83" s="244">
        <v>0.21481609195402299</v>
      </c>
      <c r="AR83" s="244">
        <v>0.38706130268199201</v>
      </c>
      <c r="AS83" s="244">
        <v>0.17824521072796901</v>
      </c>
      <c r="AT83" s="244">
        <v>8.0103448275862105E-2</v>
      </c>
      <c r="AU83" s="244">
        <v>4.72911877394636E-2</v>
      </c>
      <c r="AV83" s="244">
        <v>0.25580842911877399</v>
      </c>
      <c r="AW83" s="244">
        <v>0.22038697318007699</v>
      </c>
      <c r="AX83" s="244">
        <v>5.0704980842911897E-2</v>
      </c>
      <c r="AY83" s="244">
        <v>0.267659003831418</v>
      </c>
      <c r="AZ83" s="244">
        <v>0.29568965517241402</v>
      </c>
      <c r="BA83" s="244">
        <v>0.32124521072796902</v>
      </c>
      <c r="BB83" s="244">
        <v>0.495099616858238</v>
      </c>
      <c r="BC83" s="244">
        <v>0.76503831417624502</v>
      </c>
      <c r="BD83" s="244">
        <v>0.323804597701149</v>
      </c>
      <c r="BE83" s="244">
        <v>0.210590038314176</v>
      </c>
      <c r="BF83" s="244">
        <v>0.19172413793103399</v>
      </c>
      <c r="BG83" s="244">
        <v>0.17729885057471301</v>
      </c>
      <c r="BH83" s="244">
        <v>86.011954022988505</v>
      </c>
      <c r="BI83" s="244">
        <v>34.810536398467399</v>
      </c>
      <c r="BJ83" s="244">
        <v>3.2337164750957901</v>
      </c>
      <c r="BK83" s="244">
        <v>5.5908045977011502</v>
      </c>
      <c r="BL83" s="244">
        <v>0</v>
      </c>
      <c r="BM83" s="244">
        <v>0</v>
      </c>
      <c r="BN83" s="244">
        <v>3.2006896551724102</v>
      </c>
      <c r="BO83" s="244">
        <v>176.23180076628401</v>
      </c>
      <c r="BP83" s="244">
        <v>0</v>
      </c>
      <c r="BQ83" s="244">
        <v>22.330957854406101</v>
      </c>
      <c r="BR83" s="244">
        <v>0</v>
      </c>
      <c r="BS83" s="244">
        <v>0</v>
      </c>
      <c r="BT83" s="244">
        <v>153.113716475096</v>
      </c>
      <c r="BU83" s="244">
        <v>262.90210727969401</v>
      </c>
      <c r="BV83" s="244">
        <v>0</v>
      </c>
      <c r="BW83" s="244">
        <v>0</v>
      </c>
      <c r="BX83" s="244">
        <v>40.891494252873599</v>
      </c>
      <c r="BY83" s="244">
        <v>0</v>
      </c>
      <c r="BZ83" s="244">
        <v>0</v>
      </c>
      <c r="CA83" s="244">
        <v>1.98850574712644</v>
      </c>
    </row>
    <row r="84" spans="1:79">
      <c r="A84" s="245">
        <v>21313</v>
      </c>
      <c r="B84" s="243" t="s">
        <v>1706</v>
      </c>
      <c r="C84" s="27" t="s">
        <v>1686</v>
      </c>
      <c r="D84" s="246">
        <v>121</v>
      </c>
      <c r="E84" s="248">
        <v>170.81839080459801</v>
      </c>
      <c r="F84" s="244">
        <v>178.541494252874</v>
      </c>
      <c r="G84" s="244">
        <v>6.3240996168582404</v>
      </c>
      <c r="H84" s="244">
        <v>11.1732183908046</v>
      </c>
      <c r="I84" s="244">
        <v>10.259540229885101</v>
      </c>
      <c r="J84" s="244">
        <v>7.1752107279693504</v>
      </c>
      <c r="K84" s="244">
        <v>0.13465900383141799</v>
      </c>
      <c r="L84" s="244">
        <v>0.32538122605364</v>
      </c>
      <c r="M84" s="244">
        <v>0.95620306513410003</v>
      </c>
      <c r="N84" s="244">
        <v>0.502015325670498</v>
      </c>
      <c r="O84" s="244">
        <v>0.36111877394635999</v>
      </c>
      <c r="P84" s="244">
        <v>123.352873563218</v>
      </c>
      <c r="Q84" s="244">
        <v>0</v>
      </c>
      <c r="R84" s="244">
        <v>82.736426819923395</v>
      </c>
      <c r="S84" s="244">
        <v>8.6393869731800805</v>
      </c>
      <c r="T84" s="244">
        <v>1.06406896551724</v>
      </c>
      <c r="U84" s="244">
        <v>304.82219923371599</v>
      </c>
      <c r="V84" s="244">
        <v>0</v>
      </c>
      <c r="W84" s="244">
        <v>176.381</v>
      </c>
      <c r="X84" s="244">
        <v>0</v>
      </c>
      <c r="Y84" s="244">
        <v>3712.44244827586</v>
      </c>
      <c r="Z84" s="244">
        <v>19.246091954023001</v>
      </c>
      <c r="AA84" s="244">
        <v>0</v>
      </c>
      <c r="AB84" s="244">
        <v>0</v>
      </c>
      <c r="AC84" s="244">
        <v>2.6711149425287402</v>
      </c>
      <c r="AD84" s="244">
        <v>303.78034482758602</v>
      </c>
      <c r="AE84" s="244">
        <v>0.58701149425287402</v>
      </c>
      <c r="AF84" s="244">
        <v>4.8867049808429099</v>
      </c>
      <c r="AG84" s="244">
        <v>0.75774712643678199</v>
      </c>
      <c r="AH84" s="244">
        <v>127.919923371648</v>
      </c>
      <c r="AI84" s="244">
        <v>737.56256704980797</v>
      </c>
      <c r="AJ84" s="244">
        <v>12.3403448275862</v>
      </c>
      <c r="AK84" s="244">
        <v>1.3738314176245201</v>
      </c>
      <c r="AL84" s="244">
        <v>1.8578927203065101</v>
      </c>
      <c r="AM84" s="244">
        <v>2.41980842911877</v>
      </c>
      <c r="AN84" s="244">
        <v>6.5007279693486604</v>
      </c>
      <c r="AO84" s="244">
        <v>0</v>
      </c>
      <c r="AP84" s="244">
        <v>0.11873563218390799</v>
      </c>
      <c r="AQ84" s="244">
        <v>0.20267816091954</v>
      </c>
      <c r="AR84" s="244">
        <v>0.39616475095785397</v>
      </c>
      <c r="AS84" s="244">
        <v>0.32541762452107298</v>
      </c>
      <c r="AT84" s="244">
        <v>5.2793103448275903E-2</v>
      </c>
      <c r="AU84" s="244">
        <v>6.8532567049808396E-2</v>
      </c>
      <c r="AV84" s="244">
        <v>0.22698084291187701</v>
      </c>
      <c r="AW84" s="244">
        <v>0.25073180076628399</v>
      </c>
      <c r="AX84" s="244">
        <v>7.9532567049808406E-2</v>
      </c>
      <c r="AY84" s="244">
        <v>0.22517624521072799</v>
      </c>
      <c r="AZ84" s="244">
        <v>0.40037931034482799</v>
      </c>
      <c r="BA84" s="244">
        <v>0.43655555555555597</v>
      </c>
      <c r="BB84" s="244">
        <v>0.693858237547893</v>
      </c>
      <c r="BC84" s="244">
        <v>1.2429693486590001</v>
      </c>
      <c r="BD84" s="244">
        <v>0.33442528735632199</v>
      </c>
      <c r="BE84" s="244">
        <v>0.28038314176245199</v>
      </c>
      <c r="BF84" s="244">
        <v>0.307034482758621</v>
      </c>
      <c r="BG84" s="244">
        <v>0.19702298850574701</v>
      </c>
      <c r="BH84" s="244">
        <v>79.609195402298894</v>
      </c>
      <c r="BI84" s="244">
        <v>59.405019157088098</v>
      </c>
      <c r="BJ84" s="244">
        <v>3.2337164750957901</v>
      </c>
      <c r="BK84" s="244">
        <v>6.3494252873563202</v>
      </c>
      <c r="BL84" s="244">
        <v>0</v>
      </c>
      <c r="BM84" s="244">
        <v>0</v>
      </c>
      <c r="BN84" s="244">
        <v>19.480689655172402</v>
      </c>
      <c r="BO84" s="244">
        <v>196.046973180077</v>
      </c>
      <c r="BP84" s="244">
        <v>0</v>
      </c>
      <c r="BQ84" s="244">
        <v>39.490957854406098</v>
      </c>
      <c r="BR84" s="244">
        <v>0</v>
      </c>
      <c r="BS84" s="244">
        <v>0</v>
      </c>
      <c r="BT84" s="244">
        <v>202.33302681992299</v>
      </c>
      <c r="BU84" s="244">
        <v>370.62624521072797</v>
      </c>
      <c r="BV84" s="244">
        <v>0</v>
      </c>
      <c r="BW84" s="244">
        <v>0</v>
      </c>
      <c r="BX84" s="244">
        <v>55.411494252873602</v>
      </c>
      <c r="BY84" s="244">
        <v>0</v>
      </c>
      <c r="BZ84" s="244">
        <v>0</v>
      </c>
      <c r="CA84" s="244">
        <v>1.98850574712644</v>
      </c>
    </row>
    <row r="85" spans="1:79">
      <c r="A85" s="245">
        <v>21315</v>
      </c>
      <c r="B85" s="243" t="s">
        <v>1707</v>
      </c>
      <c r="C85" s="27" t="s">
        <v>1686</v>
      </c>
      <c r="D85" s="246">
        <v>122</v>
      </c>
      <c r="E85" s="248">
        <v>173.32183908045999</v>
      </c>
      <c r="F85" s="244">
        <v>182.395287356322</v>
      </c>
      <c r="G85" s="244">
        <v>3.7903065134099601</v>
      </c>
      <c r="H85" s="244">
        <v>11.4463218390805</v>
      </c>
      <c r="I85" s="244">
        <v>11.716091954023</v>
      </c>
      <c r="J85" s="244">
        <v>5.1421072796934899</v>
      </c>
      <c r="K85" s="244">
        <v>0.13465900383141799</v>
      </c>
      <c r="L85" s="244">
        <v>0.19565708812260499</v>
      </c>
      <c r="M85" s="244">
        <v>1.2733065134099599</v>
      </c>
      <c r="N85" s="244">
        <v>0.33815325670498098</v>
      </c>
      <c r="O85" s="244">
        <v>0.36111877394635999</v>
      </c>
      <c r="P85" s="244">
        <v>80.509011494252903</v>
      </c>
      <c r="Q85" s="244">
        <v>0</v>
      </c>
      <c r="R85" s="244">
        <v>93.348923371647501</v>
      </c>
      <c r="S85" s="244">
        <v>2.55524904214559</v>
      </c>
      <c r="T85" s="244">
        <v>0.199241379310345</v>
      </c>
      <c r="U85" s="244">
        <v>294.52013026819901</v>
      </c>
      <c r="V85" s="244">
        <v>0</v>
      </c>
      <c r="W85" s="244">
        <v>221.421220689655</v>
      </c>
      <c r="X85" s="244">
        <v>0</v>
      </c>
      <c r="Y85" s="244">
        <v>2655.5776206896599</v>
      </c>
      <c r="Z85" s="244">
        <v>2475.8571264367802</v>
      </c>
      <c r="AA85" s="244">
        <v>0</v>
      </c>
      <c r="AB85" s="244">
        <v>0</v>
      </c>
      <c r="AC85" s="244">
        <v>34.715708045977003</v>
      </c>
      <c r="AD85" s="244">
        <v>236.961034482759</v>
      </c>
      <c r="AE85" s="244">
        <v>0.32908045977011502</v>
      </c>
      <c r="AF85" s="244">
        <v>4.8867049808429099</v>
      </c>
      <c r="AG85" s="244">
        <v>1.5011954022988501</v>
      </c>
      <c r="AH85" s="244">
        <v>81.750268199233702</v>
      </c>
      <c r="AI85" s="244">
        <v>520.09636015325702</v>
      </c>
      <c r="AJ85" s="244">
        <v>50.301724137930997</v>
      </c>
      <c r="AK85" s="244">
        <v>1.0703831417624501</v>
      </c>
      <c r="AL85" s="244">
        <v>1.8730651340996201</v>
      </c>
      <c r="AM85" s="244">
        <v>2.41980842911877</v>
      </c>
      <c r="AN85" s="244">
        <v>6.3945210727969402</v>
      </c>
      <c r="AO85" s="244">
        <v>0</v>
      </c>
      <c r="AP85" s="244">
        <v>8.3839080459770093E-2</v>
      </c>
      <c r="AQ85" s="244">
        <v>0.152609195402299</v>
      </c>
      <c r="AR85" s="244">
        <v>0.27781992337164801</v>
      </c>
      <c r="AS85" s="244">
        <v>0.21617624521072801</v>
      </c>
      <c r="AT85" s="244">
        <v>4.6724137931034498E-2</v>
      </c>
      <c r="AU85" s="244">
        <v>4.27394636015326E-2</v>
      </c>
      <c r="AV85" s="244">
        <v>0.240636015325671</v>
      </c>
      <c r="AW85" s="244">
        <v>0.167283524904215</v>
      </c>
      <c r="AX85" s="244">
        <v>5.6773946360153302E-2</v>
      </c>
      <c r="AY85" s="244">
        <v>0.181176245210728</v>
      </c>
      <c r="AZ85" s="244">
        <v>0.313896551724138</v>
      </c>
      <c r="BA85" s="244">
        <v>0.29241762452107301</v>
      </c>
      <c r="BB85" s="244">
        <v>0.441996168582375</v>
      </c>
      <c r="BC85" s="244">
        <v>0.82269348659003805</v>
      </c>
      <c r="BD85" s="244">
        <v>0.235804597701149</v>
      </c>
      <c r="BE85" s="244">
        <v>0.16810727969348699</v>
      </c>
      <c r="BF85" s="244">
        <v>0.19324137931034499</v>
      </c>
      <c r="BG85" s="244">
        <v>0.12874712643678199</v>
      </c>
      <c r="BH85" s="244">
        <v>63.754022988505803</v>
      </c>
      <c r="BI85" s="244">
        <v>9.8063984674329507</v>
      </c>
      <c r="BJ85" s="244">
        <v>3.2337164750957901</v>
      </c>
      <c r="BK85" s="244">
        <v>5.5908045977011502</v>
      </c>
      <c r="BL85" s="244">
        <v>0</v>
      </c>
      <c r="BM85" s="244">
        <v>0</v>
      </c>
      <c r="BN85" s="244">
        <v>14.9593103448276</v>
      </c>
      <c r="BO85" s="244">
        <v>196.046973180077</v>
      </c>
      <c r="BP85" s="244">
        <v>0</v>
      </c>
      <c r="BQ85" s="244">
        <v>50.976475095785403</v>
      </c>
      <c r="BR85" s="244">
        <v>0</v>
      </c>
      <c r="BS85" s="244">
        <v>0</v>
      </c>
      <c r="BT85" s="244">
        <v>145.23923371647501</v>
      </c>
      <c r="BU85" s="244">
        <v>314.48831417624501</v>
      </c>
      <c r="BV85" s="244">
        <v>0</v>
      </c>
      <c r="BW85" s="244">
        <v>0</v>
      </c>
      <c r="BX85" s="244">
        <v>71.266666666666694</v>
      </c>
      <c r="BY85" s="244">
        <v>0</v>
      </c>
      <c r="BZ85" s="244">
        <v>0</v>
      </c>
      <c r="CA85" s="244">
        <v>1.98850574712644</v>
      </c>
    </row>
    <row r="86" spans="1:79">
      <c r="A86" s="245">
        <v>21316</v>
      </c>
      <c r="B86" s="243" t="s">
        <v>1708</v>
      </c>
      <c r="C86" s="27" t="s">
        <v>1686</v>
      </c>
      <c r="D86" s="246">
        <v>123</v>
      </c>
      <c r="E86" s="248">
        <v>170.28735632183901</v>
      </c>
      <c r="F86" s="244">
        <v>178.10149425287401</v>
      </c>
      <c r="G86" s="244">
        <v>6.0509961685823699</v>
      </c>
      <c r="H86" s="244">
        <v>11.188390804597701</v>
      </c>
      <c r="I86" s="244">
        <v>6.7547126436781602</v>
      </c>
      <c r="J86" s="244">
        <v>10.20969348659</v>
      </c>
      <c r="K86" s="244">
        <v>9.3693486590038302E-2</v>
      </c>
      <c r="L86" s="244">
        <v>0.15241570881226099</v>
      </c>
      <c r="M86" s="244">
        <v>1.7201340996168599</v>
      </c>
      <c r="N86" s="244">
        <v>1.0072567049808401</v>
      </c>
      <c r="O86" s="244">
        <v>0.32015325670498102</v>
      </c>
      <c r="P86" s="244">
        <v>72.3735632183908</v>
      </c>
      <c r="Q86" s="244">
        <v>0</v>
      </c>
      <c r="R86" s="244">
        <v>139.18296475095801</v>
      </c>
      <c r="S86" s="244">
        <v>5.8324904214559403</v>
      </c>
      <c r="T86" s="244">
        <v>3.9923448275862099</v>
      </c>
      <c r="U86" s="244">
        <v>425.50357854406099</v>
      </c>
      <c r="V86" s="244">
        <v>0</v>
      </c>
      <c r="W86" s="244">
        <v>188.31835172413801</v>
      </c>
      <c r="X86" s="244">
        <v>50.7972413793104</v>
      </c>
      <c r="Y86" s="244">
        <v>2091.9257862068998</v>
      </c>
      <c r="Z86" s="244">
        <v>8980.7260919540204</v>
      </c>
      <c r="AA86" s="244">
        <v>0</v>
      </c>
      <c r="AB86" s="244">
        <v>0</v>
      </c>
      <c r="AC86" s="244">
        <v>42.603390804597701</v>
      </c>
      <c r="AD86" s="244">
        <v>257.41344827586198</v>
      </c>
      <c r="AE86" s="244">
        <v>0.43528735632183901</v>
      </c>
      <c r="AF86" s="244">
        <v>2.7322222222222199</v>
      </c>
      <c r="AG86" s="244">
        <v>1.5922298850574701</v>
      </c>
      <c r="AH86" s="244">
        <v>65.242681992337197</v>
      </c>
      <c r="AI86" s="244">
        <v>727.67015325670502</v>
      </c>
      <c r="AJ86" s="244">
        <v>0.83965517241379295</v>
      </c>
      <c r="AK86" s="244">
        <v>0.82762452107279705</v>
      </c>
      <c r="AL86" s="244">
        <v>1.99444444444444</v>
      </c>
      <c r="AM86" s="244">
        <v>2.3894636015325701</v>
      </c>
      <c r="AN86" s="244">
        <v>6.5007279693486604</v>
      </c>
      <c r="AO86" s="244">
        <v>0</v>
      </c>
      <c r="AP86" s="244">
        <v>0.10963218390804599</v>
      </c>
      <c r="AQ86" s="244">
        <v>0.23150574712643701</v>
      </c>
      <c r="AR86" s="244">
        <v>0.39313026819923402</v>
      </c>
      <c r="AS86" s="244">
        <v>0.231348659003831</v>
      </c>
      <c r="AT86" s="244">
        <v>4.06551724137931E-2</v>
      </c>
      <c r="AU86" s="244">
        <v>4.5773946360153299E-2</v>
      </c>
      <c r="AV86" s="244">
        <v>0.225463601532567</v>
      </c>
      <c r="AW86" s="244">
        <v>0.240111111111111</v>
      </c>
      <c r="AX86" s="244">
        <v>9.77394636015326E-2</v>
      </c>
      <c r="AY86" s="244">
        <v>0.24641762452107299</v>
      </c>
      <c r="AZ86" s="244">
        <v>0.34575862068965502</v>
      </c>
      <c r="BA86" s="244">
        <v>0.398624521072797</v>
      </c>
      <c r="BB86" s="244">
        <v>0.90172030651340995</v>
      </c>
      <c r="BC86" s="244">
        <v>0.90310727969348703</v>
      </c>
      <c r="BD86" s="244">
        <v>0.32077011494252899</v>
      </c>
      <c r="BE86" s="244">
        <v>0.250038314176245</v>
      </c>
      <c r="BF86" s="244">
        <v>0.24482758620689701</v>
      </c>
      <c r="BG86" s="244">
        <v>0.20764367816092</v>
      </c>
      <c r="BH86" s="244">
        <v>113.38298850574699</v>
      </c>
      <c r="BI86" s="244">
        <v>68.963639846743305</v>
      </c>
      <c r="BJ86" s="244">
        <v>74.544061302681996</v>
      </c>
      <c r="BK86" s="244">
        <v>5.5908045977011502</v>
      </c>
      <c r="BL86" s="244">
        <v>0</v>
      </c>
      <c r="BM86" s="244">
        <v>0</v>
      </c>
      <c r="BN86" s="244">
        <v>0.36344827586206901</v>
      </c>
      <c r="BO86" s="244">
        <v>56.673180076628299</v>
      </c>
      <c r="BP86" s="244">
        <v>218.48275862068999</v>
      </c>
      <c r="BQ86" s="244">
        <v>22.330957854406101</v>
      </c>
      <c r="BR86" s="244">
        <v>12.608275862069</v>
      </c>
      <c r="BS86" s="244">
        <v>1.13793103448276</v>
      </c>
      <c r="BT86" s="244">
        <v>76.219923371647496</v>
      </c>
      <c r="BU86" s="244">
        <v>235.59176245210699</v>
      </c>
      <c r="BV86" s="244">
        <v>256.41379310344797</v>
      </c>
      <c r="BW86" s="244">
        <v>0</v>
      </c>
      <c r="BX86" s="244">
        <v>29.4818390804598</v>
      </c>
      <c r="BY86" s="244">
        <v>3.32275862068966</v>
      </c>
      <c r="BZ86" s="244">
        <v>0</v>
      </c>
      <c r="CA86" s="244">
        <v>1.98850574712644</v>
      </c>
    </row>
    <row r="87" spans="1:79">
      <c r="A87" s="245">
        <v>21321</v>
      </c>
      <c r="B87" s="243" t="s">
        <v>1709</v>
      </c>
      <c r="C87" s="27" t="s">
        <v>1686</v>
      </c>
      <c r="D87" s="246">
        <v>124</v>
      </c>
      <c r="E87" s="248">
        <v>199.11494252873601</v>
      </c>
      <c r="F87" s="244">
        <v>177.35804597701099</v>
      </c>
      <c r="G87" s="244">
        <v>4.0937547892720296</v>
      </c>
      <c r="H87" s="244">
        <v>11.1125287356322</v>
      </c>
      <c r="I87" s="244">
        <v>19.9395402298851</v>
      </c>
      <c r="J87" s="244">
        <v>1.98624521072797</v>
      </c>
      <c r="K87" s="244">
        <v>8.0038314176245198E-2</v>
      </c>
      <c r="L87" s="244">
        <v>0.29655363984674299</v>
      </c>
      <c r="M87" s="244">
        <v>0.98503065134099599</v>
      </c>
      <c r="N87" s="244">
        <v>0.14698084291187699</v>
      </c>
      <c r="O87" s="244">
        <v>0.29284291187739497</v>
      </c>
      <c r="P87" s="244">
        <v>54.318390804597698</v>
      </c>
      <c r="Q87" s="244">
        <v>0</v>
      </c>
      <c r="R87" s="244">
        <v>61.1879578544061</v>
      </c>
      <c r="S87" s="244">
        <v>0.44628352490421502</v>
      </c>
      <c r="T87" s="244">
        <v>2.4144137931034502</v>
      </c>
      <c r="U87" s="244">
        <v>390.18219923371601</v>
      </c>
      <c r="V87" s="244">
        <v>0</v>
      </c>
      <c r="W87" s="244">
        <v>749.26099999999997</v>
      </c>
      <c r="X87" s="244">
        <v>0</v>
      </c>
      <c r="Y87" s="244">
        <v>8991.1224482758607</v>
      </c>
      <c r="Z87" s="244">
        <v>19.246091954023001</v>
      </c>
      <c r="AA87" s="244">
        <v>0</v>
      </c>
      <c r="AB87" s="244">
        <v>0</v>
      </c>
      <c r="AC87" s="244">
        <v>2.6711149425287402</v>
      </c>
      <c r="AD87" s="244">
        <v>61.021724137931002</v>
      </c>
      <c r="AE87" s="244">
        <v>0.25321839080459801</v>
      </c>
      <c r="AF87" s="244">
        <v>3.4604980842911899</v>
      </c>
      <c r="AG87" s="244">
        <v>0.505885057471264</v>
      </c>
      <c r="AH87" s="244">
        <v>98.181992337164701</v>
      </c>
      <c r="AI87" s="244">
        <v>475.079808429119</v>
      </c>
      <c r="AJ87" s="244">
        <v>1.52241379310345</v>
      </c>
      <c r="AK87" s="244">
        <v>1.13107279693487</v>
      </c>
      <c r="AL87" s="244">
        <v>1.6454789272030701</v>
      </c>
      <c r="AM87" s="244">
        <v>2.3742911877394599</v>
      </c>
      <c r="AN87" s="244">
        <v>6.0152107279693503</v>
      </c>
      <c r="AO87" s="244">
        <v>0</v>
      </c>
      <c r="AP87" s="244">
        <v>1.7080459770114902E-2</v>
      </c>
      <c r="AQ87" s="244">
        <v>3.1229885057471301E-2</v>
      </c>
      <c r="AR87" s="244">
        <v>4.5681992337164697E-2</v>
      </c>
      <c r="AS87" s="244">
        <v>3.56245210727969E-2</v>
      </c>
      <c r="AT87" s="244">
        <v>1.3344827586206901E-2</v>
      </c>
      <c r="AU87" s="244">
        <v>1.3911877394636001E-2</v>
      </c>
      <c r="AV87" s="244">
        <v>3.8842911877394602E-2</v>
      </c>
      <c r="AW87" s="244">
        <v>3.2249042145593897E-2</v>
      </c>
      <c r="AX87" s="244">
        <v>9.7394636015325706E-3</v>
      </c>
      <c r="AY87" s="244">
        <v>3.7038314176245202E-2</v>
      </c>
      <c r="AZ87" s="244">
        <v>4.8379310344827599E-2</v>
      </c>
      <c r="BA87" s="244">
        <v>0.13007279693486601</v>
      </c>
      <c r="BB87" s="244">
        <v>0.11427203065134101</v>
      </c>
      <c r="BC87" s="244">
        <v>0.246141762452107</v>
      </c>
      <c r="BD87" s="244">
        <v>5.0701149425287403E-2</v>
      </c>
      <c r="BE87" s="244">
        <v>3.1555555555555601E-2</v>
      </c>
      <c r="BF87" s="244">
        <v>3.3931034482758603E-2</v>
      </c>
      <c r="BG87" s="244">
        <v>2.55747126436782E-2</v>
      </c>
      <c r="BH87" s="244">
        <v>21.923678160919501</v>
      </c>
      <c r="BI87" s="244">
        <v>6.7719157088122603</v>
      </c>
      <c r="BJ87" s="244">
        <v>3.2337164750957901</v>
      </c>
      <c r="BK87" s="244">
        <v>19.245977011494301</v>
      </c>
      <c r="BL87" s="244">
        <v>0</v>
      </c>
      <c r="BM87" s="244">
        <v>0</v>
      </c>
      <c r="BN87" s="244">
        <v>0.36344827586206901</v>
      </c>
      <c r="BO87" s="244">
        <v>29.150421455938702</v>
      </c>
      <c r="BP87" s="244">
        <v>0</v>
      </c>
      <c r="BQ87" s="244">
        <v>22.330957854406101</v>
      </c>
      <c r="BR87" s="244">
        <v>0</v>
      </c>
      <c r="BS87" s="244">
        <v>0</v>
      </c>
      <c r="BT87" s="244">
        <v>76.219923371647496</v>
      </c>
      <c r="BU87" s="244">
        <v>6.4883141762452103</v>
      </c>
      <c r="BV87" s="244">
        <v>0</v>
      </c>
      <c r="BW87" s="244">
        <v>0</v>
      </c>
      <c r="BX87" s="244">
        <v>29.4818390804598</v>
      </c>
      <c r="BY87" s="244">
        <v>0</v>
      </c>
      <c r="BZ87" s="244">
        <v>0</v>
      </c>
      <c r="CA87" s="244">
        <v>12.6091954022989</v>
      </c>
    </row>
    <row r="88" spans="1:79">
      <c r="A88" s="245">
        <v>23301</v>
      </c>
      <c r="B88" s="243" t="s">
        <v>1710</v>
      </c>
      <c r="C88" s="27" t="s">
        <v>1686</v>
      </c>
      <c r="D88" s="246">
        <v>125</v>
      </c>
      <c r="E88" s="248">
        <v>346.19856887298801</v>
      </c>
      <c r="F88" s="244">
        <v>90.599212880143099</v>
      </c>
      <c r="G88" s="244">
        <v>19.0936672629696</v>
      </c>
      <c r="H88" s="244">
        <v>7.0550268336314801</v>
      </c>
      <c r="I88" s="244">
        <v>52.9485509838998</v>
      </c>
      <c r="J88" s="244">
        <v>9.7481574239713797</v>
      </c>
      <c r="K88" s="244">
        <v>0.63393327370304098</v>
      </c>
      <c r="L88" s="244">
        <v>0.213648032200358</v>
      </c>
      <c r="M88" s="244">
        <v>1.80966905187835</v>
      </c>
      <c r="N88" s="244">
        <v>1.2525438282647601</v>
      </c>
      <c r="O88" s="244">
        <v>0.38280375670840799</v>
      </c>
      <c r="P88" s="244">
        <v>355.24422182468697</v>
      </c>
      <c r="Q88" s="244">
        <v>0</v>
      </c>
      <c r="R88" s="244">
        <v>16.644069409660101</v>
      </c>
      <c r="S88" s="244">
        <v>0.47237924865831799</v>
      </c>
      <c r="T88" s="244">
        <v>0.27196422182468699</v>
      </c>
      <c r="U88" s="244">
        <v>27.813348837209301</v>
      </c>
      <c r="V88" s="244">
        <v>0</v>
      </c>
      <c r="W88" s="244">
        <v>10.743611806797899</v>
      </c>
      <c r="X88" s="244">
        <v>1.9964221824686901</v>
      </c>
      <c r="Y88" s="244">
        <v>98.192901610017898</v>
      </c>
      <c r="Z88" s="244">
        <v>364.78225760286199</v>
      </c>
      <c r="AA88" s="244">
        <v>0</v>
      </c>
      <c r="AB88" s="244">
        <v>0</v>
      </c>
      <c r="AC88" s="244">
        <v>48.425484794275498</v>
      </c>
      <c r="AD88" s="244">
        <v>122.082754919499</v>
      </c>
      <c r="AE88" s="244">
        <v>0.88944186046511597</v>
      </c>
      <c r="AF88" s="244">
        <v>7.0807692307692296</v>
      </c>
      <c r="AG88" s="244">
        <v>1.35769588550984</v>
      </c>
      <c r="AH88" s="244">
        <v>440.74953488372103</v>
      </c>
      <c r="AI88" s="244">
        <v>1037.1761359570701</v>
      </c>
      <c r="AJ88" s="244">
        <v>6.5135420393559897</v>
      </c>
      <c r="AK88" s="244">
        <v>3.06651162790698</v>
      </c>
      <c r="AL88" s="244">
        <v>1.21935778175313</v>
      </c>
      <c r="AM88" s="244">
        <v>1.47196064400716</v>
      </c>
      <c r="AN88" s="244">
        <v>3.9711001788908802</v>
      </c>
      <c r="AO88" s="244">
        <v>0</v>
      </c>
      <c r="AP88" s="244">
        <v>0.57816279069767496</v>
      </c>
      <c r="AQ88" s="244">
        <v>0.76880679785330996</v>
      </c>
      <c r="AR88" s="244">
        <v>1.4428014311270101</v>
      </c>
      <c r="AS88" s="244">
        <v>1.2729606440071599</v>
      </c>
      <c r="AT88" s="244">
        <v>0.26707334525939203</v>
      </c>
      <c r="AU88" s="244">
        <v>0.20831663685152099</v>
      </c>
      <c r="AV88" s="244">
        <v>1.09884436493739</v>
      </c>
      <c r="AW88" s="244">
        <v>0.72408765652951701</v>
      </c>
      <c r="AX88" s="244">
        <v>0.23480500894454401</v>
      </c>
      <c r="AY88" s="244">
        <v>0.900649373881932</v>
      </c>
      <c r="AZ88" s="244">
        <v>0.877325581395349</v>
      </c>
      <c r="BA88" s="244">
        <v>1.29982468694097</v>
      </c>
      <c r="BB88" s="244">
        <v>2.3093559928443699</v>
      </c>
      <c r="BC88" s="244">
        <v>3.5972307692307699</v>
      </c>
      <c r="BD88" s="244">
        <v>0.78100715563506296</v>
      </c>
      <c r="BE88" s="244">
        <v>0.84418425760286198</v>
      </c>
      <c r="BF88" s="244">
        <v>0.94719677996422202</v>
      </c>
      <c r="BG88" s="244">
        <v>0.61399999999999999</v>
      </c>
      <c r="BH88" s="244">
        <v>20.325366726296998</v>
      </c>
      <c r="BI88" s="244">
        <v>27.7614847942755</v>
      </c>
      <c r="BJ88" s="244">
        <v>8.5259391771019697</v>
      </c>
      <c r="BK88" s="244">
        <v>7.09284436493739</v>
      </c>
      <c r="BL88" s="244">
        <v>0</v>
      </c>
      <c r="BM88" s="244">
        <v>0</v>
      </c>
      <c r="BN88" s="244">
        <v>0.209624329159213</v>
      </c>
      <c r="BO88" s="244">
        <v>25.220787119856901</v>
      </c>
      <c r="BP88" s="244">
        <v>7.9856887298747798</v>
      </c>
      <c r="BQ88" s="244">
        <v>22.5520930232558</v>
      </c>
      <c r="BR88" s="244">
        <v>0.46084078711985699</v>
      </c>
      <c r="BS88" s="244">
        <v>4.1592128801431101E-2</v>
      </c>
      <c r="BT88" s="244">
        <v>73.375384615384604</v>
      </c>
      <c r="BU88" s="244">
        <v>24.478175313059001</v>
      </c>
      <c r="BV88" s="244">
        <v>9.3720930232558199</v>
      </c>
      <c r="BW88" s="244">
        <v>0</v>
      </c>
      <c r="BX88" s="244">
        <v>6.2145080500894503</v>
      </c>
      <c r="BY88" s="244">
        <v>0.121449016100179</v>
      </c>
      <c r="BZ88" s="244">
        <v>0</v>
      </c>
      <c r="CA88" s="244">
        <v>1.3559928443649401</v>
      </c>
    </row>
    <row r="89" spans="1:79">
      <c r="A89" s="245">
        <v>25306</v>
      </c>
      <c r="B89" s="243" t="s">
        <v>1711</v>
      </c>
      <c r="C89" s="27" t="s">
        <v>1686</v>
      </c>
      <c r="D89" s="246">
        <v>126</v>
      </c>
      <c r="E89" s="248">
        <v>82.100712589073595</v>
      </c>
      <c r="F89" s="244">
        <v>153.979857482185</v>
      </c>
      <c r="G89" s="244">
        <v>1.0159857482185299</v>
      </c>
      <c r="H89" s="244">
        <v>6.7238242280284997</v>
      </c>
      <c r="I89" s="244">
        <v>3.46593824228029</v>
      </c>
      <c r="J89" s="244">
        <v>2.51686460807601</v>
      </c>
      <c r="K89" s="244">
        <v>7.4444180522565295E-2</v>
      </c>
      <c r="L89" s="244">
        <v>2.86817102137767E-2</v>
      </c>
      <c r="M89" s="244">
        <v>0.43035629453681701</v>
      </c>
      <c r="N89" s="244">
        <v>0.45432541567696</v>
      </c>
      <c r="O89" s="244">
        <v>0.102054631828979</v>
      </c>
      <c r="P89" s="244">
        <v>14.750486935867</v>
      </c>
      <c r="Q89" s="244">
        <v>0</v>
      </c>
      <c r="R89" s="244">
        <v>33.1468503562945</v>
      </c>
      <c r="S89" s="244">
        <v>0.98019002375296904</v>
      </c>
      <c r="T89" s="244">
        <v>0.17781947743467899</v>
      </c>
      <c r="U89" s="244">
        <v>41.192833729216197</v>
      </c>
      <c r="V89" s="244">
        <v>0</v>
      </c>
      <c r="W89" s="244">
        <v>1.1363230403800499</v>
      </c>
      <c r="X89" s="244">
        <v>0</v>
      </c>
      <c r="Y89" s="244">
        <v>13.7616460807601</v>
      </c>
      <c r="Z89" s="244">
        <v>31.063522565320699</v>
      </c>
      <c r="AA89" s="244">
        <v>0</v>
      </c>
      <c r="AB89" s="244">
        <v>0</v>
      </c>
      <c r="AC89" s="244">
        <v>7.6018978622327804</v>
      </c>
      <c r="AD89" s="244">
        <v>45.197102137767203</v>
      </c>
      <c r="AE89" s="244">
        <v>0.101458432304038</v>
      </c>
      <c r="AF89" s="244">
        <v>1.5555106888361001</v>
      </c>
      <c r="AG89" s="244">
        <v>0.18620902612826601</v>
      </c>
      <c r="AH89" s="244">
        <v>28.377149643705501</v>
      </c>
      <c r="AI89" s="244">
        <v>219.60363420427601</v>
      </c>
      <c r="AJ89" s="244">
        <v>1.4519002375296901</v>
      </c>
      <c r="AK89" s="244">
        <v>0.30684085510688802</v>
      </c>
      <c r="AL89" s="244">
        <v>1.05845605700713</v>
      </c>
      <c r="AM89" s="244">
        <v>1.57339667458432</v>
      </c>
      <c r="AN89" s="244">
        <v>3.8767933491686501</v>
      </c>
      <c r="AO89" s="244">
        <v>0</v>
      </c>
      <c r="AP89" s="244">
        <v>3.08669833729216E-2</v>
      </c>
      <c r="AQ89" s="244">
        <v>5.3192399049881198E-2</v>
      </c>
      <c r="AR89" s="244">
        <v>7.4137767220902595E-2</v>
      </c>
      <c r="AS89" s="244">
        <v>4.9874109263657998E-2</v>
      </c>
      <c r="AT89" s="244">
        <v>1.8923990498812399E-2</v>
      </c>
      <c r="AU89" s="244">
        <v>1.5318289786223301E-2</v>
      </c>
      <c r="AV89" s="244">
        <v>4.7296912114014301E-2</v>
      </c>
      <c r="AW89" s="244">
        <v>4.8807600950118803E-2</v>
      </c>
      <c r="AX89" s="244">
        <v>1.12161520190024E-2</v>
      </c>
      <c r="AY89" s="244">
        <v>6.4209026128265997E-2</v>
      </c>
      <c r="AZ89" s="244">
        <v>7.2800475059382405E-2</v>
      </c>
      <c r="BA89" s="244">
        <v>0.125456057007126</v>
      </c>
      <c r="BB89" s="244">
        <v>0.153510688836105</v>
      </c>
      <c r="BC89" s="244">
        <v>0.25652494061757702</v>
      </c>
      <c r="BD89" s="244">
        <v>7.0665083135391896E-2</v>
      </c>
      <c r="BE89" s="244">
        <v>5.3608076009501203E-2</v>
      </c>
      <c r="BF89" s="244">
        <v>5.4175771971496402E-2</v>
      </c>
      <c r="BG89" s="244">
        <v>3.98859857482185E-2</v>
      </c>
      <c r="BH89" s="244">
        <v>22.332826603325401</v>
      </c>
      <c r="BI89" s="244">
        <v>20.8900950118765</v>
      </c>
      <c r="BJ89" s="244">
        <v>1.52256532066508</v>
      </c>
      <c r="BK89" s="244">
        <v>2.6439429928741101</v>
      </c>
      <c r="BL89" s="244">
        <v>0</v>
      </c>
      <c r="BM89" s="244">
        <v>0</v>
      </c>
      <c r="BN89" s="244">
        <v>1.1696437054631801</v>
      </c>
      <c r="BO89" s="244">
        <v>33.633586698337297</v>
      </c>
      <c r="BP89" s="244">
        <v>0</v>
      </c>
      <c r="BQ89" s="244">
        <v>54.252565320665099</v>
      </c>
      <c r="BR89" s="244">
        <v>0</v>
      </c>
      <c r="BS89" s="244">
        <v>0</v>
      </c>
      <c r="BT89" s="244">
        <v>138.977125890736</v>
      </c>
      <c r="BU89" s="244">
        <v>5.8490736342042799</v>
      </c>
      <c r="BV89" s="244">
        <v>0</v>
      </c>
      <c r="BW89" s="244">
        <v>0</v>
      </c>
      <c r="BX89" s="244">
        <v>8.8560570071258908</v>
      </c>
      <c r="BY89" s="244">
        <v>0</v>
      </c>
      <c r="BZ89" s="244">
        <v>0</v>
      </c>
      <c r="CA89" s="244">
        <v>0.95961995249406196</v>
      </c>
    </row>
    <row r="90" spans="1:79">
      <c r="A90" s="245">
        <v>25310</v>
      </c>
      <c r="B90" s="243" t="s">
        <v>1712</v>
      </c>
      <c r="C90" s="27" t="s">
        <v>1686</v>
      </c>
      <c r="D90" s="246">
        <v>127</v>
      </c>
      <c r="E90" s="248">
        <v>98.162470308788599</v>
      </c>
      <c r="F90" s="244">
        <v>149.82674584322999</v>
      </c>
      <c r="G90" s="244">
        <v>1.57814726840855</v>
      </c>
      <c r="H90" s="244">
        <v>6.7811876484560596</v>
      </c>
      <c r="I90" s="244">
        <v>7.2289786223277899</v>
      </c>
      <c r="J90" s="244">
        <v>1.8285035629453701</v>
      </c>
      <c r="K90" s="244">
        <v>4.3467933491686497E-2</v>
      </c>
      <c r="L90" s="244">
        <v>2.86817102137767E-2</v>
      </c>
      <c r="M90" s="244">
        <v>0.321365795724466</v>
      </c>
      <c r="N90" s="244">
        <v>7.2285035629453695E-2</v>
      </c>
      <c r="O90" s="244">
        <v>0.102054631828979</v>
      </c>
      <c r="P90" s="244">
        <v>7.32192399049881</v>
      </c>
      <c r="Q90" s="244">
        <v>0</v>
      </c>
      <c r="R90" s="244">
        <v>10.3850451306413</v>
      </c>
      <c r="S90" s="244">
        <v>0.29182897862232798</v>
      </c>
      <c r="T90" s="244">
        <v>0.269600950118765</v>
      </c>
      <c r="U90" s="244">
        <v>25.105836104513099</v>
      </c>
      <c r="V90" s="244">
        <v>0</v>
      </c>
      <c r="W90" s="244">
        <v>0.87818764845605701</v>
      </c>
      <c r="X90" s="244">
        <v>0</v>
      </c>
      <c r="Y90" s="244">
        <v>10.664021377672199</v>
      </c>
      <c r="Z90" s="244">
        <v>12.178337292161499</v>
      </c>
      <c r="AA90" s="244">
        <v>0</v>
      </c>
      <c r="AB90" s="244">
        <v>0</v>
      </c>
      <c r="AC90" s="244">
        <v>1.6544584323040401</v>
      </c>
      <c r="AD90" s="244">
        <v>32.749239904988102</v>
      </c>
      <c r="AE90" s="244">
        <v>0.34238479809976302</v>
      </c>
      <c r="AF90" s="244">
        <v>1.3260570071258899</v>
      </c>
      <c r="AG90" s="244">
        <v>0.25504513064133</v>
      </c>
      <c r="AH90" s="244">
        <v>49.027980997624702</v>
      </c>
      <c r="AI90" s="244">
        <v>219.60363420427601</v>
      </c>
      <c r="AJ90" s="244">
        <v>0.13254156769596201</v>
      </c>
      <c r="AK90" s="244">
        <v>0.765748218527316</v>
      </c>
      <c r="AL90" s="244">
        <v>1.0240380047505899</v>
      </c>
      <c r="AM90" s="244">
        <v>1.56192399049881</v>
      </c>
      <c r="AN90" s="244">
        <v>3.7850118764845599</v>
      </c>
      <c r="AO90" s="244">
        <v>0</v>
      </c>
      <c r="AP90" s="244">
        <v>7.9216152019002395E-3</v>
      </c>
      <c r="AQ90" s="244">
        <v>1.41852731591449E-2</v>
      </c>
      <c r="AR90" s="244">
        <v>2.2510688836104499E-2</v>
      </c>
      <c r="AS90" s="244">
        <v>1.8897862232779099E-2</v>
      </c>
      <c r="AT90" s="244">
        <v>5.1567695961995301E-3</v>
      </c>
      <c r="AU90" s="244">
        <v>7.2874109263658003E-3</v>
      </c>
      <c r="AV90" s="244">
        <v>1.86152019002375E-2</v>
      </c>
      <c r="AW90" s="244">
        <v>1.55368171021378E-2</v>
      </c>
      <c r="AX90" s="244">
        <v>4.3325415676959602E-3</v>
      </c>
      <c r="AY90" s="244">
        <v>1.83182897862233E-2</v>
      </c>
      <c r="AZ90" s="244">
        <v>2.1173396674584299E-2</v>
      </c>
      <c r="BA90" s="244">
        <v>5.4325415676959601E-2</v>
      </c>
      <c r="BB90" s="244">
        <v>5.7140142517814699E-2</v>
      </c>
      <c r="BC90" s="244">
        <v>9.36128266033254E-2</v>
      </c>
      <c r="BD90" s="244">
        <v>2.0185273159144899E-2</v>
      </c>
      <c r="BE90" s="244">
        <v>1.6895486935867E-2</v>
      </c>
      <c r="BF90" s="244">
        <v>1.7463182897862198E-2</v>
      </c>
      <c r="BG90" s="244">
        <v>1.3498812351543901E-2</v>
      </c>
      <c r="BH90" s="244">
        <v>23.285059382422801</v>
      </c>
      <c r="BI90" s="244">
        <v>4.1399762470308801</v>
      </c>
      <c r="BJ90" s="244">
        <v>1.52256532066508</v>
      </c>
      <c r="BK90" s="244">
        <v>2.6439429928741101</v>
      </c>
      <c r="BL90" s="244">
        <v>0</v>
      </c>
      <c r="BM90" s="244">
        <v>0</v>
      </c>
      <c r="BN90" s="244">
        <v>1.13522565320665</v>
      </c>
      <c r="BO90" s="244">
        <v>48.249786223277901</v>
      </c>
      <c r="BP90" s="244">
        <v>0</v>
      </c>
      <c r="BQ90" s="244">
        <v>49.101330166270799</v>
      </c>
      <c r="BR90" s="244">
        <v>0</v>
      </c>
      <c r="BS90" s="244">
        <v>0</v>
      </c>
      <c r="BT90" s="244">
        <v>87.235320665083094</v>
      </c>
      <c r="BU90" s="244">
        <v>36.3778859857482</v>
      </c>
      <c r="BV90" s="244">
        <v>0</v>
      </c>
      <c r="BW90" s="244">
        <v>0</v>
      </c>
      <c r="BX90" s="244">
        <v>20.099287410926401</v>
      </c>
      <c r="BY90" s="244">
        <v>0</v>
      </c>
      <c r="BZ90" s="244">
        <v>0</v>
      </c>
      <c r="CA90" s="244">
        <v>0.95961995249406196</v>
      </c>
    </row>
    <row r="91" spans="1:79">
      <c r="A91" s="245">
        <v>24307</v>
      </c>
      <c r="B91" s="243" t="s">
        <v>1713</v>
      </c>
      <c r="C91" s="27" t="s">
        <v>1686</v>
      </c>
      <c r="D91" s="246">
        <v>128</v>
      </c>
      <c r="E91" s="248">
        <v>149.13114754098399</v>
      </c>
      <c r="F91" s="244">
        <v>94.146038251366093</v>
      </c>
      <c r="G91" s="244">
        <v>1.7419125683060099</v>
      </c>
      <c r="H91" s="244">
        <v>7.3467213114754104</v>
      </c>
      <c r="I91" s="244">
        <v>17.6005191256831</v>
      </c>
      <c r="J91" s="244">
        <v>3.4953278688524598</v>
      </c>
      <c r="K91" s="244">
        <v>8.5379781420764994E-2</v>
      </c>
      <c r="L91" s="244">
        <v>8.2338797814207706E-2</v>
      </c>
      <c r="M91" s="244">
        <v>0.58030327868852505</v>
      </c>
      <c r="N91" s="244">
        <v>0.28178688524590201</v>
      </c>
      <c r="O91" s="244">
        <v>0.31682896174863401</v>
      </c>
      <c r="P91" s="244">
        <v>16.795191256830599</v>
      </c>
      <c r="Q91" s="244">
        <v>0</v>
      </c>
      <c r="R91" s="244">
        <v>15.8925836065574</v>
      </c>
      <c r="S91" s="244">
        <v>0.41368852459016398</v>
      </c>
      <c r="T91" s="244">
        <v>1.1733497267759601</v>
      </c>
      <c r="U91" s="244">
        <v>16.167557377049199</v>
      </c>
      <c r="V91" s="244">
        <v>0</v>
      </c>
      <c r="W91" s="244">
        <v>1.7775573770491799</v>
      </c>
      <c r="X91" s="244">
        <v>0</v>
      </c>
      <c r="Y91" s="244">
        <v>21.579913934426202</v>
      </c>
      <c r="Z91" s="244">
        <v>14.393849726776001</v>
      </c>
      <c r="AA91" s="244">
        <v>0</v>
      </c>
      <c r="AB91" s="244">
        <v>0</v>
      </c>
      <c r="AC91" s="244">
        <v>68.810758196721295</v>
      </c>
      <c r="AD91" s="244">
        <v>32.218852459016396</v>
      </c>
      <c r="AE91" s="244">
        <v>0.40234972677595598</v>
      </c>
      <c r="AF91" s="244">
        <v>1.0993169398907101</v>
      </c>
      <c r="AG91" s="244">
        <v>0.27397814207650301</v>
      </c>
      <c r="AH91" s="244">
        <v>62.913934426229503</v>
      </c>
      <c r="AI91" s="244">
        <v>476.83114754098398</v>
      </c>
      <c r="AJ91" s="244">
        <v>0.80784153005464499</v>
      </c>
      <c r="AK91" s="244">
        <v>0.71475409836065595</v>
      </c>
      <c r="AL91" s="244">
        <v>1.1513661202185801</v>
      </c>
      <c r="AM91" s="244">
        <v>1.64314207650273</v>
      </c>
      <c r="AN91" s="244">
        <v>4.2701639344262299</v>
      </c>
      <c r="AO91" s="244">
        <v>0</v>
      </c>
      <c r="AP91" s="244">
        <v>1.5204918032786899E-2</v>
      </c>
      <c r="AQ91" s="244">
        <v>3.3568306010929E-2</v>
      </c>
      <c r="AR91" s="244">
        <v>5.9027322404371599E-2</v>
      </c>
      <c r="AS91" s="244">
        <v>4.8726775956284198E-2</v>
      </c>
      <c r="AT91" s="244">
        <v>1.14617486338798E-2</v>
      </c>
      <c r="AU91" s="244">
        <v>1.0704918032786901E-2</v>
      </c>
      <c r="AV91" s="244">
        <v>4.5693989071038298E-2</v>
      </c>
      <c r="AW91" s="244">
        <v>3.7606557377049203E-2</v>
      </c>
      <c r="AX91" s="244">
        <v>1.1338797814207701E-2</v>
      </c>
      <c r="AY91" s="244">
        <v>3.9896174863388E-2</v>
      </c>
      <c r="AZ91" s="244">
        <v>5.7325136612021897E-2</v>
      </c>
      <c r="BA91" s="244">
        <v>7.2808743169398907E-2</v>
      </c>
      <c r="BB91" s="244">
        <v>0.12645355191256799</v>
      </c>
      <c r="BC91" s="244">
        <v>0.20710928961748601</v>
      </c>
      <c r="BD91" s="244">
        <v>3.7622950819672103E-2</v>
      </c>
      <c r="BE91" s="244">
        <v>3.3866120218579203E-2</v>
      </c>
      <c r="BF91" s="244">
        <v>4.1497267759562903E-2</v>
      </c>
      <c r="BG91" s="244">
        <v>3.1486338797814199E-2</v>
      </c>
      <c r="BH91" s="244">
        <v>27.6076229508197</v>
      </c>
      <c r="BI91" s="244">
        <v>38.648469945355203</v>
      </c>
      <c r="BJ91" s="244">
        <v>8.3087431693989107</v>
      </c>
      <c r="BK91" s="244">
        <v>10.524043715847</v>
      </c>
      <c r="BL91" s="244">
        <v>0</v>
      </c>
      <c r="BM91" s="244">
        <v>0</v>
      </c>
      <c r="BN91" s="244">
        <v>0.198196721311475</v>
      </c>
      <c r="BO91" s="244">
        <v>35.378169398907097</v>
      </c>
      <c r="BP91" s="244">
        <v>0</v>
      </c>
      <c r="BQ91" s="244">
        <v>12.4922950819672</v>
      </c>
      <c r="BR91" s="244">
        <v>0</v>
      </c>
      <c r="BS91" s="244">
        <v>0</v>
      </c>
      <c r="BT91" s="244">
        <v>94.9359836065574</v>
      </c>
      <c r="BU91" s="244">
        <v>23.234808743169399</v>
      </c>
      <c r="BV91" s="244">
        <v>0</v>
      </c>
      <c r="BW91" s="244">
        <v>0</v>
      </c>
      <c r="BX91" s="244">
        <v>12.0671038251366</v>
      </c>
      <c r="BY91" s="244">
        <v>0</v>
      </c>
      <c r="BZ91" s="244">
        <v>0</v>
      </c>
      <c r="CA91" s="244">
        <v>1.7158469945355199</v>
      </c>
    </row>
    <row r="92" spans="1:79">
      <c r="A92" s="245">
        <v>25314</v>
      </c>
      <c r="B92" s="243" t="s">
        <v>1714</v>
      </c>
      <c r="C92" s="27" t="s">
        <v>1686</v>
      </c>
      <c r="D92" s="246">
        <v>129</v>
      </c>
      <c r="E92" s="248">
        <v>332.67391304347802</v>
      </c>
      <c r="F92" s="244">
        <v>173.60398550724599</v>
      </c>
      <c r="G92" s="244">
        <v>3.9236231884057999</v>
      </c>
      <c r="H92" s="244">
        <v>24.116086956521698</v>
      </c>
      <c r="I92" s="244">
        <v>24.584782608695701</v>
      </c>
      <c r="J92" s="244">
        <v>2.7815942028985501</v>
      </c>
      <c r="K92" s="244">
        <v>0.14165217391304399</v>
      </c>
      <c r="L92" s="244">
        <v>0.13657246376811599</v>
      </c>
      <c r="M92" s="244">
        <v>0.94926086956521705</v>
      </c>
      <c r="N92" s="244">
        <v>5.2913043478260903E-2</v>
      </c>
      <c r="O92" s="244">
        <v>0.118123188405797</v>
      </c>
      <c r="P92" s="244">
        <v>24.113043478260899</v>
      </c>
      <c r="Q92" s="244">
        <v>0</v>
      </c>
      <c r="R92" s="244">
        <v>209.74504347826101</v>
      </c>
      <c r="S92" s="244">
        <v>0.359275362318841</v>
      </c>
      <c r="T92" s="244">
        <v>0.83240579710144902</v>
      </c>
      <c r="U92" s="244">
        <v>44.553420289855097</v>
      </c>
      <c r="V92" s="244">
        <v>0</v>
      </c>
      <c r="W92" s="244">
        <v>22.7864782608696</v>
      </c>
      <c r="X92" s="244">
        <v>0</v>
      </c>
      <c r="Y92" s="244">
        <v>273.80972463768097</v>
      </c>
      <c r="Z92" s="244">
        <v>12.9142028985507</v>
      </c>
      <c r="AA92" s="244">
        <v>0</v>
      </c>
      <c r="AB92" s="244">
        <v>0</v>
      </c>
      <c r="AC92" s="244">
        <v>1.66302898550725</v>
      </c>
      <c r="AD92" s="244">
        <v>57.4810869565217</v>
      </c>
      <c r="AE92" s="244">
        <v>0.306811594202899</v>
      </c>
      <c r="AF92" s="244">
        <v>5.1602173913043501</v>
      </c>
      <c r="AG92" s="244">
        <v>0.12691304347826099</v>
      </c>
      <c r="AH92" s="244">
        <v>56.5597101449275</v>
      </c>
      <c r="AI92" s="244">
        <v>415.498260869565</v>
      </c>
      <c r="AJ92" s="244">
        <v>0.127608695652174</v>
      </c>
      <c r="AK92" s="244">
        <v>1.07304347826087</v>
      </c>
      <c r="AL92" s="244">
        <v>3.6464492753623201</v>
      </c>
      <c r="AM92" s="244">
        <v>5.31224637681159</v>
      </c>
      <c r="AN92" s="244">
        <v>13.5073188405797</v>
      </c>
      <c r="AO92" s="244">
        <v>0</v>
      </c>
      <c r="AP92" s="244">
        <v>9.0869565217391295E-3</v>
      </c>
      <c r="AQ92" s="244">
        <v>1.7333333333333301E-2</v>
      </c>
      <c r="AR92" s="244">
        <v>2.5768115942029001E-2</v>
      </c>
      <c r="AS92" s="244">
        <v>1.7652173913043499E-2</v>
      </c>
      <c r="AT92" s="244">
        <v>7.0942028985507199E-3</v>
      </c>
      <c r="AU92" s="244">
        <v>6.2681159420289899E-3</v>
      </c>
      <c r="AV92" s="244">
        <v>2.11304347826087E-2</v>
      </c>
      <c r="AW92" s="244">
        <v>1.7108695652173898E-2</v>
      </c>
      <c r="AX92" s="244">
        <v>5.6376811594202898E-3</v>
      </c>
      <c r="AY92" s="244">
        <v>2.0108695652173901E-2</v>
      </c>
      <c r="AZ92" s="244">
        <v>2.4471014492753601E-2</v>
      </c>
      <c r="BA92" s="244">
        <v>5.7043478260869598E-2</v>
      </c>
      <c r="BB92" s="244">
        <v>6.1311594202898598E-2</v>
      </c>
      <c r="BC92" s="244">
        <v>0.123014492753623</v>
      </c>
      <c r="BD92" s="244">
        <v>2.7021739130434801E-2</v>
      </c>
      <c r="BE92" s="244">
        <v>1.5028985507246399E-2</v>
      </c>
      <c r="BF92" s="244">
        <v>1.78985507246377E-2</v>
      </c>
      <c r="BG92" s="244">
        <v>1.25434782608696E-2</v>
      </c>
      <c r="BH92" s="244">
        <v>17.723188405797099</v>
      </c>
      <c r="BI92" s="244">
        <v>5.7475362318840597</v>
      </c>
      <c r="BJ92" s="244">
        <v>1.9565217391304399</v>
      </c>
      <c r="BK92" s="244">
        <v>2.9057971014492798</v>
      </c>
      <c r="BL92" s="244">
        <v>0</v>
      </c>
      <c r="BM92" s="244">
        <v>0</v>
      </c>
      <c r="BN92" s="244">
        <v>0.24260869565217399</v>
      </c>
      <c r="BO92" s="244">
        <v>23.199565217391299</v>
      </c>
      <c r="BP92" s="244">
        <v>0</v>
      </c>
      <c r="BQ92" s="244">
        <v>19.164637681159402</v>
      </c>
      <c r="BR92" s="244">
        <v>0</v>
      </c>
      <c r="BS92" s="244">
        <v>0</v>
      </c>
      <c r="BT92" s="244">
        <v>63.304057971014501</v>
      </c>
      <c r="BU92" s="244">
        <v>7.3507246376811599</v>
      </c>
      <c r="BV92" s="244">
        <v>0</v>
      </c>
      <c r="BW92" s="244">
        <v>0</v>
      </c>
      <c r="BX92" s="244">
        <v>16.084565217391301</v>
      </c>
      <c r="BY92" s="244">
        <v>0</v>
      </c>
      <c r="BZ92" s="244">
        <v>0</v>
      </c>
      <c r="CA92" s="244">
        <v>1.10144927536232</v>
      </c>
    </row>
    <row r="93" spans="1:79">
      <c r="A93" s="245">
        <v>25316</v>
      </c>
      <c r="B93" s="243" t="s">
        <v>1715</v>
      </c>
      <c r="C93" s="27" t="s">
        <v>1686</v>
      </c>
      <c r="D93" s="246">
        <v>130</v>
      </c>
      <c r="E93" s="248">
        <v>105.04608076009499</v>
      </c>
      <c r="F93" s="244">
        <v>147.23391923990499</v>
      </c>
      <c r="G93" s="244">
        <v>1.45194774346793</v>
      </c>
      <c r="H93" s="244">
        <v>6.7008788598574798</v>
      </c>
      <c r="I93" s="244">
        <v>8.8695724465558197</v>
      </c>
      <c r="J93" s="244">
        <v>2.2874109263658</v>
      </c>
      <c r="K93" s="244">
        <v>4.3467933491686497E-2</v>
      </c>
      <c r="L93" s="244">
        <v>3.9580760095011901E-2</v>
      </c>
      <c r="M93" s="244">
        <v>0.321365795724466</v>
      </c>
      <c r="N93" s="244">
        <v>0.32009501187648498</v>
      </c>
      <c r="O93" s="244">
        <v>9.23028503562945E-2</v>
      </c>
      <c r="P93" s="244">
        <v>25.624296912114001</v>
      </c>
      <c r="Q93" s="244">
        <v>0</v>
      </c>
      <c r="R93" s="244">
        <v>21.7384133016627</v>
      </c>
      <c r="S93" s="244">
        <v>9.2519952494061801</v>
      </c>
      <c r="T93" s="244">
        <v>0.23518289786223301</v>
      </c>
      <c r="U93" s="244">
        <v>33.500399049881203</v>
      </c>
      <c r="V93" s="244">
        <v>0</v>
      </c>
      <c r="W93" s="244">
        <v>1.47706175771972</v>
      </c>
      <c r="X93" s="244">
        <v>0</v>
      </c>
      <c r="Y93" s="244">
        <v>17.891812351543901</v>
      </c>
      <c r="Z93" s="244">
        <v>286.834394299287</v>
      </c>
      <c r="AA93" s="244">
        <v>0</v>
      </c>
      <c r="AB93" s="244">
        <v>0</v>
      </c>
      <c r="AC93" s="244">
        <v>9.7908859857482202</v>
      </c>
      <c r="AD93" s="244">
        <v>27.517695961995301</v>
      </c>
      <c r="AE93" s="244">
        <v>0.101458432304038</v>
      </c>
      <c r="AF93" s="244">
        <v>1.3260570071258899</v>
      </c>
      <c r="AG93" s="244">
        <v>0.50744418052256601</v>
      </c>
      <c r="AH93" s="244">
        <v>29.9489073634204</v>
      </c>
      <c r="AI93" s="244">
        <v>208.211258907363</v>
      </c>
      <c r="AJ93" s="244">
        <v>0.13254156769596201</v>
      </c>
      <c r="AK93" s="244">
        <v>0.444513064133017</v>
      </c>
      <c r="AL93" s="244">
        <v>1.10434679334917</v>
      </c>
      <c r="AM93" s="244">
        <v>1.60781472684086</v>
      </c>
      <c r="AN93" s="244">
        <v>3.8767933491686501</v>
      </c>
      <c r="AO93" s="244">
        <v>0</v>
      </c>
      <c r="AP93" s="244">
        <v>1.36579572446556E-2</v>
      </c>
      <c r="AQ93" s="244">
        <v>2.3363420427553402E-2</v>
      </c>
      <c r="AR93" s="244">
        <v>4.0866983372921599E-2</v>
      </c>
      <c r="AS93" s="244">
        <v>4.06959619952494E-2</v>
      </c>
      <c r="AT93" s="244">
        <v>8.5985748218527294E-3</v>
      </c>
      <c r="AU93" s="244">
        <v>2.9085510688836101E-2</v>
      </c>
      <c r="AV93" s="244">
        <v>4.15605700712589E-2</v>
      </c>
      <c r="AW93" s="244">
        <v>3.1598574821852701E-2</v>
      </c>
      <c r="AX93" s="244">
        <v>1.00688836104513E-2</v>
      </c>
      <c r="AY93" s="244">
        <v>3.6674584323040403E-2</v>
      </c>
      <c r="AZ93" s="244">
        <v>4.9855106888361103E-2</v>
      </c>
      <c r="BA93" s="244">
        <v>7.1534441805225599E-2</v>
      </c>
      <c r="BB93" s="244">
        <v>0.12597624703087901</v>
      </c>
      <c r="BC93" s="244">
        <v>0.175068883610451</v>
      </c>
      <c r="BD93" s="244">
        <v>4.8866983372921599E-2</v>
      </c>
      <c r="BE93" s="244">
        <v>3.4104513064133E-2</v>
      </c>
      <c r="BF93" s="244">
        <v>3.81140142517815E-2</v>
      </c>
      <c r="BG93" s="244">
        <v>3.8738717339667501E-2</v>
      </c>
      <c r="BH93" s="244">
        <v>23.1818052256532</v>
      </c>
      <c r="BI93" s="244">
        <v>29.471662707838501</v>
      </c>
      <c r="BJ93" s="244">
        <v>1.52256532066508</v>
      </c>
      <c r="BK93" s="244">
        <v>9.6422802850356302</v>
      </c>
      <c r="BL93" s="244">
        <v>0</v>
      </c>
      <c r="BM93" s="244">
        <v>0</v>
      </c>
      <c r="BN93" s="244">
        <v>1.80064133016627</v>
      </c>
      <c r="BO93" s="244">
        <v>73.684726840855106</v>
      </c>
      <c r="BP93" s="244">
        <v>0</v>
      </c>
      <c r="BQ93" s="244">
        <v>97.802874109263698</v>
      </c>
      <c r="BR93" s="244">
        <v>0</v>
      </c>
      <c r="BS93" s="244">
        <v>0</v>
      </c>
      <c r="BT93" s="244">
        <v>128.82380047505899</v>
      </c>
      <c r="BU93" s="244">
        <v>15.050166270783899</v>
      </c>
      <c r="BV93" s="244">
        <v>0</v>
      </c>
      <c r="BW93" s="244">
        <v>0</v>
      </c>
      <c r="BX93" s="244">
        <v>23.9426365795725</v>
      </c>
      <c r="BY93" s="244">
        <v>0</v>
      </c>
      <c r="BZ93" s="244">
        <v>0</v>
      </c>
      <c r="CA93" s="244">
        <v>0.95961995249406196</v>
      </c>
    </row>
    <row r="94" spans="1:79">
      <c r="A94" s="245">
        <v>25605</v>
      </c>
      <c r="B94" s="243" t="s">
        <v>1716</v>
      </c>
      <c r="C94" s="27" t="s">
        <v>1686</v>
      </c>
      <c r="D94" s="246">
        <v>131</v>
      </c>
      <c r="E94" s="248">
        <v>98.442446043165504</v>
      </c>
      <c r="F94" s="244">
        <v>103.020647482014</v>
      </c>
      <c r="G94" s="244">
        <v>3.5598561151079098</v>
      </c>
      <c r="H94" s="244">
        <v>3.5194244604316598</v>
      </c>
      <c r="I94" s="244">
        <v>10.4040287769784</v>
      </c>
      <c r="J94" s="244">
        <v>5.4609352517985599</v>
      </c>
      <c r="K94" s="244">
        <v>9.7514388489208598E-2</v>
      </c>
      <c r="L94" s="244">
        <v>0.158512589928058</v>
      </c>
      <c r="M94" s="244">
        <v>1.3026798561151101</v>
      </c>
      <c r="N94" s="244">
        <v>0.27239208633093498</v>
      </c>
      <c r="O94" s="244">
        <v>0.33852877697841699</v>
      </c>
      <c r="P94" s="244">
        <v>39.043884892086297</v>
      </c>
      <c r="Q94" s="244">
        <v>0</v>
      </c>
      <c r="R94" s="244">
        <v>15.108766187050399</v>
      </c>
      <c r="S94" s="244">
        <v>7.6353956834532397</v>
      </c>
      <c r="T94" s="244">
        <v>1.76593525179856</v>
      </c>
      <c r="U94" s="244">
        <v>38.986964028777003</v>
      </c>
      <c r="V94" s="244">
        <v>0</v>
      </c>
      <c r="W94" s="244">
        <v>68.3346007194245</v>
      </c>
      <c r="X94" s="244">
        <v>27.3884892086331</v>
      </c>
      <c r="Y94" s="244">
        <v>730.03784532374095</v>
      </c>
      <c r="Z94" s="244">
        <v>855.18136690647498</v>
      </c>
      <c r="AA94" s="244">
        <v>2.4773956834532398</v>
      </c>
      <c r="AB94" s="244">
        <v>108.708992805755</v>
      </c>
      <c r="AC94" s="244">
        <v>187.876669064748</v>
      </c>
      <c r="AD94" s="244">
        <v>106.423075539568</v>
      </c>
      <c r="AE94" s="244">
        <v>0.16202158273381301</v>
      </c>
      <c r="AF94" s="244">
        <v>1.0072302158273401</v>
      </c>
      <c r="AG94" s="244">
        <v>0.45264028776978399</v>
      </c>
      <c r="AH94" s="244">
        <v>52.139539568345299</v>
      </c>
      <c r="AI94" s="244">
        <v>275.44953237410101</v>
      </c>
      <c r="AJ94" s="244">
        <v>1.47780575539568</v>
      </c>
      <c r="AK94" s="244">
        <v>0.51089928057554002</v>
      </c>
      <c r="AL94" s="244">
        <v>0.32330935251798598</v>
      </c>
      <c r="AM94" s="244">
        <v>1.9475539568345299</v>
      </c>
      <c r="AN94" s="244">
        <v>0.79260071942445998</v>
      </c>
      <c r="AO94" s="244">
        <v>0</v>
      </c>
      <c r="AP94" s="244">
        <v>7.5237410071942498E-2</v>
      </c>
      <c r="AQ94" s="244">
        <v>0.112848920863309</v>
      </c>
      <c r="AR94" s="244">
        <v>0.17861870503597099</v>
      </c>
      <c r="AS94" s="244">
        <v>0.12839568345323699</v>
      </c>
      <c r="AT94" s="244">
        <v>3.2971223021582702E-2</v>
      </c>
      <c r="AU94" s="244">
        <v>3.1874100719424502E-2</v>
      </c>
      <c r="AV94" s="244">
        <v>0.13085611510791401</v>
      </c>
      <c r="AW94" s="244">
        <v>0.125690647482014</v>
      </c>
      <c r="AX94" s="244">
        <v>2.15143884892086E-2</v>
      </c>
      <c r="AY94" s="244">
        <v>0.14927338129496401</v>
      </c>
      <c r="AZ94" s="244">
        <v>0.17118345323740999</v>
      </c>
      <c r="BA94" s="244">
        <v>0.20685251798561199</v>
      </c>
      <c r="BB94" s="244">
        <v>0.485535971223022</v>
      </c>
      <c r="BC94" s="244">
        <v>0.58434532374100701</v>
      </c>
      <c r="BD94" s="244">
        <v>0.145967625899281</v>
      </c>
      <c r="BE94" s="244">
        <v>0.13369064748201401</v>
      </c>
      <c r="BF94" s="244">
        <v>0.124913669064748</v>
      </c>
      <c r="BG94" s="244">
        <v>8.0798561151079099E-2</v>
      </c>
      <c r="BH94" s="244">
        <v>54.475179856115098</v>
      </c>
      <c r="BI94" s="244">
        <v>25.379928057554</v>
      </c>
      <c r="BJ94" s="244">
        <v>5.5359712230215798</v>
      </c>
      <c r="BK94" s="244">
        <v>16.9464028776978</v>
      </c>
      <c r="BL94" s="244">
        <v>0</v>
      </c>
      <c r="BM94" s="244">
        <v>0</v>
      </c>
      <c r="BN94" s="244">
        <v>6.0735971223021599</v>
      </c>
      <c r="BO94" s="244">
        <v>130.21676258992801</v>
      </c>
      <c r="BP94" s="244">
        <v>0</v>
      </c>
      <c r="BQ94" s="244">
        <v>62.3520863309353</v>
      </c>
      <c r="BR94" s="244">
        <v>0.50989208633093497</v>
      </c>
      <c r="BS94" s="244">
        <v>0</v>
      </c>
      <c r="BT94" s="244">
        <v>326.49007194244598</v>
      </c>
      <c r="BU94" s="244">
        <v>47.6434532374101</v>
      </c>
      <c r="BV94" s="244">
        <v>0</v>
      </c>
      <c r="BW94" s="244">
        <v>0</v>
      </c>
      <c r="BX94" s="244">
        <v>25.4122302158273</v>
      </c>
      <c r="BY94" s="244">
        <v>0</v>
      </c>
      <c r="BZ94" s="244">
        <v>0</v>
      </c>
      <c r="CA94" s="244">
        <v>1.4244604316546801</v>
      </c>
    </row>
    <row r="95" spans="1:79">
      <c r="A95" s="245">
        <v>25606</v>
      </c>
      <c r="B95" s="243" t="s">
        <v>1717</v>
      </c>
      <c r="C95" s="27" t="s">
        <v>1686</v>
      </c>
      <c r="D95" s="246">
        <v>132</v>
      </c>
      <c r="E95" s="248">
        <v>83.226618705036003</v>
      </c>
      <c r="F95" s="244">
        <v>108.001294964029</v>
      </c>
      <c r="G95" s="244">
        <v>3.48884892086331</v>
      </c>
      <c r="H95" s="244">
        <v>3.6817266187050399</v>
      </c>
      <c r="I95" s="244">
        <v>6.8536690647481997</v>
      </c>
      <c r="J95" s="244">
        <v>4.5479856115107902</v>
      </c>
      <c r="K95" s="244">
        <v>0.18243884892086301</v>
      </c>
      <c r="L95" s="244">
        <v>7.1688848920863302E-2</v>
      </c>
      <c r="M95" s="244">
        <v>1.1698597122302199</v>
      </c>
      <c r="N95" s="244">
        <v>0.24760791366906501</v>
      </c>
      <c r="O95" s="244">
        <v>0.21715467625899301</v>
      </c>
      <c r="P95" s="244">
        <v>15.951978417266201</v>
      </c>
      <c r="Q95" s="244">
        <v>0</v>
      </c>
      <c r="R95" s="244">
        <v>16.294262589928099</v>
      </c>
      <c r="S95" s="244">
        <v>0.76798561151079103</v>
      </c>
      <c r="T95" s="244">
        <v>1.5326258992805799</v>
      </c>
      <c r="U95" s="244">
        <v>26.981676258992799</v>
      </c>
      <c r="V95" s="244">
        <v>0</v>
      </c>
      <c r="W95" s="244">
        <v>55.991521582733803</v>
      </c>
      <c r="X95" s="244">
        <v>0</v>
      </c>
      <c r="Y95" s="244">
        <v>595.58775179856104</v>
      </c>
      <c r="Z95" s="244">
        <v>420.617338129497</v>
      </c>
      <c r="AA95" s="244">
        <v>2.4773956834532398</v>
      </c>
      <c r="AB95" s="244">
        <v>108.708992805755</v>
      </c>
      <c r="AC95" s="244">
        <v>194.486424460432</v>
      </c>
      <c r="AD95" s="244">
        <v>32.451838129496402</v>
      </c>
      <c r="AE95" s="244">
        <v>0.24875179856115101</v>
      </c>
      <c r="AF95" s="244">
        <v>1.6158633093525201</v>
      </c>
      <c r="AG95" s="244">
        <v>0.28019424460431702</v>
      </c>
      <c r="AH95" s="244">
        <v>42.8000647482014</v>
      </c>
      <c r="AI95" s="244">
        <v>260.09169064748198</v>
      </c>
      <c r="AJ95" s="244">
        <v>3.8311870503597101</v>
      </c>
      <c r="AK95" s="244">
        <v>0.55654676258992797</v>
      </c>
      <c r="AL95" s="244">
        <v>0.35374100719424501</v>
      </c>
      <c r="AM95" s="244">
        <v>1.9475539568345299</v>
      </c>
      <c r="AN95" s="244">
        <v>0.79260071942445998</v>
      </c>
      <c r="AO95" s="244">
        <v>0</v>
      </c>
      <c r="AP95" s="244">
        <v>4.9877697841726597E-2</v>
      </c>
      <c r="AQ95" s="244">
        <v>0.106762589928058</v>
      </c>
      <c r="AR95" s="244">
        <v>0.174561151079137</v>
      </c>
      <c r="AS95" s="244">
        <v>0.13143884892086299</v>
      </c>
      <c r="AT95" s="244">
        <v>3.5000000000000003E-2</v>
      </c>
      <c r="AU95" s="244">
        <v>3.1874100719424502E-2</v>
      </c>
      <c r="AV95" s="244">
        <v>0.112597122302158</v>
      </c>
      <c r="AW95" s="244">
        <v>0.10033093525179899</v>
      </c>
      <c r="AX95" s="244">
        <v>1.9485611510791399E-2</v>
      </c>
      <c r="AY95" s="244">
        <v>0.139129496402878</v>
      </c>
      <c r="AZ95" s="244">
        <v>0.15191007194244599</v>
      </c>
      <c r="BA95" s="244">
        <v>0.16627697841726599</v>
      </c>
      <c r="BB95" s="244">
        <v>0.29483093525179899</v>
      </c>
      <c r="BC95" s="244">
        <v>0.50826618705035997</v>
      </c>
      <c r="BD95" s="244">
        <v>0.151039568345324</v>
      </c>
      <c r="BE95" s="244">
        <v>0.13673381294963999</v>
      </c>
      <c r="BF95" s="244">
        <v>0.11679856115107901</v>
      </c>
      <c r="BG95" s="244">
        <v>7.6741007194244606E-2</v>
      </c>
      <c r="BH95" s="244">
        <v>33.812086330935301</v>
      </c>
      <c r="BI95" s="244">
        <v>51.216402877697902</v>
      </c>
      <c r="BJ95" s="244">
        <v>5.5359712230215798</v>
      </c>
      <c r="BK95" s="244">
        <v>3.5564748201438801</v>
      </c>
      <c r="BL95" s="244">
        <v>0</v>
      </c>
      <c r="BM95" s="244">
        <v>0</v>
      </c>
      <c r="BN95" s="244">
        <v>7.5546043165467598</v>
      </c>
      <c r="BO95" s="244">
        <v>148.709064748201</v>
      </c>
      <c r="BP95" s="244">
        <v>0</v>
      </c>
      <c r="BQ95" s="244">
        <v>68.407985611510796</v>
      </c>
      <c r="BR95" s="244">
        <v>0.50989208633093497</v>
      </c>
      <c r="BS95" s="244">
        <v>0</v>
      </c>
      <c r="BT95" s="244">
        <v>341.75661870503598</v>
      </c>
      <c r="BU95" s="244">
        <v>35.440359712230197</v>
      </c>
      <c r="BV95" s="244">
        <v>0</v>
      </c>
      <c r="BW95" s="244">
        <v>0</v>
      </c>
      <c r="BX95" s="244">
        <v>27.268561151079101</v>
      </c>
      <c r="BY95" s="244">
        <v>0</v>
      </c>
      <c r="BZ95" s="244">
        <v>0</v>
      </c>
      <c r="CA95" s="244">
        <v>1.4244604316546801</v>
      </c>
    </row>
    <row r="96" spans="1:79">
      <c r="A96" s="245">
        <v>25609</v>
      </c>
      <c r="B96" s="243" t="s">
        <v>1718</v>
      </c>
      <c r="C96" s="27" t="s">
        <v>1686</v>
      </c>
      <c r="D96" s="246">
        <v>133</v>
      </c>
      <c r="E96" s="248">
        <v>200.63761467889901</v>
      </c>
      <c r="F96" s="244">
        <v>75.107706422018396</v>
      </c>
      <c r="G96" s="244">
        <v>6.3169724770642199</v>
      </c>
      <c r="H96" s="244">
        <v>3.7385321100917399</v>
      </c>
      <c r="I96" s="244">
        <v>34.228623853210998</v>
      </c>
      <c r="J96" s="244">
        <v>2.2144954128440402</v>
      </c>
      <c r="K96" s="244">
        <v>0.21780275229357801</v>
      </c>
      <c r="L96" s="244">
        <v>0.13513990825688099</v>
      </c>
      <c r="M96" s="244">
        <v>3.2373623853211</v>
      </c>
      <c r="N96" s="244">
        <v>0.37916972477064198</v>
      </c>
      <c r="O96" s="244">
        <v>0.12970183486238501</v>
      </c>
      <c r="P96" s="244">
        <v>43.944862385321102</v>
      </c>
      <c r="Q96" s="244">
        <v>0</v>
      </c>
      <c r="R96" s="244">
        <v>8.3998165137614702</v>
      </c>
      <c r="S96" s="244">
        <v>1.53623853211009</v>
      </c>
      <c r="T96" s="244">
        <v>0.33729357798165099</v>
      </c>
      <c r="U96" s="244">
        <v>18.319266055045901</v>
      </c>
      <c r="V96" s="244">
        <v>0</v>
      </c>
      <c r="W96" s="244">
        <v>9.5121880733944995</v>
      </c>
      <c r="X96" s="244">
        <v>0</v>
      </c>
      <c r="Y96" s="244">
        <v>100.243830275229</v>
      </c>
      <c r="Z96" s="244">
        <v>26.022522935779801</v>
      </c>
      <c r="AA96" s="244">
        <v>0.451321100917431</v>
      </c>
      <c r="AB96" s="244">
        <v>19.804128440366998</v>
      </c>
      <c r="AC96" s="244">
        <v>35.311100917431197</v>
      </c>
      <c r="AD96" s="244">
        <v>48.461467889908299</v>
      </c>
      <c r="AE96" s="244">
        <v>0.25509174311926602</v>
      </c>
      <c r="AF96" s="244">
        <v>1.7435779816513799</v>
      </c>
      <c r="AG96" s="244">
        <v>0.33843119266055</v>
      </c>
      <c r="AH96" s="244">
        <v>110.362385321101</v>
      </c>
      <c r="AI96" s="244">
        <v>316.103211009174</v>
      </c>
      <c r="AJ96" s="244">
        <v>0.65545871559632995</v>
      </c>
      <c r="AK96" s="244">
        <v>0.39651376146789002</v>
      </c>
      <c r="AL96" s="244">
        <v>0.35743119266055101</v>
      </c>
      <c r="AM96" s="244">
        <v>2.1309633027522898</v>
      </c>
      <c r="AN96" s="244">
        <v>0.71811467889908298</v>
      </c>
      <c r="AO96" s="244">
        <v>0</v>
      </c>
      <c r="AP96" s="244">
        <v>4.2220183486238502E-2</v>
      </c>
      <c r="AQ96" s="244">
        <v>0.12843119266055</v>
      </c>
      <c r="AR96" s="244">
        <v>0.17045871559633</v>
      </c>
      <c r="AS96" s="244">
        <v>9.2412844036697306E-2</v>
      </c>
      <c r="AT96" s="244">
        <v>2.5412844036697298E-2</v>
      </c>
      <c r="AU96" s="244">
        <v>1.7261467889908299E-2</v>
      </c>
      <c r="AV96" s="244">
        <v>0.14650458715596301</v>
      </c>
      <c r="AW96" s="244">
        <v>0.12754128440366999</v>
      </c>
      <c r="AX96" s="244">
        <v>2.3857798165137601E-2</v>
      </c>
      <c r="AY96" s="244">
        <v>0.15947706422018401</v>
      </c>
      <c r="AZ96" s="244">
        <v>0.12098623853211</v>
      </c>
      <c r="BA96" s="244">
        <v>0.101133027522936</v>
      </c>
      <c r="BB96" s="244">
        <v>0.36632568807339499</v>
      </c>
      <c r="BC96" s="244">
        <v>0.32740366972477097</v>
      </c>
      <c r="BD96" s="244">
        <v>0.14634403669724799</v>
      </c>
      <c r="BE96" s="244">
        <v>0.116467889908257</v>
      </c>
      <c r="BF96" s="244">
        <v>0.12478899082568801</v>
      </c>
      <c r="BG96" s="244">
        <v>0.12732110091743101</v>
      </c>
      <c r="BH96" s="244">
        <v>24.121559633027498</v>
      </c>
      <c r="BI96" s="244">
        <v>153.92064220183499</v>
      </c>
      <c r="BJ96" s="244">
        <v>1.3348623853210999</v>
      </c>
      <c r="BK96" s="244">
        <v>1.3114678899082599</v>
      </c>
      <c r="BL96" s="244">
        <v>0</v>
      </c>
      <c r="BM96" s="244">
        <v>0</v>
      </c>
      <c r="BN96" s="244">
        <v>0.82926605504587203</v>
      </c>
      <c r="BO96" s="244">
        <v>18.847706422018302</v>
      </c>
      <c r="BP96" s="244">
        <v>0</v>
      </c>
      <c r="BQ96" s="244">
        <v>14.3064220183486</v>
      </c>
      <c r="BR96" s="244">
        <v>9.2889908256880802E-2</v>
      </c>
      <c r="BS96" s="244">
        <v>0</v>
      </c>
      <c r="BT96" s="244">
        <v>56.160550458715598</v>
      </c>
      <c r="BU96" s="244">
        <v>3.41697247706422</v>
      </c>
      <c r="BV96" s="244">
        <v>0</v>
      </c>
      <c r="BW96" s="244">
        <v>0</v>
      </c>
      <c r="BX96" s="244">
        <v>11.188073394495399</v>
      </c>
      <c r="BY96" s="244">
        <v>0</v>
      </c>
      <c r="BZ96" s="244">
        <v>0</v>
      </c>
      <c r="CA96" s="244">
        <v>1.0825688073394499</v>
      </c>
    </row>
    <row r="97" spans="1:79">
      <c r="A97" s="245">
        <v>25615</v>
      </c>
      <c r="B97" s="243" t="s">
        <v>1719</v>
      </c>
      <c r="C97" s="27" t="s">
        <v>1686</v>
      </c>
      <c r="D97" s="246">
        <v>134</v>
      </c>
      <c r="E97" s="248">
        <v>50.1643426294821</v>
      </c>
      <c r="F97" s="244">
        <v>119.642231075697</v>
      </c>
      <c r="G97" s="244">
        <v>1.56243027888446</v>
      </c>
      <c r="H97" s="244">
        <v>2.5799601593625501</v>
      </c>
      <c r="I97" s="244">
        <v>4.5310756972111603</v>
      </c>
      <c r="J97" s="244">
        <v>2.5211155378486101</v>
      </c>
      <c r="K97" s="244">
        <v>3.0888446215139399E-2</v>
      </c>
      <c r="L97" s="244">
        <v>3.10856573705179E-2</v>
      </c>
      <c r="M97" s="244">
        <v>0.28713147410358603</v>
      </c>
      <c r="N97" s="244">
        <v>0.37419123505976098</v>
      </c>
      <c r="O97" s="244">
        <v>0.145211155378486</v>
      </c>
      <c r="P97" s="244">
        <v>24.3149402390438</v>
      </c>
      <c r="Q97" s="244">
        <v>0</v>
      </c>
      <c r="R97" s="244">
        <v>10.655175298804799</v>
      </c>
      <c r="S97" s="244">
        <v>0.70310756972111599</v>
      </c>
      <c r="T97" s="244">
        <v>4.3266932270916297E-2</v>
      </c>
      <c r="U97" s="244">
        <v>12.595988047808801</v>
      </c>
      <c r="V97" s="244">
        <v>0</v>
      </c>
      <c r="W97" s="244">
        <v>29.265266932270901</v>
      </c>
      <c r="X97" s="244">
        <v>0</v>
      </c>
      <c r="Y97" s="244">
        <v>351.18070916334699</v>
      </c>
      <c r="Z97" s="244">
        <v>141.33446215139401</v>
      </c>
      <c r="AA97" s="244">
        <v>0</v>
      </c>
      <c r="AB97" s="244">
        <v>0</v>
      </c>
      <c r="AC97" s="244">
        <v>21.044310756972099</v>
      </c>
      <c r="AD97" s="244">
        <v>20.200438247011999</v>
      </c>
      <c r="AE97" s="244">
        <v>0.201115537848606</v>
      </c>
      <c r="AF97" s="244">
        <v>0.71075697211155398</v>
      </c>
      <c r="AG97" s="244">
        <v>0.17396812749004001</v>
      </c>
      <c r="AH97" s="244">
        <v>47.217131474103603</v>
      </c>
      <c r="AI97" s="244">
        <v>186.25143426294801</v>
      </c>
      <c r="AJ97" s="244">
        <v>0.68127490039840599</v>
      </c>
      <c r="AK97" s="244">
        <v>0.43478087649402403</v>
      </c>
      <c r="AL97" s="244">
        <v>0.20461155378486101</v>
      </c>
      <c r="AM97" s="244">
        <v>1.5681145418326701</v>
      </c>
      <c r="AN97" s="244">
        <v>0.44530876494023902</v>
      </c>
      <c r="AO97" s="244">
        <v>0</v>
      </c>
      <c r="AP97" s="244">
        <v>2.0572071713147402</v>
      </c>
      <c r="AQ97" s="244">
        <v>5.0548844621514002</v>
      </c>
      <c r="AR97" s="244">
        <v>5.8745059760956204</v>
      </c>
      <c r="AS97" s="244">
        <v>5.2575657370517899</v>
      </c>
      <c r="AT97" s="244">
        <v>1.0794382470119499</v>
      </c>
      <c r="AU97" s="244">
        <v>0.44680079681274898</v>
      </c>
      <c r="AV97" s="244">
        <v>4.6334223107569699</v>
      </c>
      <c r="AW97" s="244">
        <v>4.0496374501992003</v>
      </c>
      <c r="AX97" s="244">
        <v>0.79351394422310795</v>
      </c>
      <c r="AY97" s="244">
        <v>6.5389043824701201</v>
      </c>
      <c r="AZ97" s="244">
        <v>7.1133266932270898</v>
      </c>
      <c r="BA97" s="244">
        <v>5.7109641434262901</v>
      </c>
      <c r="BB97" s="244">
        <v>11.0006892430279</v>
      </c>
      <c r="BC97" s="244">
        <v>23.184729083665299</v>
      </c>
      <c r="BD97" s="244">
        <v>5.5442231075697199</v>
      </c>
      <c r="BE97" s="244">
        <v>3.7322231075697201</v>
      </c>
      <c r="BF97" s="244">
        <v>4.7635498007968096</v>
      </c>
      <c r="BG97" s="244">
        <v>3.5982988047808799</v>
      </c>
      <c r="BH97" s="244">
        <v>19.502350597609599</v>
      </c>
      <c r="BI97" s="244">
        <v>19.566613545816701</v>
      </c>
      <c r="BJ97" s="244">
        <v>34.291832669322702</v>
      </c>
      <c r="BK97" s="244">
        <v>3.4450199203187299</v>
      </c>
      <c r="BL97" s="244">
        <v>0</v>
      </c>
      <c r="BM97" s="244">
        <v>0</v>
      </c>
      <c r="BN97" s="244">
        <v>1.2205976095617499</v>
      </c>
      <c r="BO97" s="244">
        <v>56.981474103585697</v>
      </c>
      <c r="BP97" s="244">
        <v>0</v>
      </c>
      <c r="BQ97" s="244">
        <v>7.9600398406374504</v>
      </c>
      <c r="BR97" s="244">
        <v>0</v>
      </c>
      <c r="BS97" s="244">
        <v>0</v>
      </c>
      <c r="BT97" s="244">
        <v>64.413147410358604</v>
      </c>
      <c r="BU97" s="244">
        <v>32.262988047808797</v>
      </c>
      <c r="BV97" s="244">
        <v>0</v>
      </c>
      <c r="BW97" s="244">
        <v>0</v>
      </c>
      <c r="BX97" s="244">
        <v>14.9965737051793</v>
      </c>
      <c r="BY97" s="244">
        <v>0</v>
      </c>
      <c r="BZ97" s="244">
        <v>0</v>
      </c>
      <c r="CA97" s="244">
        <v>0.84462151394422302</v>
      </c>
    </row>
    <row r="98" spans="1:79">
      <c r="A98" s="245">
        <v>21102</v>
      </c>
      <c r="B98" s="243" t="s">
        <v>1720</v>
      </c>
      <c r="C98" s="27" t="s">
        <v>1686</v>
      </c>
      <c r="D98" s="246">
        <v>135</v>
      </c>
      <c r="E98" s="248">
        <v>68.163563636363605</v>
      </c>
      <c r="F98" s="244">
        <v>143.331165090909</v>
      </c>
      <c r="G98" s="244">
        <v>0.98597309090909102</v>
      </c>
      <c r="H98" s="244">
        <v>4.4265549090909104</v>
      </c>
      <c r="I98" s="244">
        <v>5.5157170909090896</v>
      </c>
      <c r="J98" s="244">
        <v>1.74712</v>
      </c>
      <c r="K98" s="244">
        <v>3.1473636363636398E-2</v>
      </c>
      <c r="L98" s="244">
        <v>4.40133636363636E-2</v>
      </c>
      <c r="M98" s="244">
        <v>0.250995090909091</v>
      </c>
      <c r="N98" s="244">
        <v>0.285168363636364</v>
      </c>
      <c r="O98" s="244">
        <v>0.12087545454545499</v>
      </c>
      <c r="P98" s="244">
        <v>11.233465454545501</v>
      </c>
      <c r="Q98" s="244">
        <v>0</v>
      </c>
      <c r="R98" s="244">
        <v>10.061746636363599</v>
      </c>
      <c r="S98" s="244">
        <v>0.36941818181818198</v>
      </c>
      <c r="T98" s="244">
        <v>0.186505454545455</v>
      </c>
      <c r="U98" s="244">
        <v>25.542421818181801</v>
      </c>
      <c r="V98" s="244">
        <v>0</v>
      </c>
      <c r="W98" s="244">
        <v>5.0889974545454599</v>
      </c>
      <c r="X98" s="244">
        <v>0.72</v>
      </c>
      <c r="Y98" s="244">
        <v>45.442651454545498</v>
      </c>
      <c r="Z98" s="244">
        <v>165.087669090909</v>
      </c>
      <c r="AA98" s="244">
        <v>0</v>
      </c>
      <c r="AB98" s="244">
        <v>0</v>
      </c>
      <c r="AC98" s="244">
        <v>29.923783090909101</v>
      </c>
      <c r="AD98" s="244">
        <v>27.048818181818199</v>
      </c>
      <c r="AE98" s="244">
        <v>0.18905163636363601</v>
      </c>
      <c r="AF98" s="244">
        <v>0.86334545454545497</v>
      </c>
      <c r="AG98" s="244">
        <v>0.247942545454545</v>
      </c>
      <c r="AH98" s="244">
        <v>27.702454545454501</v>
      </c>
      <c r="AI98" s="244">
        <v>255.48150909090899</v>
      </c>
      <c r="AJ98" s="244">
        <v>0.73670181818181801</v>
      </c>
      <c r="AK98" s="244">
        <v>0.39009818181818201</v>
      </c>
      <c r="AL98" s="244">
        <v>0.70827272727272705</v>
      </c>
      <c r="AM98" s="244">
        <v>1.0217454545454501</v>
      </c>
      <c r="AN98" s="244">
        <v>2.5637090909090898</v>
      </c>
      <c r="AO98" s="244">
        <v>0</v>
      </c>
      <c r="AP98" s="244">
        <v>1.6185454545454499E-2</v>
      </c>
      <c r="AQ98" s="244">
        <v>3.2076363636363597E-2</v>
      </c>
      <c r="AR98" s="244">
        <v>5.5036363636363599E-2</v>
      </c>
      <c r="AS98" s="244">
        <v>3.5812727272727302E-2</v>
      </c>
      <c r="AT98" s="244">
        <v>9.7254545454545493E-3</v>
      </c>
      <c r="AU98" s="244">
        <v>8.3763636363636401E-3</v>
      </c>
      <c r="AV98" s="244">
        <v>3.7576363636363602E-2</v>
      </c>
      <c r="AW98" s="244">
        <v>3.38072727272727E-2</v>
      </c>
      <c r="AX98" s="244">
        <v>9.0381818181818202E-3</v>
      </c>
      <c r="AY98" s="244">
        <v>4.0463636363636403E-2</v>
      </c>
      <c r="AZ98" s="244">
        <v>5.3598181818181802E-2</v>
      </c>
      <c r="BA98" s="244">
        <v>5.6645454545454603E-2</v>
      </c>
      <c r="BB98" s="244">
        <v>0.110032727272727</v>
      </c>
      <c r="BC98" s="244">
        <v>0.14771999999999999</v>
      </c>
      <c r="BD98" s="244">
        <v>4.3058181818181801E-2</v>
      </c>
      <c r="BE98" s="244">
        <v>3.2027272727272703E-2</v>
      </c>
      <c r="BF98" s="244">
        <v>3.8050909090909101E-2</v>
      </c>
      <c r="BG98" s="244">
        <v>2.7016363636363599E-2</v>
      </c>
      <c r="BH98" s="244">
        <v>19.4758</v>
      </c>
      <c r="BI98" s="244">
        <v>26.3945636363636</v>
      </c>
      <c r="BJ98" s="244">
        <v>4.8436363636363602</v>
      </c>
      <c r="BK98" s="244">
        <v>5.0196363636363603</v>
      </c>
      <c r="BL98" s="244">
        <v>0</v>
      </c>
      <c r="BM98" s="244">
        <v>0</v>
      </c>
      <c r="BN98" s="244">
        <v>0.16232727272727299</v>
      </c>
      <c r="BO98" s="244">
        <v>37.710327272727298</v>
      </c>
      <c r="BP98" s="244">
        <v>2.88</v>
      </c>
      <c r="BQ98" s="244">
        <v>39.631472727272701</v>
      </c>
      <c r="BR98" s="244">
        <v>0.16619999999999999</v>
      </c>
      <c r="BS98" s="244">
        <v>1.4999999999999999E-2</v>
      </c>
      <c r="BT98" s="244">
        <v>91.720872727272706</v>
      </c>
      <c r="BU98" s="244">
        <v>23.152945454545499</v>
      </c>
      <c r="BV98" s="244">
        <v>3.38</v>
      </c>
      <c r="BW98" s="244">
        <v>0</v>
      </c>
      <c r="BX98" s="244">
        <v>17.1312363636364</v>
      </c>
      <c r="BY98" s="244">
        <v>4.3799999999999999E-2</v>
      </c>
      <c r="BZ98" s="244">
        <v>0</v>
      </c>
      <c r="CA98" s="244">
        <v>1.3654545454545499</v>
      </c>
    </row>
    <row r="99" spans="1:79">
      <c r="A99" s="245">
        <v>43102</v>
      </c>
      <c r="B99" s="243" t="s">
        <v>515</v>
      </c>
      <c r="C99" s="27" t="s">
        <v>1686</v>
      </c>
      <c r="D99" s="246">
        <v>136</v>
      </c>
      <c r="E99" s="248">
        <v>177.47717546362301</v>
      </c>
      <c r="F99" s="244">
        <v>118.493487874465</v>
      </c>
      <c r="G99" s="244">
        <v>14.004707560627701</v>
      </c>
      <c r="H99" s="244">
        <v>11.849293865905899</v>
      </c>
      <c r="I99" s="244">
        <v>2.8521398002853098</v>
      </c>
      <c r="J99" s="244">
        <v>0.84545649072753204</v>
      </c>
      <c r="K99" s="244">
        <v>0.14887139800285301</v>
      </c>
      <c r="L99" s="244">
        <v>0.16187792439372301</v>
      </c>
      <c r="M99" s="244">
        <v>1.9863310271041399</v>
      </c>
      <c r="N99" s="244">
        <v>1.3120393723252499</v>
      </c>
      <c r="O99" s="244">
        <v>0.1186227532097</v>
      </c>
      <c r="P99" s="244">
        <v>8.7223609129814594</v>
      </c>
      <c r="Q99" s="244">
        <v>5.0340513552068504</v>
      </c>
      <c r="R99" s="244">
        <v>6.2250709343794597</v>
      </c>
      <c r="S99" s="244">
        <v>2.3700741797432201</v>
      </c>
      <c r="T99" s="244">
        <v>0.390380884450785</v>
      </c>
      <c r="U99" s="244">
        <v>23.825126961483601</v>
      </c>
      <c r="V99" s="244">
        <v>8.8984450784593498</v>
      </c>
      <c r="W99" s="244">
        <v>14.891601141226801</v>
      </c>
      <c r="X99" s="244">
        <v>1.1298145506419399</v>
      </c>
      <c r="Y99" s="244">
        <v>66.659754065620604</v>
      </c>
      <c r="Z99" s="244">
        <v>210.164542796006</v>
      </c>
      <c r="AA99" s="244">
        <v>5.1982881597717502E-2</v>
      </c>
      <c r="AB99" s="244">
        <v>2.2810271041369501</v>
      </c>
      <c r="AC99" s="244">
        <v>5.8333136947218298</v>
      </c>
      <c r="AD99" s="244">
        <v>42.891362339514998</v>
      </c>
      <c r="AE99" s="244">
        <v>0.204040970042796</v>
      </c>
      <c r="AF99" s="244">
        <v>1.32343794579173</v>
      </c>
      <c r="AG99" s="244">
        <v>0.78613124108416499</v>
      </c>
      <c r="AH99" s="244">
        <v>131.50485734664801</v>
      </c>
      <c r="AI99" s="244">
        <v>227.21612339514999</v>
      </c>
      <c r="AJ99" s="244">
        <v>8.4805920114122699</v>
      </c>
      <c r="AK99" s="244">
        <v>0.612845934379458</v>
      </c>
      <c r="AL99" s="244">
        <v>1.94114835948645</v>
      </c>
      <c r="AM99" s="244">
        <v>3.8572075606276801</v>
      </c>
      <c r="AN99" s="244">
        <v>5.3384101283880199</v>
      </c>
      <c r="AO99" s="244">
        <v>37.480741797432202</v>
      </c>
      <c r="AP99" s="244">
        <v>0.40410841654778901</v>
      </c>
      <c r="AQ99" s="244">
        <v>0.63623751783166904</v>
      </c>
      <c r="AR99" s="244">
        <v>1.1194907275321</v>
      </c>
      <c r="AS99" s="244">
        <v>1.25208844507846</v>
      </c>
      <c r="AT99" s="244">
        <v>0.40348787446505002</v>
      </c>
      <c r="AU99" s="244">
        <v>0.14985021398002901</v>
      </c>
      <c r="AV99" s="244">
        <v>0.54430955777460799</v>
      </c>
      <c r="AW99" s="244">
        <v>0.60639229671897299</v>
      </c>
      <c r="AX99" s="244">
        <v>0.156818830242511</v>
      </c>
      <c r="AY99" s="244">
        <v>0.71167332382310999</v>
      </c>
      <c r="AZ99" s="244">
        <v>0.83932738944365204</v>
      </c>
      <c r="BA99" s="244">
        <v>0.85084308131241104</v>
      </c>
      <c r="BB99" s="244">
        <v>1.44207774607703</v>
      </c>
      <c r="BC99" s="244">
        <v>2.1098666191155502</v>
      </c>
      <c r="BD99" s="244">
        <v>0.67139158345221095</v>
      </c>
      <c r="BE99" s="244">
        <v>0.49151212553495</v>
      </c>
      <c r="BF99" s="244">
        <v>0.56556847360912998</v>
      </c>
      <c r="BG99" s="244">
        <v>0.46673609129814603</v>
      </c>
      <c r="BH99" s="244">
        <v>12.394293865905899</v>
      </c>
      <c r="BI99" s="244">
        <v>4.9790370898716096</v>
      </c>
      <c r="BJ99" s="244">
        <v>2.9878744650499298</v>
      </c>
      <c r="BK99" s="244">
        <v>38.538730385164101</v>
      </c>
      <c r="BL99" s="244">
        <v>0</v>
      </c>
      <c r="BM99" s="244">
        <v>8.6340941512125499E-2</v>
      </c>
      <c r="BN99" s="244">
        <v>0.30049215406562102</v>
      </c>
      <c r="BO99" s="244">
        <v>18.174550641940101</v>
      </c>
      <c r="BP99" s="244">
        <v>4.5192582025677597</v>
      </c>
      <c r="BQ99" s="244">
        <v>41.512931526390901</v>
      </c>
      <c r="BR99" s="244">
        <v>0.27042796005706099</v>
      </c>
      <c r="BS99" s="244">
        <v>2.3537803138373802E-2</v>
      </c>
      <c r="BT99" s="244">
        <v>57.736176890156898</v>
      </c>
      <c r="BU99" s="244">
        <v>9.37319543509272</v>
      </c>
      <c r="BV99" s="244">
        <v>5.3038516405135496</v>
      </c>
      <c r="BW99" s="244">
        <v>0</v>
      </c>
      <c r="BX99" s="244">
        <v>12.0847788873039</v>
      </c>
      <c r="BY99" s="244">
        <v>6.8730385164051402E-2</v>
      </c>
      <c r="BZ99" s="244">
        <v>0</v>
      </c>
      <c r="CA99" s="244">
        <v>1.12268188302425</v>
      </c>
    </row>
    <row r="100" spans="1:79">
      <c r="A100" s="245">
        <v>42102</v>
      </c>
      <c r="B100" s="243" t="s">
        <v>523</v>
      </c>
      <c r="C100" s="27" t="s">
        <v>1686</v>
      </c>
      <c r="D100" s="246">
        <v>137</v>
      </c>
      <c r="E100" s="248">
        <v>360.08108108108098</v>
      </c>
      <c r="F100" s="244">
        <v>158.69999999999999</v>
      </c>
      <c r="G100" s="244">
        <v>15.3517255717256</v>
      </c>
      <c r="H100" s="244">
        <v>31.1455093555094</v>
      </c>
      <c r="I100" s="244">
        <v>4.9093139293139298</v>
      </c>
      <c r="J100" s="244">
        <v>0.99983367983367999</v>
      </c>
      <c r="K100" s="244">
        <v>7.6655509355509396E-2</v>
      </c>
      <c r="L100" s="244">
        <v>0.117758783783784</v>
      </c>
      <c r="M100" s="244">
        <v>1.27308970893971</v>
      </c>
      <c r="N100" s="244">
        <v>1.96906902286902</v>
      </c>
      <c r="O100" s="244">
        <v>0.25945925155925198</v>
      </c>
      <c r="P100" s="244">
        <v>1319.1403326403299</v>
      </c>
      <c r="Q100" s="244">
        <v>1.8792099792099799</v>
      </c>
      <c r="R100" s="244">
        <v>2.6928914760914799</v>
      </c>
      <c r="S100" s="244">
        <v>3.3940149688149699</v>
      </c>
      <c r="T100" s="244">
        <v>1.4658378378378401</v>
      </c>
      <c r="U100" s="244">
        <v>33.953600831600802</v>
      </c>
      <c r="V100" s="244">
        <v>4.9106207900207899</v>
      </c>
      <c r="W100" s="244">
        <v>2.4382093555093598</v>
      </c>
      <c r="X100" s="244">
        <v>0</v>
      </c>
      <c r="Y100" s="244">
        <v>27.175478794178801</v>
      </c>
      <c r="Z100" s="244">
        <v>11.842474012474</v>
      </c>
      <c r="AA100" s="244">
        <v>7.5758835758835796E-2</v>
      </c>
      <c r="AB100" s="244">
        <v>3.3243243243243201</v>
      </c>
      <c r="AC100" s="244">
        <v>6.7673133056133103</v>
      </c>
      <c r="AD100" s="244">
        <v>85.122515592515597</v>
      </c>
      <c r="AE100" s="244">
        <v>0.27295155925155901</v>
      </c>
      <c r="AF100" s="244">
        <v>1.53024864864865</v>
      </c>
      <c r="AG100" s="244">
        <v>0.21311434511434499</v>
      </c>
      <c r="AH100" s="244">
        <v>135.88996195426199</v>
      </c>
      <c r="AI100" s="244">
        <v>185.49732848232901</v>
      </c>
      <c r="AJ100" s="244">
        <v>30.946964656964699</v>
      </c>
      <c r="AK100" s="244">
        <v>0.66307692307692301</v>
      </c>
      <c r="AL100" s="244">
        <v>12.515467775467799</v>
      </c>
      <c r="AM100" s="244">
        <v>12.029979209979199</v>
      </c>
      <c r="AN100" s="244">
        <v>12.1056195426195</v>
      </c>
      <c r="AO100" s="244">
        <v>100.758336798337</v>
      </c>
      <c r="AP100" s="244">
        <v>0.57922245322245303</v>
      </c>
      <c r="AQ100" s="244">
        <v>0.61792931392931405</v>
      </c>
      <c r="AR100" s="244">
        <v>1.13759459459459</v>
      </c>
      <c r="AS100" s="244">
        <v>1.34626819126819</v>
      </c>
      <c r="AT100" s="244">
        <v>0.460130977130977</v>
      </c>
      <c r="AU100" s="244">
        <v>7.9022869022868994E-3</v>
      </c>
      <c r="AV100" s="244">
        <v>0.62194386694386705</v>
      </c>
      <c r="AW100" s="244">
        <v>0.76350103950103998</v>
      </c>
      <c r="AX100" s="244">
        <v>6.9625779625779602E-3</v>
      </c>
      <c r="AY100" s="244">
        <v>0.76721205821205796</v>
      </c>
      <c r="AZ100" s="244">
        <v>0.91875675675675705</v>
      </c>
      <c r="BA100" s="244">
        <v>0.89238253638253695</v>
      </c>
      <c r="BB100" s="244">
        <v>1.4974781704781699</v>
      </c>
      <c r="BC100" s="244">
        <v>2.1250436590436599</v>
      </c>
      <c r="BD100" s="244">
        <v>0.58766735966735995</v>
      </c>
      <c r="BE100" s="244">
        <v>0.47058835758835799</v>
      </c>
      <c r="BF100" s="244">
        <v>0.42899168399168403</v>
      </c>
      <c r="BG100" s="244">
        <v>0.58321413721413695</v>
      </c>
      <c r="BH100" s="244">
        <v>19.117380457380499</v>
      </c>
      <c r="BI100" s="244">
        <v>6.7766735966736</v>
      </c>
      <c r="BJ100" s="244">
        <v>1.8004158004158</v>
      </c>
      <c r="BK100" s="244">
        <v>2.8848232848232902</v>
      </c>
      <c r="BL100" s="244">
        <v>0</v>
      </c>
      <c r="BM100" s="244">
        <v>14.469916839916801</v>
      </c>
      <c r="BN100" s="244">
        <v>1348.38178794179</v>
      </c>
      <c r="BO100" s="244">
        <v>5004.2820790020796</v>
      </c>
      <c r="BP100" s="244">
        <v>1817.9313929313901</v>
      </c>
      <c r="BQ100" s="244">
        <v>3058.35812889813</v>
      </c>
      <c r="BR100" s="244">
        <v>82.535862785862804</v>
      </c>
      <c r="BS100" s="244">
        <v>0</v>
      </c>
      <c r="BT100" s="244">
        <v>187.32586278586299</v>
      </c>
      <c r="BU100" s="244">
        <v>6.9104781704781697</v>
      </c>
      <c r="BV100" s="244">
        <v>0</v>
      </c>
      <c r="BW100" s="244">
        <v>119.28898128898101</v>
      </c>
      <c r="BX100" s="244">
        <v>1222.18523908524</v>
      </c>
      <c r="BY100" s="244">
        <v>755.76923076923094</v>
      </c>
      <c r="BZ100" s="244">
        <v>189.555093555094</v>
      </c>
      <c r="CA100" s="244">
        <v>1.48856548856549</v>
      </c>
    </row>
    <row r="101" spans="1:79">
      <c r="A101" s="245">
        <v>42103</v>
      </c>
      <c r="B101" s="243" t="s">
        <v>527</v>
      </c>
      <c r="C101" s="27" t="s">
        <v>1686</v>
      </c>
      <c r="D101" s="246">
        <v>138</v>
      </c>
      <c r="E101" s="248">
        <v>265.94900207900201</v>
      </c>
      <c r="F101" s="244">
        <v>169.21540540540499</v>
      </c>
      <c r="G101" s="244">
        <v>17.3534927234927</v>
      </c>
      <c r="H101" s="244">
        <v>19.584282744282699</v>
      </c>
      <c r="I101" s="244">
        <v>4.9093139293139298</v>
      </c>
      <c r="J101" s="244">
        <v>0.99983367983367999</v>
      </c>
      <c r="K101" s="244">
        <v>1.78280665280665E-2</v>
      </c>
      <c r="L101" s="244">
        <v>0.205264604989605</v>
      </c>
      <c r="M101" s="244">
        <v>1.2936793139293099</v>
      </c>
      <c r="N101" s="244">
        <v>1.30726029106029</v>
      </c>
      <c r="O101" s="244">
        <v>0.117619750519751</v>
      </c>
      <c r="P101" s="244">
        <v>9.6140024948024898</v>
      </c>
      <c r="Q101" s="244">
        <v>2.4511434511434498</v>
      </c>
      <c r="R101" s="244">
        <v>3.6341305613305601</v>
      </c>
      <c r="S101" s="244">
        <v>2.8447137214137199</v>
      </c>
      <c r="T101" s="244">
        <v>1.83350935550936</v>
      </c>
      <c r="U101" s="244">
        <v>33.953600831600802</v>
      </c>
      <c r="V101" s="244">
        <v>573.12636174636202</v>
      </c>
      <c r="W101" s="244">
        <v>575.56457110187102</v>
      </c>
      <c r="X101" s="244">
        <v>0</v>
      </c>
      <c r="Y101" s="244">
        <v>27.175478794178801</v>
      </c>
      <c r="Z101" s="244">
        <v>11.842474012474</v>
      </c>
      <c r="AA101" s="244">
        <v>7.5758835758835796E-2</v>
      </c>
      <c r="AB101" s="244">
        <v>3.3243243243243201</v>
      </c>
      <c r="AC101" s="244">
        <v>6.7673133056133103</v>
      </c>
      <c r="AD101" s="244">
        <v>58.184449064449097</v>
      </c>
      <c r="AE101" s="244">
        <v>2.0473343035343001</v>
      </c>
      <c r="AF101" s="244">
        <v>1.6691467775467801</v>
      </c>
      <c r="AG101" s="244">
        <v>0.25396673596673602</v>
      </c>
      <c r="AH101" s="244">
        <v>239.35934511434499</v>
      </c>
      <c r="AI101" s="244">
        <v>335.50730769230802</v>
      </c>
      <c r="AJ101" s="244">
        <v>55.213284823284802</v>
      </c>
      <c r="AK101" s="244">
        <v>2.0438877338877299</v>
      </c>
      <c r="AL101" s="244">
        <v>3.5287588357588402</v>
      </c>
      <c r="AM101" s="244">
        <v>4.5891247401247401</v>
      </c>
      <c r="AN101" s="244">
        <v>10.569569646569599</v>
      </c>
      <c r="AO101" s="244">
        <v>47.911683991684001</v>
      </c>
      <c r="AP101" s="244">
        <v>3.0099397089397102</v>
      </c>
      <c r="AQ101" s="244">
        <v>2.8239584199584198</v>
      </c>
      <c r="AR101" s="244">
        <v>2.8174449064449099</v>
      </c>
      <c r="AS101" s="244">
        <v>4.87509771309771</v>
      </c>
      <c r="AT101" s="244">
        <v>3.7838814968815</v>
      </c>
      <c r="AU101" s="244">
        <v>8.9464054054054092</v>
      </c>
      <c r="AV101" s="244">
        <v>3.35088357588358</v>
      </c>
      <c r="AW101" s="244">
        <v>2.8477900207900202</v>
      </c>
      <c r="AX101" s="244">
        <v>1.0037609147609099</v>
      </c>
      <c r="AY101" s="244">
        <v>3.75025363825364</v>
      </c>
      <c r="AZ101" s="244">
        <v>1.7137442827442799</v>
      </c>
      <c r="BA101" s="244">
        <v>3.3941829521829501</v>
      </c>
      <c r="BB101" s="244">
        <v>0.98600623700623702</v>
      </c>
      <c r="BC101" s="244">
        <v>6.4839937629937596</v>
      </c>
      <c r="BD101" s="244">
        <v>5.3698482328482298</v>
      </c>
      <c r="BE101" s="244">
        <v>4.8973534303534301</v>
      </c>
      <c r="BF101" s="244">
        <v>2.89729313929314</v>
      </c>
      <c r="BG101" s="244">
        <v>3.1038066528066501</v>
      </c>
      <c r="BH101" s="244">
        <v>19.117380457380499</v>
      </c>
      <c r="BI101" s="244">
        <v>6.7766735966736</v>
      </c>
      <c r="BJ101" s="244">
        <v>1.8004158004158</v>
      </c>
      <c r="BK101" s="244">
        <v>62.529313929313901</v>
      </c>
      <c r="BL101" s="244">
        <v>0</v>
      </c>
      <c r="BM101" s="244">
        <v>7.2472141372141401</v>
      </c>
      <c r="BN101" s="244">
        <v>0.25288981288981299</v>
      </c>
      <c r="BO101" s="244">
        <v>550.55442827442801</v>
      </c>
      <c r="BP101" s="244">
        <v>166.67775467775499</v>
      </c>
      <c r="BQ101" s="244">
        <v>442.17101871101897</v>
      </c>
      <c r="BR101" s="244">
        <v>29.1172765072765</v>
      </c>
      <c r="BS101" s="244">
        <v>0</v>
      </c>
      <c r="BT101" s="244">
        <v>231.44644490644501</v>
      </c>
      <c r="BU101" s="244">
        <v>6.9104781704781697</v>
      </c>
      <c r="BV101" s="244">
        <v>0</v>
      </c>
      <c r="BW101" s="244">
        <v>111.93555093555101</v>
      </c>
      <c r="BX101" s="244">
        <v>200.05841995841999</v>
      </c>
      <c r="BY101" s="244">
        <v>14.6333264033264</v>
      </c>
      <c r="BZ101" s="244">
        <v>97.228690228690198</v>
      </c>
      <c r="CA101" s="244">
        <v>66.852390852390798</v>
      </c>
    </row>
    <row r="102" spans="1:79">
      <c r="A102" s="245">
        <v>42104</v>
      </c>
      <c r="B102" s="243" t="s">
        <v>532</v>
      </c>
      <c r="C102" s="27" t="s">
        <v>1686</v>
      </c>
      <c r="D102" s="246">
        <v>139</v>
      </c>
      <c r="E102" s="248">
        <v>235.07276507276501</v>
      </c>
      <c r="F102" s="244">
        <v>176.593347193347</v>
      </c>
      <c r="G102" s="244">
        <v>10.8089397089397</v>
      </c>
      <c r="H102" s="244">
        <v>19.012349272349301</v>
      </c>
      <c r="I102" s="244">
        <v>4.9093139293139298</v>
      </c>
      <c r="J102" s="244">
        <v>0.99983367983367999</v>
      </c>
      <c r="K102" s="244">
        <v>2.8613097713097699E-2</v>
      </c>
      <c r="L102" s="244">
        <v>5.5989968814968802E-2</v>
      </c>
      <c r="M102" s="244">
        <v>0.64510675675675699</v>
      </c>
      <c r="N102" s="244">
        <v>0.21650145530145501</v>
      </c>
      <c r="O102" s="244">
        <v>0.112129189189189</v>
      </c>
      <c r="P102" s="244">
        <v>5.9810810810810802</v>
      </c>
      <c r="Q102" s="244">
        <v>0.92326403326403295</v>
      </c>
      <c r="R102" s="244">
        <v>2.6928914760914799</v>
      </c>
      <c r="S102" s="244">
        <v>2.1762869022869</v>
      </c>
      <c r="T102" s="244">
        <v>0.87756340956340995</v>
      </c>
      <c r="U102" s="244">
        <v>34.035305613305603</v>
      </c>
      <c r="V102" s="244">
        <v>6.6180873180873201</v>
      </c>
      <c r="W102" s="244">
        <v>9.0562966735966697</v>
      </c>
      <c r="X102" s="244">
        <v>0</v>
      </c>
      <c r="Y102" s="244">
        <v>27.175478794178801</v>
      </c>
      <c r="Z102" s="244">
        <v>11.842474012474</v>
      </c>
      <c r="AA102" s="244">
        <v>7.5758835758835796E-2</v>
      </c>
      <c r="AB102" s="244">
        <v>3.3243243243243201</v>
      </c>
      <c r="AC102" s="244">
        <v>6.7673133056133103</v>
      </c>
      <c r="AD102" s="244">
        <v>32.047089397089401</v>
      </c>
      <c r="AE102" s="244">
        <v>0.16048084199584201</v>
      </c>
      <c r="AF102" s="244">
        <v>0.913540956340956</v>
      </c>
      <c r="AG102" s="244">
        <v>0.15918918918918901</v>
      </c>
      <c r="AH102" s="244">
        <v>171.22981288981299</v>
      </c>
      <c r="AI102" s="244">
        <v>184.455592515593</v>
      </c>
      <c r="AJ102" s="244">
        <v>21.9430977130977</v>
      </c>
      <c r="AK102" s="244">
        <v>0.48332640332640298</v>
      </c>
      <c r="AL102" s="244">
        <v>3.0875530145530199</v>
      </c>
      <c r="AM102" s="244">
        <v>4.4273492723492698</v>
      </c>
      <c r="AN102" s="244">
        <v>10.3849168399168</v>
      </c>
      <c r="AO102" s="244">
        <v>36.767151767151802</v>
      </c>
      <c r="AP102" s="244">
        <v>0.25975675675675702</v>
      </c>
      <c r="AQ102" s="244">
        <v>0.52315176715176703</v>
      </c>
      <c r="AR102" s="244">
        <v>0.92189397089397096</v>
      </c>
      <c r="AS102" s="244">
        <v>1.0594844074844101</v>
      </c>
      <c r="AT102" s="244">
        <v>0.38087733887733899</v>
      </c>
      <c r="AU102" s="244">
        <v>0.129642411642412</v>
      </c>
      <c r="AV102" s="244">
        <v>0.44055925155925202</v>
      </c>
      <c r="AW102" s="244">
        <v>0.49877754677754699</v>
      </c>
      <c r="AX102" s="244">
        <v>0.13850727650727601</v>
      </c>
      <c r="AY102" s="244">
        <v>0.55641372141372203</v>
      </c>
      <c r="AZ102" s="244">
        <v>0.66056964656964701</v>
      </c>
      <c r="BA102" s="244">
        <v>0.80822661122661099</v>
      </c>
      <c r="BB102" s="244">
        <v>1.1984386694386699</v>
      </c>
      <c r="BC102" s="244">
        <v>1.90035550935551</v>
      </c>
      <c r="BD102" s="244">
        <v>0.55743659043659</v>
      </c>
      <c r="BE102" s="244">
        <v>0.41748024948024998</v>
      </c>
      <c r="BF102" s="244">
        <v>0.49435550935550998</v>
      </c>
      <c r="BG102" s="244">
        <v>0.40673180873180897</v>
      </c>
      <c r="BH102" s="244">
        <v>19.117380457380499</v>
      </c>
      <c r="BI102" s="244">
        <v>6.7766735966736</v>
      </c>
      <c r="BJ102" s="244">
        <v>1.8004158004158</v>
      </c>
      <c r="BK102" s="244">
        <v>2.8848232848232902</v>
      </c>
      <c r="BL102" s="244">
        <v>0</v>
      </c>
      <c r="BM102" s="244">
        <v>0</v>
      </c>
      <c r="BN102" s="244">
        <v>0.25288981288981299</v>
      </c>
      <c r="BO102" s="244">
        <v>27.6438253638254</v>
      </c>
      <c r="BP102" s="244">
        <v>0</v>
      </c>
      <c r="BQ102" s="244">
        <v>39.366444906444897</v>
      </c>
      <c r="BR102" s="244">
        <v>1.4033264033263999E-2</v>
      </c>
      <c r="BS102" s="244">
        <v>0</v>
      </c>
      <c r="BT102" s="244">
        <v>76.207359667359697</v>
      </c>
      <c r="BU102" s="244">
        <v>6.9104781704781697</v>
      </c>
      <c r="BV102" s="244">
        <v>0</v>
      </c>
      <c r="BW102" s="244">
        <v>0</v>
      </c>
      <c r="BX102" s="244">
        <v>22.759043659043702</v>
      </c>
      <c r="BY102" s="244">
        <v>0</v>
      </c>
      <c r="BZ102" s="244">
        <v>0</v>
      </c>
      <c r="CA102" s="244">
        <v>1.48856548856549</v>
      </c>
    </row>
    <row r="103" spans="1:79">
      <c r="A103" s="245">
        <v>42105</v>
      </c>
      <c r="B103" s="243" t="s">
        <v>536</v>
      </c>
      <c r="C103" s="27" t="s">
        <v>1686</v>
      </c>
      <c r="D103" s="246">
        <v>140</v>
      </c>
      <c r="E103" s="248">
        <v>262.03534303534298</v>
      </c>
      <c r="F103" s="244">
        <v>170.84950103950101</v>
      </c>
      <c r="G103" s="244">
        <v>13.3908108108108</v>
      </c>
      <c r="H103" s="244">
        <v>21.177525987526</v>
      </c>
      <c r="I103" s="244">
        <v>4.9093139293139298</v>
      </c>
      <c r="J103" s="244">
        <v>0.99983367983367999</v>
      </c>
      <c r="K103" s="244">
        <v>3.2534927234927201E-2</v>
      </c>
      <c r="L103" s="244">
        <v>7.6579573804573794E-2</v>
      </c>
      <c r="M103" s="244">
        <v>0.98483523908523896</v>
      </c>
      <c r="N103" s="244">
        <v>6.5347609147609204E-2</v>
      </c>
      <c r="O103" s="244">
        <v>0.18167629937629901</v>
      </c>
      <c r="P103" s="244">
        <v>3.69334719334719</v>
      </c>
      <c r="Q103" s="244">
        <v>3.9463409563409599</v>
      </c>
      <c r="R103" s="244">
        <v>2.6928914760914799</v>
      </c>
      <c r="S103" s="244">
        <v>0.32322245322245302</v>
      </c>
      <c r="T103" s="244">
        <v>0.36282328482328502</v>
      </c>
      <c r="U103" s="244">
        <v>33.953600831600802</v>
      </c>
      <c r="V103" s="244">
        <v>6.6180873180873201</v>
      </c>
      <c r="W103" s="244">
        <v>12.5837372141372</v>
      </c>
      <c r="X103" s="244">
        <v>0</v>
      </c>
      <c r="Y103" s="244">
        <v>69.531237629937607</v>
      </c>
      <c r="Z103" s="244">
        <v>11.842474012474</v>
      </c>
      <c r="AA103" s="244">
        <v>7.5758835758835796E-2</v>
      </c>
      <c r="AB103" s="244">
        <v>3.3243243243243201</v>
      </c>
      <c r="AC103" s="244">
        <v>6.7673133056133103</v>
      </c>
      <c r="AD103" s="244">
        <v>36.7614553014553</v>
      </c>
      <c r="AE103" s="244">
        <v>0.189122453222453</v>
      </c>
      <c r="AF103" s="244">
        <v>1.2357846153846199</v>
      </c>
      <c r="AG103" s="244">
        <v>0.16409147609147601</v>
      </c>
      <c r="AH103" s="244">
        <v>126.226819126819</v>
      </c>
      <c r="AI103" s="244">
        <v>280.54010940748401</v>
      </c>
      <c r="AJ103" s="244">
        <v>58.2445322245322</v>
      </c>
      <c r="AK103" s="244">
        <v>0.65490644490644501</v>
      </c>
      <c r="AL103" s="244">
        <v>6.5346777546777499</v>
      </c>
      <c r="AM103" s="244">
        <v>7.3401247401247396</v>
      </c>
      <c r="AN103" s="244">
        <v>10.978093555093601</v>
      </c>
      <c r="AO103" s="244">
        <v>116.756133056133</v>
      </c>
      <c r="AP103" s="244">
        <v>0.26465904365904402</v>
      </c>
      <c r="AQ103" s="244">
        <v>0.61220997920997899</v>
      </c>
      <c r="AR103" s="244">
        <v>1.0370977130977099</v>
      </c>
      <c r="AS103" s="244">
        <v>1.1477255717255701</v>
      </c>
      <c r="AT103" s="244">
        <v>0.27874636174636203</v>
      </c>
      <c r="AU103" s="244">
        <v>7.9022869022868994E-3</v>
      </c>
      <c r="AV103" s="244">
        <v>0.54350727650727704</v>
      </c>
      <c r="AW103" s="244">
        <v>0.581299376299376</v>
      </c>
      <c r="AX103" s="244">
        <v>6.9625779625779602E-3</v>
      </c>
      <c r="AY103" s="244">
        <v>0.64792307692307705</v>
      </c>
      <c r="AZ103" s="244">
        <v>0.83051559251559304</v>
      </c>
      <c r="BA103" s="244">
        <v>0.83845738045738105</v>
      </c>
      <c r="BB103" s="244">
        <v>1.3504095634095601</v>
      </c>
      <c r="BC103" s="244">
        <v>0.160043659043659</v>
      </c>
      <c r="BD103" s="244">
        <v>0.886706860706861</v>
      </c>
      <c r="BE103" s="244">
        <v>0.553110187110187</v>
      </c>
      <c r="BF103" s="244">
        <v>0.46575883575883598</v>
      </c>
      <c r="BG103" s="244">
        <v>0.32012474012474001</v>
      </c>
      <c r="BH103" s="244">
        <v>19.117380457380499</v>
      </c>
      <c r="BI103" s="244">
        <v>6.7766735966736</v>
      </c>
      <c r="BJ103" s="244">
        <v>1.8004158004158</v>
      </c>
      <c r="BK103" s="244">
        <v>48.884615384615401</v>
      </c>
      <c r="BL103" s="244">
        <v>0</v>
      </c>
      <c r="BM103" s="244">
        <v>23.596340956340999</v>
      </c>
      <c r="BN103" s="244">
        <v>0.25288981288981299</v>
      </c>
      <c r="BO103" s="244">
        <v>1297.3361330561299</v>
      </c>
      <c r="BP103" s="244">
        <v>439.57172557172601</v>
      </c>
      <c r="BQ103" s="244">
        <v>1206.11072765073</v>
      </c>
      <c r="BR103" s="244">
        <v>72.641413721413699</v>
      </c>
      <c r="BS103" s="244">
        <v>0</v>
      </c>
      <c r="BT103" s="244">
        <v>450.41525987526001</v>
      </c>
      <c r="BU103" s="244">
        <v>6.9104781704781697</v>
      </c>
      <c r="BV103" s="244">
        <v>0</v>
      </c>
      <c r="BW103" s="244">
        <v>65.6171101871102</v>
      </c>
      <c r="BX103" s="244">
        <v>345.49293139293098</v>
      </c>
      <c r="BY103" s="244">
        <v>64.358856548856494</v>
      </c>
      <c r="BZ103" s="244">
        <v>114.386694386694</v>
      </c>
      <c r="CA103" s="244">
        <v>1.48856548856549</v>
      </c>
    </row>
    <row r="104" spans="1:79">
      <c r="A104" s="245">
        <v>42106</v>
      </c>
      <c r="B104" s="243" t="s">
        <v>540</v>
      </c>
      <c r="C104" s="27" t="s">
        <v>1686</v>
      </c>
      <c r="D104" s="246">
        <v>141</v>
      </c>
      <c r="E104" s="248">
        <v>284.09563409563401</v>
      </c>
      <c r="F104" s="244">
        <v>167.14010395010399</v>
      </c>
      <c r="G104" s="244">
        <v>14.992224532224499</v>
      </c>
      <c r="H104" s="244">
        <v>22.8361330561331</v>
      </c>
      <c r="I104" s="244">
        <v>4.9093139293139298</v>
      </c>
      <c r="J104" s="244">
        <v>0.99983367983367999</v>
      </c>
      <c r="K104" s="244">
        <v>3.2534927234927201E-2</v>
      </c>
      <c r="L104" s="244">
        <v>0.13834838877338901</v>
      </c>
      <c r="M104" s="244">
        <v>1.4481013513513501</v>
      </c>
      <c r="N104" s="244">
        <v>6.5347609147609204E-2</v>
      </c>
      <c r="O104" s="244">
        <v>0.122195218295218</v>
      </c>
      <c r="P104" s="244">
        <v>5.9810810810810802</v>
      </c>
      <c r="Q104" s="244">
        <v>1.9445738045737999</v>
      </c>
      <c r="R104" s="244">
        <v>2.95434677754678</v>
      </c>
      <c r="S104" s="244">
        <v>0.32322245322245302</v>
      </c>
      <c r="T104" s="244">
        <v>0.36282328482328502</v>
      </c>
      <c r="U104" s="244">
        <v>33.953600831600802</v>
      </c>
      <c r="V104" s="244">
        <v>138.318024948025</v>
      </c>
      <c r="W104" s="244">
        <v>144.83959417879399</v>
      </c>
      <c r="X104" s="244">
        <v>0</v>
      </c>
      <c r="Y104" s="244">
        <v>76.149324948024997</v>
      </c>
      <c r="Z104" s="244">
        <v>11.842474012474</v>
      </c>
      <c r="AA104" s="244">
        <v>7.5758835758835796E-2</v>
      </c>
      <c r="AB104" s="244">
        <v>3.3243243243243201</v>
      </c>
      <c r="AC104" s="244">
        <v>6.7673133056133103</v>
      </c>
      <c r="AD104" s="244">
        <v>349.87869022869</v>
      </c>
      <c r="AE104" s="244">
        <v>0.175150935550936</v>
      </c>
      <c r="AF104" s="244">
        <v>1.4858012474012501</v>
      </c>
      <c r="AG104" s="244">
        <v>0.14775051975052</v>
      </c>
      <c r="AH104" s="244">
        <v>257.66056257796299</v>
      </c>
      <c r="AI104" s="244">
        <v>212.49912474012501</v>
      </c>
      <c r="AJ104" s="244">
        <v>0.20962577962578</v>
      </c>
      <c r="AK104" s="244">
        <v>1.14513513513514</v>
      </c>
      <c r="AL104" s="244">
        <v>2.7272349272349299</v>
      </c>
      <c r="AM104" s="244">
        <v>3.9902286902286899</v>
      </c>
      <c r="AN104" s="244">
        <v>10.079340956340999</v>
      </c>
      <c r="AO104" s="244">
        <v>0</v>
      </c>
      <c r="AP104" s="244">
        <v>1.13742203742204E-2</v>
      </c>
      <c r="AQ104" s="244">
        <v>2.1484407484407501E-2</v>
      </c>
      <c r="AR104" s="244">
        <v>3.1311850311850298E-2</v>
      </c>
      <c r="AS104" s="244">
        <v>2.18336798336798E-2</v>
      </c>
      <c r="AT104" s="244">
        <v>9.1205821205821193E-3</v>
      </c>
      <c r="AU104" s="244">
        <v>7.9022869022868994E-3</v>
      </c>
      <c r="AV104" s="244">
        <v>2.5498960498960499E-2</v>
      </c>
      <c r="AW104" s="244">
        <v>2.08045738045738E-2</v>
      </c>
      <c r="AX104" s="244">
        <v>6.9625779625779602E-3</v>
      </c>
      <c r="AY104" s="244">
        <v>2.4515592515592498E-2</v>
      </c>
      <c r="AZ104" s="244">
        <v>3.0625779625779601E-2</v>
      </c>
      <c r="BA104" s="244">
        <v>7.6968814968814997E-2</v>
      </c>
      <c r="BB104" s="244">
        <v>7.0912681912681894E-2</v>
      </c>
      <c r="BC104" s="244">
        <v>0.160043659043659</v>
      </c>
      <c r="BD104" s="244">
        <v>3.4525987525987498E-2</v>
      </c>
      <c r="BE104" s="244">
        <v>1.9577962577962599E-2</v>
      </c>
      <c r="BF104" s="244">
        <v>2.1284823284823302E-2</v>
      </c>
      <c r="BG104" s="244">
        <v>1.53659043659044E-2</v>
      </c>
      <c r="BH104" s="244">
        <v>19.117380457380499</v>
      </c>
      <c r="BI104" s="244">
        <v>6.7766735966736</v>
      </c>
      <c r="BJ104" s="244">
        <v>1.8004158004158</v>
      </c>
      <c r="BK104" s="244">
        <v>2.8848232848232902</v>
      </c>
      <c r="BL104" s="244">
        <v>0</v>
      </c>
      <c r="BM104" s="244">
        <v>0</v>
      </c>
      <c r="BN104" s="244">
        <v>0.25288981288981299</v>
      </c>
      <c r="BO104" s="244">
        <v>27.6438253638254</v>
      </c>
      <c r="BP104" s="244">
        <v>0</v>
      </c>
      <c r="BQ104" s="244">
        <v>39.366444906444897</v>
      </c>
      <c r="BR104" s="244">
        <v>1.4033264033263999E-2</v>
      </c>
      <c r="BS104" s="244">
        <v>0</v>
      </c>
      <c r="BT104" s="244">
        <v>76.207359667359697</v>
      </c>
      <c r="BU104" s="244">
        <v>6.9104781704781697</v>
      </c>
      <c r="BV104" s="244">
        <v>0</v>
      </c>
      <c r="BW104" s="244">
        <v>0</v>
      </c>
      <c r="BX104" s="244">
        <v>22.759043659043702</v>
      </c>
      <c r="BY104" s="244">
        <v>0</v>
      </c>
      <c r="BZ104" s="244">
        <v>0</v>
      </c>
      <c r="CA104" s="244">
        <v>1.48856548856549</v>
      </c>
    </row>
    <row r="105" spans="1:79">
      <c r="A105" s="245">
        <v>42108</v>
      </c>
      <c r="B105" s="243" t="s">
        <v>549</v>
      </c>
      <c r="C105" s="27" t="s">
        <v>1686</v>
      </c>
      <c r="D105" s="246">
        <v>142</v>
      </c>
      <c r="E105" s="248">
        <v>278.37629937629902</v>
      </c>
      <c r="F105" s="244">
        <v>169.476860706861</v>
      </c>
      <c r="G105" s="244">
        <v>14.7307692307692</v>
      </c>
      <c r="H105" s="244">
        <v>22.501143451143498</v>
      </c>
      <c r="I105" s="244">
        <v>4.9093139293139298</v>
      </c>
      <c r="J105" s="244">
        <v>0.99983367983367999</v>
      </c>
      <c r="K105" s="244">
        <v>2.7632640332640301E-2</v>
      </c>
      <c r="L105" s="244">
        <v>5.5989968814968802E-2</v>
      </c>
      <c r="M105" s="244">
        <v>1.0723410602910599</v>
      </c>
      <c r="N105" s="244">
        <v>6.5347609147609204E-2</v>
      </c>
      <c r="O105" s="244">
        <v>62.293651351351301</v>
      </c>
      <c r="P105" s="244">
        <v>7.35372141372142</v>
      </c>
      <c r="Q105" s="244">
        <v>0</v>
      </c>
      <c r="R105" s="244">
        <v>2.6928914760914799</v>
      </c>
      <c r="S105" s="244">
        <v>0.77325239085239095</v>
      </c>
      <c r="T105" s="244">
        <v>0.76317671517671504</v>
      </c>
      <c r="U105" s="244">
        <v>33.953600831600802</v>
      </c>
      <c r="V105" s="244">
        <v>4.4605908523908502</v>
      </c>
      <c r="W105" s="244">
        <v>7.0708704781704803</v>
      </c>
      <c r="X105" s="244">
        <v>0</v>
      </c>
      <c r="Y105" s="244">
        <v>27.175478794178801</v>
      </c>
      <c r="Z105" s="244">
        <v>11.842474012474</v>
      </c>
      <c r="AA105" s="244">
        <v>7.5758835758835796E-2</v>
      </c>
      <c r="AB105" s="244">
        <v>3.3243243243243201</v>
      </c>
      <c r="AC105" s="244">
        <v>6.7673133056133103</v>
      </c>
      <c r="AD105" s="244">
        <v>32.864137214137202</v>
      </c>
      <c r="AE105" s="244">
        <v>0.161179417879418</v>
      </c>
      <c r="AF105" s="244">
        <v>1.9802785862785901</v>
      </c>
      <c r="AG105" s="244">
        <v>0.14775051975052</v>
      </c>
      <c r="AH105" s="244">
        <v>130.60211018710999</v>
      </c>
      <c r="AI105" s="244">
        <v>218.31201143451099</v>
      </c>
      <c r="AJ105" s="244">
        <v>0.20962577962578</v>
      </c>
      <c r="AK105" s="244">
        <v>0.40979209979210002</v>
      </c>
      <c r="AL105" s="244">
        <v>4.2224324324324298</v>
      </c>
      <c r="AM105" s="244">
        <v>5.5916424116424102</v>
      </c>
      <c r="AN105" s="244">
        <v>10.806513513513501</v>
      </c>
      <c r="AO105" s="244">
        <v>56.000457380457398</v>
      </c>
      <c r="AP105" s="244">
        <v>0.81126403326403296</v>
      </c>
      <c r="AQ105" s="244">
        <v>0.86386070686070704</v>
      </c>
      <c r="AR105" s="244">
        <v>1.3157110187110199</v>
      </c>
      <c r="AS105" s="244">
        <v>1.1052390852390901</v>
      </c>
      <c r="AT105" s="244">
        <v>0.76162162162162195</v>
      </c>
      <c r="AU105" s="244">
        <v>0.25791891891891899</v>
      </c>
      <c r="AV105" s="244">
        <v>0.96918918918918895</v>
      </c>
      <c r="AW105" s="244">
        <v>0.85255925155925205</v>
      </c>
      <c r="AX105" s="244">
        <v>0.214492723492724</v>
      </c>
      <c r="AY105" s="244">
        <v>0.87097713097713103</v>
      </c>
      <c r="AZ105" s="244">
        <v>0.61808316008316</v>
      </c>
      <c r="BA105" s="244">
        <v>0.78126403326403404</v>
      </c>
      <c r="BB105" s="244">
        <v>1.7434095634095601</v>
      </c>
      <c r="BC105" s="244">
        <v>2.59893139293139</v>
      </c>
      <c r="BD105" s="244">
        <v>1.7764719334719301</v>
      </c>
      <c r="BE105" s="244">
        <v>1.3889501039501</v>
      </c>
      <c r="BF105" s="244">
        <v>0.82689397089397099</v>
      </c>
      <c r="BG105" s="244">
        <v>0.61834719334719301</v>
      </c>
      <c r="BH105" s="244">
        <v>19.117380457380499</v>
      </c>
      <c r="BI105" s="244">
        <v>6.7766735966736</v>
      </c>
      <c r="BJ105" s="244">
        <v>1.8004158004158</v>
      </c>
      <c r="BK105" s="244">
        <v>62.529313929313901</v>
      </c>
      <c r="BL105" s="244">
        <v>0</v>
      </c>
      <c r="BM105" s="244">
        <v>9.06106029106029</v>
      </c>
      <c r="BN105" s="244">
        <v>0.25288981288981299</v>
      </c>
      <c r="BO105" s="244">
        <v>1104.51284823285</v>
      </c>
      <c r="BP105" s="244">
        <v>502.484407484408</v>
      </c>
      <c r="BQ105" s="244">
        <v>1087.63879417879</v>
      </c>
      <c r="BR105" s="244">
        <v>53.743097713097697</v>
      </c>
      <c r="BS105" s="244">
        <v>0</v>
      </c>
      <c r="BT105" s="244">
        <v>234.71463617463601</v>
      </c>
      <c r="BU105" s="244">
        <v>6.9104781704781697</v>
      </c>
      <c r="BV105" s="244">
        <v>0</v>
      </c>
      <c r="BW105" s="244">
        <v>70.290623700623698</v>
      </c>
      <c r="BX105" s="244">
        <v>202.50956340956299</v>
      </c>
      <c r="BY105" s="244">
        <v>139.71517671517699</v>
      </c>
      <c r="BZ105" s="244">
        <v>102.130977130977</v>
      </c>
      <c r="CA105" s="244">
        <v>1.48856548856549</v>
      </c>
    </row>
    <row r="106" spans="1:79">
      <c r="A106" s="245">
        <v>41101</v>
      </c>
      <c r="B106" s="243" t="s">
        <v>553</v>
      </c>
      <c r="C106" s="27" t="s">
        <v>1686</v>
      </c>
      <c r="D106" s="246">
        <v>143</v>
      </c>
      <c r="E106" s="248">
        <v>222.19455040871901</v>
      </c>
      <c r="F106" s="244">
        <v>134.89927792915501</v>
      </c>
      <c r="G106" s="244">
        <v>13.6221798365123</v>
      </c>
      <c r="H106" s="244">
        <v>15.5578882833787</v>
      </c>
      <c r="I106" s="244">
        <v>6.5276294277929203</v>
      </c>
      <c r="J106" s="244">
        <v>1.8152861035422301</v>
      </c>
      <c r="K106" s="244">
        <v>5.1880790190735701E-2</v>
      </c>
      <c r="L106" s="244">
        <v>9.3867881471389705E-2</v>
      </c>
      <c r="M106" s="244">
        <v>0.92318044959128098</v>
      </c>
      <c r="N106" s="244">
        <v>1.1672640326975501</v>
      </c>
      <c r="O106" s="244">
        <v>0.14693773841961899</v>
      </c>
      <c r="P106" s="244">
        <v>11.3164141689373</v>
      </c>
      <c r="Q106" s="244">
        <v>0</v>
      </c>
      <c r="R106" s="244">
        <v>13.7867840599455</v>
      </c>
      <c r="S106" s="244">
        <v>1.0074822888283399</v>
      </c>
      <c r="T106" s="244">
        <v>1.1429591280653999</v>
      </c>
      <c r="U106" s="244">
        <v>43.529196185286096</v>
      </c>
      <c r="V106" s="244">
        <v>4.3408937329700299</v>
      </c>
      <c r="W106" s="244">
        <v>14.193346730245199</v>
      </c>
      <c r="X106" s="244">
        <v>2.2070844686648501</v>
      </c>
      <c r="Y106" s="244">
        <v>111.136467983651</v>
      </c>
      <c r="Z106" s="244">
        <v>412.12529700272501</v>
      </c>
      <c r="AA106" s="244">
        <v>0</v>
      </c>
      <c r="AB106" s="244">
        <v>0</v>
      </c>
      <c r="AC106" s="244">
        <v>4.7284543596730302</v>
      </c>
      <c r="AD106" s="244">
        <v>47.358664850136201</v>
      </c>
      <c r="AE106" s="244">
        <v>0.339350136239782</v>
      </c>
      <c r="AF106" s="244">
        <v>1.80007356948229</v>
      </c>
      <c r="AG106" s="244">
        <v>0.27610626702997298</v>
      </c>
      <c r="AH106" s="244">
        <v>98.770367847411507</v>
      </c>
      <c r="AI106" s="244">
        <v>226.936920980926</v>
      </c>
      <c r="AJ106" s="244">
        <v>18.238678474114401</v>
      </c>
      <c r="AK106" s="244">
        <v>0.979604904632153</v>
      </c>
      <c r="AL106" s="244">
        <v>3.7746594005449601</v>
      </c>
      <c r="AM106" s="244">
        <v>3.5034059945504099</v>
      </c>
      <c r="AN106" s="244">
        <v>7.6194686648501397</v>
      </c>
      <c r="AO106" s="244">
        <v>41.290463215258796</v>
      </c>
      <c r="AP106" s="244">
        <v>2.9817493188010902</v>
      </c>
      <c r="AQ106" s="244">
        <v>2.9706294277929199</v>
      </c>
      <c r="AR106" s="244">
        <v>5.0169237057220704</v>
      </c>
      <c r="AS106" s="244">
        <v>3.5411185286103501</v>
      </c>
      <c r="AT106" s="244">
        <v>1.8846457765667599</v>
      </c>
      <c r="AU106" s="244">
        <v>1.21808174386921</v>
      </c>
      <c r="AV106" s="244">
        <v>2.8810517711171699</v>
      </c>
      <c r="AW106" s="244">
        <v>2.8207316076294302</v>
      </c>
      <c r="AX106" s="244">
        <v>0.74462670299727496</v>
      </c>
      <c r="AY106" s="244">
        <v>3.3653065395095401</v>
      </c>
      <c r="AZ106" s="244">
        <v>3.4568024523160799</v>
      </c>
      <c r="BA106" s="244">
        <v>3.5604332425068099</v>
      </c>
      <c r="BB106" s="244">
        <v>6.9953732970027298</v>
      </c>
      <c r="BC106" s="244">
        <v>9.0722697547683993</v>
      </c>
      <c r="BD106" s="244">
        <v>3.2743147138964601</v>
      </c>
      <c r="BE106" s="244">
        <v>2.1828324250681201</v>
      </c>
      <c r="BF106" s="244">
        <v>2.48076430517711</v>
      </c>
      <c r="BG106" s="244">
        <v>2.5837547683923701</v>
      </c>
      <c r="BH106" s="244">
        <v>29.9898910081744</v>
      </c>
      <c r="BI106" s="244">
        <v>10.695245231607601</v>
      </c>
      <c r="BJ106" s="244">
        <v>6.8147138964577696</v>
      </c>
      <c r="BK106" s="244">
        <v>5.8132152588555899</v>
      </c>
      <c r="BL106" s="244">
        <v>0</v>
      </c>
      <c r="BM106" s="244">
        <v>0</v>
      </c>
      <c r="BN106" s="244">
        <v>176.13446866485</v>
      </c>
      <c r="BO106" s="244">
        <v>1088.07371934605</v>
      </c>
      <c r="BP106" s="244">
        <v>210.24523160762899</v>
      </c>
      <c r="BQ106" s="244">
        <v>375.85280653951003</v>
      </c>
      <c r="BR106" s="244">
        <v>16.6108310626703</v>
      </c>
      <c r="BS106" s="244">
        <v>4.91955040871935</v>
      </c>
      <c r="BT106" s="244">
        <v>145.192861035422</v>
      </c>
      <c r="BU106" s="244">
        <v>18.9808174386921</v>
      </c>
      <c r="BV106" s="244">
        <v>41.880381471389697</v>
      </c>
      <c r="BW106" s="244">
        <v>27.071389645776598</v>
      </c>
      <c r="BX106" s="244">
        <v>462.55805177111699</v>
      </c>
      <c r="BY106" s="244">
        <v>34.854700272479597</v>
      </c>
      <c r="BZ106" s="244">
        <v>96.512261580381505</v>
      </c>
      <c r="CA106" s="244">
        <v>3.0681198910081702</v>
      </c>
    </row>
    <row r="107" spans="1:79">
      <c r="A107" s="245">
        <v>41103</v>
      </c>
      <c r="B107" s="243" t="s">
        <v>563</v>
      </c>
      <c r="C107" s="27" t="s">
        <v>1686</v>
      </c>
      <c r="D107" s="246">
        <v>144</v>
      </c>
      <c r="E107" s="248">
        <v>212.771117166213</v>
      </c>
      <c r="F107" s="244">
        <v>136.09818801089901</v>
      </c>
      <c r="G107" s="244">
        <v>13.658147138964599</v>
      </c>
      <c r="H107" s="244">
        <v>14.562792915531301</v>
      </c>
      <c r="I107" s="244">
        <v>6.5276294277929203</v>
      </c>
      <c r="J107" s="244">
        <v>1.8152861035422301</v>
      </c>
      <c r="K107" s="244">
        <v>0.37558651226158002</v>
      </c>
      <c r="L107" s="244">
        <v>0.101421014986376</v>
      </c>
      <c r="M107" s="244">
        <v>1.4028044277929199</v>
      </c>
      <c r="N107" s="244">
        <v>0.603776294277929</v>
      </c>
      <c r="O107" s="244">
        <v>0.13686689373297001</v>
      </c>
      <c r="P107" s="244">
        <v>16.781525885558601</v>
      </c>
      <c r="Q107" s="244">
        <v>0</v>
      </c>
      <c r="R107" s="244">
        <v>13.7867840599455</v>
      </c>
      <c r="S107" s="244">
        <v>1.1774277929155299</v>
      </c>
      <c r="T107" s="244">
        <v>0.84922615803814705</v>
      </c>
      <c r="U107" s="244">
        <v>43.529196185286096</v>
      </c>
      <c r="V107" s="244">
        <v>0.985683923705722</v>
      </c>
      <c r="W107" s="244">
        <v>10.838136920980901</v>
      </c>
      <c r="X107" s="244">
        <v>2.2070844686648501</v>
      </c>
      <c r="Y107" s="244">
        <v>111.136467983651</v>
      </c>
      <c r="Z107" s="244">
        <v>412.12529700272501</v>
      </c>
      <c r="AA107" s="244">
        <v>0</v>
      </c>
      <c r="AB107" s="244">
        <v>0</v>
      </c>
      <c r="AC107" s="244">
        <v>4.7284543596730302</v>
      </c>
      <c r="AD107" s="244">
        <v>41.4360490463215</v>
      </c>
      <c r="AE107" s="244">
        <v>0.31372343324250701</v>
      </c>
      <c r="AF107" s="244">
        <v>1.3190708446866499</v>
      </c>
      <c r="AG107" s="244">
        <v>0.31207356948228898</v>
      </c>
      <c r="AH107" s="244">
        <v>181.77391008174399</v>
      </c>
      <c r="AI107" s="244">
        <v>297.065742506812</v>
      </c>
      <c r="AJ107" s="244">
        <v>12.7416757493188</v>
      </c>
      <c r="AK107" s="244">
        <v>1.26134877384196</v>
      </c>
      <c r="AL107" s="244">
        <v>2.66626702997275</v>
      </c>
      <c r="AM107" s="244">
        <v>3.6400817438692101</v>
      </c>
      <c r="AN107" s="244">
        <v>7.6590326975476799</v>
      </c>
      <c r="AO107" s="244">
        <v>29.972752043596699</v>
      </c>
      <c r="AP107" s="244">
        <v>0.30997820163487699</v>
      </c>
      <c r="AQ107" s="244">
        <v>0.49607901907356999</v>
      </c>
      <c r="AR107" s="244">
        <v>0.95441689373297001</v>
      </c>
      <c r="AS107" s="244">
        <v>0.99823024523160797</v>
      </c>
      <c r="AT107" s="244">
        <v>0.41957765667574898</v>
      </c>
      <c r="AU107" s="244">
        <v>0.100098092643052</v>
      </c>
      <c r="AV107" s="244">
        <v>0.53718256130790198</v>
      </c>
      <c r="AW107" s="244">
        <v>0.57697138964577699</v>
      </c>
      <c r="AX107" s="244">
        <v>0.190730245231608</v>
      </c>
      <c r="AY107" s="244">
        <v>0.60901226158038202</v>
      </c>
      <c r="AZ107" s="244">
        <v>1.3886825613078999</v>
      </c>
      <c r="BA107" s="244">
        <v>0.88386648501362397</v>
      </c>
      <c r="BB107" s="244">
        <v>1.28376566757493</v>
      </c>
      <c r="BC107" s="244">
        <v>2.3529782016348801</v>
      </c>
      <c r="BD107" s="244">
        <v>0.90946457765667599</v>
      </c>
      <c r="BE107" s="244">
        <v>0.572696185286104</v>
      </c>
      <c r="BF107" s="244">
        <v>0.52654087193460497</v>
      </c>
      <c r="BG107" s="244">
        <v>0.39514441416893697</v>
      </c>
      <c r="BH107" s="244">
        <v>29.9898910081744</v>
      </c>
      <c r="BI107" s="244">
        <v>10.695245231607601</v>
      </c>
      <c r="BJ107" s="244">
        <v>6.8147138964577696</v>
      </c>
      <c r="BK107" s="244">
        <v>37.704223433242497</v>
      </c>
      <c r="BL107" s="244">
        <v>0</v>
      </c>
      <c r="BM107" s="244">
        <v>0</v>
      </c>
      <c r="BN107" s="244">
        <v>0.494141689373297</v>
      </c>
      <c r="BO107" s="244">
        <v>200.28080381471401</v>
      </c>
      <c r="BP107" s="244">
        <v>76.566757493188007</v>
      </c>
      <c r="BQ107" s="244">
        <v>140.26697547683901</v>
      </c>
      <c r="BR107" s="244">
        <v>5.0173705722070796</v>
      </c>
      <c r="BS107" s="244">
        <v>4.5980926430517703E-2</v>
      </c>
      <c r="BT107" s="244">
        <v>140.738910081744</v>
      </c>
      <c r="BU107" s="244">
        <v>18.9808174386921</v>
      </c>
      <c r="BV107" s="244">
        <v>10.361035422343299</v>
      </c>
      <c r="BW107" s="244">
        <v>20.998910081743901</v>
      </c>
      <c r="BX107" s="244">
        <v>76.035435967302504</v>
      </c>
      <c r="BY107" s="244">
        <v>8.9822207084468708</v>
      </c>
      <c r="BZ107" s="244">
        <v>35.463760217983697</v>
      </c>
      <c r="CA107" s="244">
        <v>3.0681198910081702</v>
      </c>
    </row>
    <row r="108" spans="1:79">
      <c r="A108" s="245">
        <v>41104</v>
      </c>
      <c r="B108" s="243" t="s">
        <v>567</v>
      </c>
      <c r="C108" s="27" t="s">
        <v>1686</v>
      </c>
      <c r="D108" s="246">
        <v>145</v>
      </c>
      <c r="E108" s="248">
        <v>203.77929155313299</v>
      </c>
      <c r="F108" s="244">
        <v>134.58156675749299</v>
      </c>
      <c r="G108" s="244">
        <v>11.5420708446867</v>
      </c>
      <c r="H108" s="244">
        <v>14.4429019073569</v>
      </c>
      <c r="I108" s="244">
        <v>6.5276294277929203</v>
      </c>
      <c r="J108" s="244">
        <v>1.8152861035422301</v>
      </c>
      <c r="K108" s="244">
        <v>3.7493869209809301E-2</v>
      </c>
      <c r="L108" s="244">
        <v>9.0091314713896503E-2</v>
      </c>
      <c r="M108" s="244">
        <v>0.88919134877384198</v>
      </c>
      <c r="N108" s="244">
        <v>0.13620136239781999</v>
      </c>
      <c r="O108" s="244">
        <v>0.19729196185286099</v>
      </c>
      <c r="P108" s="244">
        <v>8.7248501362397803</v>
      </c>
      <c r="Q108" s="244">
        <v>0</v>
      </c>
      <c r="R108" s="244">
        <v>13.7867840599455</v>
      </c>
      <c r="S108" s="244">
        <v>0.77441416893732995</v>
      </c>
      <c r="T108" s="244">
        <v>0.42361307901907402</v>
      </c>
      <c r="U108" s="244">
        <v>43.529196185286096</v>
      </c>
      <c r="V108" s="244">
        <v>0</v>
      </c>
      <c r="W108" s="244">
        <v>9.8524529972752095</v>
      </c>
      <c r="X108" s="244">
        <v>2.2070844686648501</v>
      </c>
      <c r="Y108" s="244">
        <v>111.136467983651</v>
      </c>
      <c r="Z108" s="244">
        <v>412.12529700272501</v>
      </c>
      <c r="AA108" s="244">
        <v>0</v>
      </c>
      <c r="AB108" s="244">
        <v>0</v>
      </c>
      <c r="AC108" s="244">
        <v>4.7284543596730302</v>
      </c>
      <c r="AD108" s="244">
        <v>189.723242506812</v>
      </c>
      <c r="AE108" s="244">
        <v>0.30347275204359703</v>
      </c>
      <c r="AF108" s="244">
        <v>1.6125640326975501</v>
      </c>
      <c r="AG108" s="244">
        <v>0.25212806539509502</v>
      </c>
      <c r="AH108" s="244">
        <v>143.25292915531301</v>
      </c>
      <c r="AI108" s="244">
        <v>301.79679155313403</v>
      </c>
      <c r="AJ108" s="244">
        <v>0.24303814713896499</v>
      </c>
      <c r="AK108" s="244">
        <v>1.1714305177111699</v>
      </c>
      <c r="AL108" s="244">
        <v>2.7082288828337902</v>
      </c>
      <c r="AM108" s="244">
        <v>3.6400817438692101</v>
      </c>
      <c r="AN108" s="244">
        <v>7.9887329700272502</v>
      </c>
      <c r="AO108" s="244">
        <v>28.0245231607629</v>
      </c>
      <c r="AP108" s="244">
        <v>2.0441416893733001E-2</v>
      </c>
      <c r="AQ108" s="244">
        <v>3.9294277929155297E-2</v>
      </c>
      <c r="AR108" s="244">
        <v>5.94305177111717E-2</v>
      </c>
      <c r="AS108" s="244">
        <v>4.0301089918256101E-2</v>
      </c>
      <c r="AT108" s="244">
        <v>1.43460490463215E-2</v>
      </c>
      <c r="AU108" s="244">
        <v>1.3177111716621301E-2</v>
      </c>
      <c r="AV108" s="244">
        <v>4.5629427792915497E-2</v>
      </c>
      <c r="AW108" s="244">
        <v>3.9260217983651202E-2</v>
      </c>
      <c r="AX108" s="244">
        <v>1.3291553133515E-2</v>
      </c>
      <c r="AY108" s="244">
        <v>4.4325613079019097E-2</v>
      </c>
      <c r="AZ108" s="244">
        <v>5.78923705722071E-2</v>
      </c>
      <c r="BA108" s="244">
        <v>0.119561307901907</v>
      </c>
      <c r="BB108" s="244">
        <v>0.143602179836512</v>
      </c>
      <c r="BC108" s="244">
        <v>0.26028065395095401</v>
      </c>
      <c r="BD108" s="244">
        <v>6.1235694822888299E-2</v>
      </c>
      <c r="BE108" s="244">
        <v>3.6783378746594E-2</v>
      </c>
      <c r="BF108" s="244">
        <v>4.0982288828337897E-2</v>
      </c>
      <c r="BG108" s="244">
        <v>3.00762942779292E-2</v>
      </c>
      <c r="BH108" s="244">
        <v>29.9898910081744</v>
      </c>
      <c r="BI108" s="244">
        <v>10.695245231607601</v>
      </c>
      <c r="BJ108" s="244">
        <v>6.8147138964577696</v>
      </c>
      <c r="BK108" s="244">
        <v>39.562534059945499</v>
      </c>
      <c r="BL108" s="244">
        <v>0</v>
      </c>
      <c r="BM108" s="244">
        <v>0</v>
      </c>
      <c r="BN108" s="244">
        <v>23.8728882833787</v>
      </c>
      <c r="BO108" s="244">
        <v>329.16363760218002</v>
      </c>
      <c r="BP108" s="244">
        <v>60.645231607629398</v>
      </c>
      <c r="BQ108" s="244">
        <v>255.961798365123</v>
      </c>
      <c r="BR108" s="244">
        <v>10.6042915531335</v>
      </c>
      <c r="BS108" s="244">
        <v>4.5980926430517703E-2</v>
      </c>
      <c r="BT108" s="244">
        <v>124.35580381471399</v>
      </c>
      <c r="BU108" s="244">
        <v>18.9808174386921</v>
      </c>
      <c r="BV108" s="244">
        <v>47.287465940054503</v>
      </c>
      <c r="BW108" s="244">
        <v>79.727520435967307</v>
      </c>
      <c r="BX108" s="244">
        <v>179.615272479564</v>
      </c>
      <c r="BY108" s="244">
        <v>45.237261580381499</v>
      </c>
      <c r="BZ108" s="244">
        <v>191.82561307901901</v>
      </c>
      <c r="CA108" s="244">
        <v>3.0681198910081702</v>
      </c>
    </row>
    <row r="109" spans="1:79">
      <c r="A109" s="245">
        <v>41105</v>
      </c>
      <c r="B109" s="243" t="s">
        <v>571</v>
      </c>
      <c r="C109" s="27" t="s">
        <v>1686</v>
      </c>
      <c r="D109" s="246">
        <v>146</v>
      </c>
      <c r="E109" s="248">
        <v>230.15531335149899</v>
      </c>
      <c r="F109" s="244">
        <v>133.32870572207099</v>
      </c>
      <c r="G109" s="244">
        <v>11.7398910081744</v>
      </c>
      <c r="H109" s="244">
        <v>17.3322752043597</v>
      </c>
      <c r="I109" s="244">
        <v>6.5276294277929203</v>
      </c>
      <c r="J109" s="244">
        <v>1.8152861035422301</v>
      </c>
      <c r="K109" s="244">
        <v>3.0300408719346E-2</v>
      </c>
      <c r="L109" s="244">
        <v>7.8761614441416897E-2</v>
      </c>
      <c r="M109" s="244">
        <v>0.34536573569482298</v>
      </c>
      <c r="N109" s="244">
        <v>0.13620136239781999</v>
      </c>
      <c r="O109" s="244">
        <v>0.18722111716621301</v>
      </c>
      <c r="P109" s="244">
        <v>8.7248501362397803</v>
      </c>
      <c r="Q109" s="244">
        <v>2.4038147138964598</v>
      </c>
      <c r="R109" s="244">
        <v>13.7867840599455</v>
      </c>
      <c r="S109" s="244">
        <v>0.77441416893732995</v>
      </c>
      <c r="T109" s="244">
        <v>0.42361307901907402</v>
      </c>
      <c r="U109" s="244">
        <v>43.529196185286096</v>
      </c>
      <c r="V109" s="244">
        <v>27.676839237057202</v>
      </c>
      <c r="W109" s="244">
        <v>38.534398501362404</v>
      </c>
      <c r="X109" s="244">
        <v>2.2070844686648501</v>
      </c>
      <c r="Y109" s="244">
        <v>123.202598773842</v>
      </c>
      <c r="Z109" s="244">
        <v>412.12529700272501</v>
      </c>
      <c r="AA109" s="244">
        <v>0</v>
      </c>
      <c r="AB109" s="244">
        <v>0</v>
      </c>
      <c r="AC109" s="244">
        <v>4.7284543596730302</v>
      </c>
      <c r="AD109" s="244">
        <v>609.73741144414203</v>
      </c>
      <c r="AE109" s="244">
        <v>0.29322207084468699</v>
      </c>
      <c r="AF109" s="244">
        <v>2.1791689373296999</v>
      </c>
      <c r="AG109" s="244">
        <v>0.25212806539509502</v>
      </c>
      <c r="AH109" s="244">
        <v>305.59134877384201</v>
      </c>
      <c r="AI109" s="244">
        <v>244.51594005449601</v>
      </c>
      <c r="AJ109" s="244">
        <v>0.24303814713896499</v>
      </c>
      <c r="AK109" s="244">
        <v>0.42211171662125302</v>
      </c>
      <c r="AL109" s="244">
        <v>2.01885558583106</v>
      </c>
      <c r="AM109" s="244">
        <v>2.9447138964577699</v>
      </c>
      <c r="AN109" s="244">
        <v>7.3952724795640297</v>
      </c>
      <c r="AO109" s="244">
        <v>0</v>
      </c>
      <c r="AP109" s="244">
        <v>2.0441416893733001E-2</v>
      </c>
      <c r="AQ109" s="244">
        <v>3.9294277929155297E-2</v>
      </c>
      <c r="AR109" s="244">
        <v>5.94305177111717E-2</v>
      </c>
      <c r="AS109" s="244">
        <v>4.0301089918256101E-2</v>
      </c>
      <c r="AT109" s="244">
        <v>1.43460490463215E-2</v>
      </c>
      <c r="AU109" s="244">
        <v>1.3177111716621301E-2</v>
      </c>
      <c r="AV109" s="244">
        <v>4.5629427792915497E-2</v>
      </c>
      <c r="AW109" s="244">
        <v>3.9260217983651202E-2</v>
      </c>
      <c r="AX109" s="244">
        <v>1.3291553133515E-2</v>
      </c>
      <c r="AY109" s="244">
        <v>4.4325613079019097E-2</v>
      </c>
      <c r="AZ109" s="244">
        <v>5.78923705722071E-2</v>
      </c>
      <c r="BA109" s="244">
        <v>0.119561307901907</v>
      </c>
      <c r="BB109" s="244">
        <v>0.143602179836512</v>
      </c>
      <c r="BC109" s="244">
        <v>0.26028065395095401</v>
      </c>
      <c r="BD109" s="244">
        <v>6.1235694822888299E-2</v>
      </c>
      <c r="BE109" s="244">
        <v>3.6783378746594E-2</v>
      </c>
      <c r="BF109" s="244">
        <v>4.0982288828337897E-2</v>
      </c>
      <c r="BG109" s="244">
        <v>3.00762942779292E-2</v>
      </c>
      <c r="BH109" s="244">
        <v>29.9898910081744</v>
      </c>
      <c r="BI109" s="244">
        <v>10.695245231607601</v>
      </c>
      <c r="BJ109" s="244">
        <v>6.8147138964577696</v>
      </c>
      <c r="BK109" s="244">
        <v>5.8132152588555899</v>
      </c>
      <c r="BL109" s="244">
        <v>0</v>
      </c>
      <c r="BM109" s="244">
        <v>0</v>
      </c>
      <c r="BN109" s="244">
        <v>0.494141689373297</v>
      </c>
      <c r="BO109" s="244">
        <v>38.427942779291598</v>
      </c>
      <c r="BP109" s="244">
        <v>8.8283378746594003</v>
      </c>
      <c r="BQ109" s="244">
        <v>59.94</v>
      </c>
      <c r="BR109" s="244">
        <v>0.50946866485013598</v>
      </c>
      <c r="BS109" s="244">
        <v>4.5980926430517703E-2</v>
      </c>
      <c r="BT109" s="244">
        <v>111.101852861035</v>
      </c>
      <c r="BU109" s="244">
        <v>18.9808174386921</v>
      </c>
      <c r="BV109" s="244">
        <v>10.361035422343299</v>
      </c>
      <c r="BW109" s="244">
        <v>0</v>
      </c>
      <c r="BX109" s="244">
        <v>30.3509673024523</v>
      </c>
      <c r="BY109" s="244">
        <v>0.13426430517711199</v>
      </c>
      <c r="BZ109" s="244">
        <v>0</v>
      </c>
      <c r="CA109" s="244">
        <v>3.0681198910081702</v>
      </c>
    </row>
    <row r="110" spans="1:79">
      <c r="A110" s="245">
        <v>41703</v>
      </c>
      <c r="B110" s="243" t="s">
        <v>1721</v>
      </c>
      <c r="C110" s="27" t="s">
        <v>1686</v>
      </c>
      <c r="D110" s="246">
        <v>147</v>
      </c>
      <c r="E110" s="248">
        <v>507.87209302325601</v>
      </c>
      <c r="F110" s="244">
        <v>83.130465116279098</v>
      </c>
      <c r="G110" s="244">
        <v>27.046395348837201</v>
      </c>
      <c r="H110" s="244">
        <v>35.110232558139501</v>
      </c>
      <c r="I110" s="244">
        <v>20.588372093023299</v>
      </c>
      <c r="J110" s="244">
        <v>3.1917441860465101</v>
      </c>
      <c r="K110" s="244">
        <v>0.140502325581395</v>
      </c>
      <c r="L110" s="244">
        <v>0.27543720930232601</v>
      </c>
      <c r="M110" s="244">
        <v>1.1474534883720899</v>
      </c>
      <c r="N110" s="244">
        <v>0.73813953488372097</v>
      </c>
      <c r="O110" s="244">
        <v>0.65245348837209305</v>
      </c>
      <c r="P110" s="244">
        <v>18.958837209302299</v>
      </c>
      <c r="Q110" s="244">
        <v>0</v>
      </c>
      <c r="R110" s="244">
        <v>12.6112093023256</v>
      </c>
      <c r="S110" s="244">
        <v>1.5184651162790701</v>
      </c>
      <c r="T110" s="244">
        <v>3.0091860465116298</v>
      </c>
      <c r="U110" s="244">
        <v>63.663953488372101</v>
      </c>
      <c r="V110" s="244">
        <v>0</v>
      </c>
      <c r="W110" s="244">
        <v>10.264651162790701</v>
      </c>
      <c r="X110" s="244">
        <v>0</v>
      </c>
      <c r="Y110" s="244">
        <v>169.46127906976699</v>
      </c>
      <c r="Z110" s="244">
        <v>82.269883720930295</v>
      </c>
      <c r="AA110" s="244">
        <v>0.42372093023255802</v>
      </c>
      <c r="AB110" s="244">
        <v>18.593023255814</v>
      </c>
      <c r="AC110" s="244">
        <v>35.1249302325581</v>
      </c>
      <c r="AD110" s="244">
        <v>398.17127906976702</v>
      </c>
      <c r="AE110" s="244">
        <v>0.39981395348837201</v>
      </c>
      <c r="AF110" s="244">
        <v>2.1220930232558102</v>
      </c>
      <c r="AG110" s="244">
        <v>0.276883720930233</v>
      </c>
      <c r="AH110" s="244">
        <v>290.80553488372101</v>
      </c>
      <c r="AI110" s="244">
        <v>591.51663953488401</v>
      </c>
      <c r="AJ110" s="244">
        <v>59.0922093023256</v>
      </c>
      <c r="AK110" s="244">
        <v>0.83051162790697697</v>
      </c>
      <c r="AL110" s="244">
        <v>4.9562790697674401</v>
      </c>
      <c r="AM110" s="244">
        <v>7.18348837209302</v>
      </c>
      <c r="AN110" s="244">
        <v>18.223523255814001</v>
      </c>
      <c r="AO110" s="244">
        <v>0</v>
      </c>
      <c r="AP110" s="244">
        <v>6.4895348837209293E-2</v>
      </c>
      <c r="AQ110" s="244">
        <v>0.10168604651162801</v>
      </c>
      <c r="AR110" s="244">
        <v>0.17299999999999999</v>
      </c>
      <c r="AS110" s="244">
        <v>0.13658139534883701</v>
      </c>
      <c r="AT110" s="244">
        <v>3.8383720930232602E-2</v>
      </c>
      <c r="AU110" s="244">
        <v>6.1546511627907002E-2</v>
      </c>
      <c r="AV110" s="244">
        <v>0.15173255813953501</v>
      </c>
      <c r="AW110" s="244">
        <v>0.121081395348837</v>
      </c>
      <c r="AX110" s="244">
        <v>3.3337209302325602E-2</v>
      </c>
      <c r="AY110" s="244">
        <v>0.149348837209302</v>
      </c>
      <c r="AZ110" s="244">
        <v>0.17277906976744201</v>
      </c>
      <c r="BA110" s="244">
        <v>0.46696511627907</v>
      </c>
      <c r="BB110" s="244">
        <v>0.39956976744186001</v>
      </c>
      <c r="BC110" s="244">
        <v>0.663953488372093</v>
      </c>
      <c r="BD110" s="244">
        <v>0.14196511627906999</v>
      </c>
      <c r="BE110" s="244">
        <v>0.14570930232558099</v>
      </c>
      <c r="BF110" s="244">
        <v>0.150674418604651</v>
      </c>
      <c r="BG110" s="244">
        <v>0.11254651162790701</v>
      </c>
      <c r="BH110" s="244">
        <v>57.8393023255814</v>
      </c>
      <c r="BI110" s="244">
        <v>40.204767441860497</v>
      </c>
      <c r="BJ110" s="244">
        <v>7.7209302325581399</v>
      </c>
      <c r="BK110" s="244">
        <v>9.1999999999999993</v>
      </c>
      <c r="BL110" s="244">
        <v>0</v>
      </c>
      <c r="BM110" s="244">
        <v>0</v>
      </c>
      <c r="BN110" s="244">
        <v>0.70069767441860498</v>
      </c>
      <c r="BO110" s="244">
        <v>53.440581395348801</v>
      </c>
      <c r="BP110" s="244">
        <v>0</v>
      </c>
      <c r="BQ110" s="244">
        <v>37.632790697674402</v>
      </c>
      <c r="BR110" s="244">
        <v>7.8488372093023298E-2</v>
      </c>
      <c r="BS110" s="244">
        <v>0</v>
      </c>
      <c r="BT110" s="244">
        <v>126.633023255814</v>
      </c>
      <c r="BU110" s="244">
        <v>14.1436046511628</v>
      </c>
      <c r="BV110" s="244">
        <v>0</v>
      </c>
      <c r="BW110" s="244">
        <v>0</v>
      </c>
      <c r="BX110" s="244">
        <v>42.923372093023303</v>
      </c>
      <c r="BY110" s="244">
        <v>0</v>
      </c>
      <c r="BZ110" s="244">
        <v>0</v>
      </c>
      <c r="CA110" s="244">
        <v>4.6162790697674403</v>
      </c>
    </row>
    <row r="111" spans="1:79">
      <c r="A111" s="245">
        <v>44601</v>
      </c>
      <c r="B111" s="243" t="s">
        <v>1722</v>
      </c>
      <c r="C111" s="27" t="s">
        <v>1686</v>
      </c>
      <c r="D111" s="246">
        <v>148</v>
      </c>
      <c r="E111" s="248">
        <v>411.802325581395</v>
      </c>
      <c r="F111" s="244">
        <v>108.389302325581</v>
      </c>
      <c r="G111" s="244">
        <v>17.514534883720899</v>
      </c>
      <c r="H111" s="244">
        <v>32.639302325581397</v>
      </c>
      <c r="I111" s="244">
        <v>12.5588372093023</v>
      </c>
      <c r="J111" s="244">
        <v>1.5708139534883701</v>
      </c>
      <c r="K111" s="244">
        <v>6.5465116279069799E-2</v>
      </c>
      <c r="L111" s="244">
        <v>8.7093023255814001E-2</v>
      </c>
      <c r="M111" s="244">
        <v>0.28697674418604702</v>
      </c>
      <c r="N111" s="244">
        <v>0.57209302325581401</v>
      </c>
      <c r="O111" s="244">
        <v>0.44627906976744203</v>
      </c>
      <c r="P111" s="244">
        <v>8.8023255813953494</v>
      </c>
      <c r="Q111" s="244">
        <v>0</v>
      </c>
      <c r="R111" s="244">
        <v>9.0744186046511608</v>
      </c>
      <c r="S111" s="244">
        <v>0.79616279069767504</v>
      </c>
      <c r="T111" s="244">
        <v>2.8273255813953502</v>
      </c>
      <c r="U111" s="244">
        <v>61.331395348837198</v>
      </c>
      <c r="V111" s="244">
        <v>0.68790697674418599</v>
      </c>
      <c r="W111" s="244">
        <v>10.3988325581395</v>
      </c>
      <c r="X111" s="244">
        <v>0</v>
      </c>
      <c r="Y111" s="244">
        <v>103.48159069767399</v>
      </c>
      <c r="Z111" s="244">
        <v>25.632209302325599</v>
      </c>
      <c r="AA111" s="244">
        <v>0.42372093023255802</v>
      </c>
      <c r="AB111" s="244">
        <v>18.593023255814</v>
      </c>
      <c r="AC111" s="244">
        <v>32.578488372092998</v>
      </c>
      <c r="AD111" s="244">
        <v>32.825465116279098</v>
      </c>
      <c r="AE111" s="244">
        <v>0.606186046511628</v>
      </c>
      <c r="AF111" s="244">
        <v>1.20290697674419</v>
      </c>
      <c r="AG111" s="244">
        <v>0.217581395348837</v>
      </c>
      <c r="AH111" s="244">
        <v>160.35939534883701</v>
      </c>
      <c r="AI111" s="244">
        <v>494.87895348837202</v>
      </c>
      <c r="AJ111" s="244">
        <v>16.105930232558102</v>
      </c>
      <c r="AK111" s="244">
        <v>1.3223255813953501</v>
      </c>
      <c r="AL111" s="244">
        <v>4.9365116279069801</v>
      </c>
      <c r="AM111" s="244">
        <v>7.1795348837209296</v>
      </c>
      <c r="AN111" s="244">
        <v>18.183988372093001</v>
      </c>
      <c r="AO111" s="244">
        <v>0</v>
      </c>
      <c r="AP111" s="244">
        <v>3.7220930232558097E-2</v>
      </c>
      <c r="AQ111" s="244">
        <v>6.5709302325581406E-2</v>
      </c>
      <c r="AR111" s="244">
        <v>0.108558139534884</v>
      </c>
      <c r="AS111" s="244">
        <v>0.10100000000000001</v>
      </c>
      <c r="AT111" s="244">
        <v>2.4151162790697699E-2</v>
      </c>
      <c r="AU111" s="244">
        <v>4.4151162790697702E-2</v>
      </c>
      <c r="AV111" s="244">
        <v>9.2430232558139494E-2</v>
      </c>
      <c r="AW111" s="244">
        <v>8.2337209302325604E-2</v>
      </c>
      <c r="AX111" s="244">
        <v>2.1872093023255799E-2</v>
      </c>
      <c r="AY111" s="244">
        <v>9.2813953488372097E-2</v>
      </c>
      <c r="AZ111" s="244">
        <v>0.111104651162791</v>
      </c>
      <c r="BA111" s="244">
        <v>0.37880232558139498</v>
      </c>
      <c r="BB111" s="244">
        <v>0.28017441860465098</v>
      </c>
      <c r="BC111" s="244">
        <v>0.50027906976744196</v>
      </c>
      <c r="BD111" s="244">
        <v>9.4127906976744197E-2</v>
      </c>
      <c r="BE111" s="244">
        <v>9.5104651162790696E-2</v>
      </c>
      <c r="BF111" s="244">
        <v>8.8209302325581398E-2</v>
      </c>
      <c r="BG111" s="244">
        <v>7.9732558139534906E-2</v>
      </c>
      <c r="BH111" s="244">
        <v>39.534651162790702</v>
      </c>
      <c r="BI111" s="244">
        <v>16.879186046511599</v>
      </c>
      <c r="BJ111" s="244">
        <v>1.7906976744186001</v>
      </c>
      <c r="BK111" s="244">
        <v>9.1999999999999993</v>
      </c>
      <c r="BL111" s="244">
        <v>0</v>
      </c>
      <c r="BM111" s="244">
        <v>0</v>
      </c>
      <c r="BN111" s="244">
        <v>0.70069767441860498</v>
      </c>
      <c r="BO111" s="244">
        <v>143.018720930233</v>
      </c>
      <c r="BP111" s="244">
        <v>17.434883720930198</v>
      </c>
      <c r="BQ111" s="244">
        <v>135.268139534884</v>
      </c>
      <c r="BR111" s="244">
        <v>7.8488372093023298E-2</v>
      </c>
      <c r="BS111" s="244">
        <v>0</v>
      </c>
      <c r="BT111" s="244">
        <v>137.078139534884</v>
      </c>
      <c r="BU111" s="244">
        <v>7.8101162790697698</v>
      </c>
      <c r="BV111" s="244">
        <v>0</v>
      </c>
      <c r="BW111" s="244">
        <v>31.113953488372101</v>
      </c>
      <c r="BX111" s="244">
        <v>75.753139534883701</v>
      </c>
      <c r="BY111" s="244">
        <v>45.876279069767399</v>
      </c>
      <c r="BZ111" s="244">
        <v>10.065581395348801</v>
      </c>
      <c r="CA111" s="244">
        <v>8.5697674418604706</v>
      </c>
    </row>
    <row r="112" spans="1:79">
      <c r="A112" s="245">
        <v>55102</v>
      </c>
      <c r="B112" s="243" t="s">
        <v>1723</v>
      </c>
      <c r="C112" s="27" t="s">
        <v>1686</v>
      </c>
      <c r="D112" s="246">
        <v>149</v>
      </c>
      <c r="E112" s="248">
        <v>160.106433333333</v>
      </c>
      <c r="F112" s="244">
        <v>166.93461802898599</v>
      </c>
      <c r="G112" s="244">
        <v>4.4036740289855096</v>
      </c>
      <c r="H112" s="244">
        <v>8.4643369275362303</v>
      </c>
      <c r="I112" s="244">
        <v>15.9192123478261</v>
      </c>
      <c r="J112" s="244">
        <v>3.0749281159420301</v>
      </c>
      <c r="K112" s="244">
        <v>7.1610231884058004E-2</v>
      </c>
      <c r="L112" s="244">
        <v>0.108032942028986</v>
      </c>
      <c r="M112" s="244">
        <v>0.74746067826087004</v>
      </c>
      <c r="N112" s="244">
        <v>0.45820408695652198</v>
      </c>
      <c r="O112" s="244">
        <v>0.31618818840579699</v>
      </c>
      <c r="P112" s="244">
        <v>12.134398979710101</v>
      </c>
      <c r="Q112" s="244">
        <v>0</v>
      </c>
      <c r="R112" s="244">
        <v>17.535503623188401</v>
      </c>
      <c r="S112" s="244">
        <v>0.79277431884058003</v>
      </c>
      <c r="T112" s="244">
        <v>0.221119768115942</v>
      </c>
      <c r="U112" s="244">
        <v>15.1738695652174</v>
      </c>
      <c r="V112" s="244">
        <v>0.32126364057971002</v>
      </c>
      <c r="W112" s="244">
        <v>3.3032577855072498</v>
      </c>
      <c r="X112" s="244">
        <v>1.88579710144928E-2</v>
      </c>
      <c r="Y112" s="244">
        <v>35.535469275362303</v>
      </c>
      <c r="Z112" s="244">
        <v>18.182431884058001</v>
      </c>
      <c r="AA112" s="244">
        <v>0</v>
      </c>
      <c r="AB112" s="244">
        <v>8.4173913043478293E-2</v>
      </c>
      <c r="AC112" s="244">
        <v>91.279377971014497</v>
      </c>
      <c r="AD112" s="244">
        <v>36.635819176811601</v>
      </c>
      <c r="AE112" s="244">
        <v>0.44315101449275401</v>
      </c>
      <c r="AF112" s="244">
        <v>2.2252212956521702</v>
      </c>
      <c r="AG112" s="244">
        <v>1.4104860869565199</v>
      </c>
      <c r="AH112" s="244">
        <v>58.783897913043504</v>
      </c>
      <c r="AI112" s="244">
        <v>353.296153043478</v>
      </c>
      <c r="AJ112" s="244">
        <v>7.2344590724637703</v>
      </c>
      <c r="AK112" s="244">
        <v>1.16759750724638</v>
      </c>
      <c r="AL112" s="244">
        <v>1.9907457971014499</v>
      </c>
      <c r="AM112" s="244">
        <v>2.0651181449275402</v>
      </c>
      <c r="AN112" s="244">
        <v>4.0542593623188399</v>
      </c>
      <c r="AO112" s="244">
        <v>34.179710144927498</v>
      </c>
      <c r="AP112" s="244">
        <v>0.91489101449275401</v>
      </c>
      <c r="AQ112" s="244">
        <v>0.81557866666666701</v>
      </c>
      <c r="AR112" s="244">
        <v>1.47396214492754</v>
      </c>
      <c r="AS112" s="244">
        <v>1.5374308289855101</v>
      </c>
      <c r="AT112" s="244">
        <v>1.1362158144927501</v>
      </c>
      <c r="AU112" s="244">
        <v>1.62826431304348</v>
      </c>
      <c r="AV112" s="244">
        <v>1.5213156405797099</v>
      </c>
      <c r="AW112" s="244">
        <v>0.93008642318840595</v>
      </c>
      <c r="AX112" s="244">
        <v>0.30704114782608699</v>
      </c>
      <c r="AY112" s="244">
        <v>0.876552915942029</v>
      </c>
      <c r="AZ112" s="244">
        <v>0.553137657971014</v>
      </c>
      <c r="BA112" s="244">
        <v>2.6236287072463802</v>
      </c>
      <c r="BB112" s="244">
        <v>2.0636634086956498</v>
      </c>
      <c r="BC112" s="244">
        <v>0.62460782608695697</v>
      </c>
      <c r="BD112" s="244">
        <v>1.10897150144928</v>
      </c>
      <c r="BE112" s="244">
        <v>0.74972995942028997</v>
      </c>
      <c r="BF112" s="244">
        <v>0.97686653913043398</v>
      </c>
      <c r="BG112" s="244">
        <v>0.66418944927536205</v>
      </c>
      <c r="BH112" s="244">
        <v>36.4666782608696</v>
      </c>
      <c r="BI112" s="244">
        <v>53.981530434782599</v>
      </c>
      <c r="BJ112" s="244">
        <v>11.7065217391304</v>
      </c>
      <c r="BK112" s="244">
        <v>13.8950724637681</v>
      </c>
      <c r="BL112" s="244">
        <v>0</v>
      </c>
      <c r="BM112" s="244">
        <v>6.1236231884057997</v>
      </c>
      <c r="BN112" s="244">
        <v>59.216840579710102</v>
      </c>
      <c r="BO112" s="244">
        <v>432.74857391304403</v>
      </c>
      <c r="BP112" s="244">
        <v>25.723913043478301</v>
      </c>
      <c r="BQ112" s="244">
        <v>518.210486956522</v>
      </c>
      <c r="BR112" s="244">
        <v>9.9237681159420301</v>
      </c>
      <c r="BS112" s="244">
        <v>1.1594202898550701</v>
      </c>
      <c r="BT112" s="244">
        <v>217.26184927536201</v>
      </c>
      <c r="BU112" s="244">
        <v>39.477820289855103</v>
      </c>
      <c r="BV112" s="244">
        <v>0</v>
      </c>
      <c r="BW112" s="244">
        <v>47.935507246376801</v>
      </c>
      <c r="BX112" s="244">
        <v>420.94361971014501</v>
      </c>
      <c r="BY112" s="244">
        <v>0</v>
      </c>
      <c r="BZ112" s="244">
        <v>0</v>
      </c>
      <c r="CA112" s="244">
        <v>2.3043478260869601</v>
      </c>
    </row>
    <row r="113" spans="1:79">
      <c r="A113" s="245">
        <v>55105</v>
      </c>
      <c r="B113" s="243" t="s">
        <v>1724</v>
      </c>
      <c r="C113" s="27" t="s">
        <v>1686</v>
      </c>
      <c r="D113" s="246">
        <v>150</v>
      </c>
      <c r="E113" s="248">
        <v>722.98435633709403</v>
      </c>
      <c r="F113" s="244">
        <v>40.763370935633702</v>
      </c>
      <c r="G113" s="244">
        <v>6.0105872594558702</v>
      </c>
      <c r="H113" s="244">
        <v>75.862295952222993</v>
      </c>
      <c r="I113" s="244">
        <v>3.9899203715992</v>
      </c>
      <c r="J113" s="244">
        <v>1.0469807564698099</v>
      </c>
      <c r="K113" s="244">
        <v>4.2442999336429997E-2</v>
      </c>
      <c r="L113" s="244">
        <v>3.3048772395487702E-2</v>
      </c>
      <c r="M113" s="244">
        <v>0.272926343729263</v>
      </c>
      <c r="N113" s="244">
        <v>7.2268745852687499E-2</v>
      </c>
      <c r="O113" s="244">
        <v>7.9601194426012004E-2</v>
      </c>
      <c r="P113" s="244">
        <v>3.1359820836098198</v>
      </c>
      <c r="Q113" s="244">
        <v>0</v>
      </c>
      <c r="R113" s="244">
        <v>1.56893662906437</v>
      </c>
      <c r="S113" s="244">
        <v>0.58052753815527502</v>
      </c>
      <c r="T113" s="244">
        <v>0.362915063039151</v>
      </c>
      <c r="U113" s="244">
        <v>21.0448341074983</v>
      </c>
      <c r="V113" s="244">
        <v>0</v>
      </c>
      <c r="W113" s="244">
        <v>6.7117252820172499</v>
      </c>
      <c r="X113" s="244">
        <v>2.7571333775713299E-2</v>
      </c>
      <c r="Y113" s="244">
        <v>72.021619110816204</v>
      </c>
      <c r="Z113" s="244">
        <v>18.8742899800929</v>
      </c>
      <c r="AA113" s="244">
        <v>0.27807564698075599</v>
      </c>
      <c r="AB113" s="244">
        <v>12.475779694757801</v>
      </c>
      <c r="AC113" s="244">
        <v>21.809505640345101</v>
      </c>
      <c r="AD113" s="244">
        <v>20.077501658925001</v>
      </c>
      <c r="AE113" s="244">
        <v>8.9907100199070999E-2</v>
      </c>
      <c r="AF113" s="244">
        <v>4.0968380889183802</v>
      </c>
      <c r="AG113" s="244">
        <v>0.39973788984737901</v>
      </c>
      <c r="AH113" s="244">
        <v>84.7984306569343</v>
      </c>
      <c r="AI113" s="244">
        <v>99.013138686131398</v>
      </c>
      <c r="AJ113" s="244">
        <v>0.31746516257465202</v>
      </c>
      <c r="AK113" s="244">
        <v>0.18650630391506301</v>
      </c>
      <c r="AL113" s="244">
        <v>1.4933377571333799</v>
      </c>
      <c r="AM113" s="244">
        <v>2.2189648307896501</v>
      </c>
      <c r="AN113" s="244">
        <v>5.5160447909754504</v>
      </c>
      <c r="AO113" s="244">
        <v>0</v>
      </c>
      <c r="AP113" s="244">
        <v>1.74263437292634E-2</v>
      </c>
      <c r="AQ113" s="244">
        <v>2.8207697412077001E-2</v>
      </c>
      <c r="AR113" s="244">
        <v>5.1315195753152E-2</v>
      </c>
      <c r="AS113" s="244">
        <v>3.1908427339084298E-2</v>
      </c>
      <c r="AT113" s="244">
        <v>1.05245520902455E-2</v>
      </c>
      <c r="AU113" s="244">
        <v>1.0917385534173899E-2</v>
      </c>
      <c r="AV113" s="244">
        <v>3.6646648971466501E-2</v>
      </c>
      <c r="AW113" s="244">
        <v>3.10962176509622E-2</v>
      </c>
      <c r="AX113" s="244">
        <v>8.9343065693430705E-3</v>
      </c>
      <c r="AY113" s="244">
        <v>3.4860650298606501E-2</v>
      </c>
      <c r="AZ113" s="244">
        <v>4.7475779694757803E-2</v>
      </c>
      <c r="BA113" s="244">
        <v>8.9598871930988699E-2</v>
      </c>
      <c r="BB113" s="244">
        <v>0.11277471798274701</v>
      </c>
      <c r="BC113" s="244">
        <v>0.19011944260119401</v>
      </c>
      <c r="BD113" s="244">
        <v>4.9727936297279403E-2</v>
      </c>
      <c r="BE113" s="244">
        <v>3.62179827471798E-2</v>
      </c>
      <c r="BF113" s="244">
        <v>3.9289980092899801E-2</v>
      </c>
      <c r="BG113" s="244">
        <v>2.4710683477106799E-2</v>
      </c>
      <c r="BH113" s="244">
        <v>20.331214333112101</v>
      </c>
      <c r="BI113" s="244">
        <v>12.719243530192401</v>
      </c>
      <c r="BJ113" s="244">
        <v>1.6224286662242899</v>
      </c>
      <c r="BK113" s="244">
        <v>1.72412076974121</v>
      </c>
      <c r="BL113" s="244">
        <v>0</v>
      </c>
      <c r="BM113" s="244">
        <v>0.52211347047113499</v>
      </c>
      <c r="BN113" s="244">
        <v>1.6968248175182501</v>
      </c>
      <c r="BO113" s="244">
        <v>30.5230889183809</v>
      </c>
      <c r="BP113" s="244">
        <v>2.4223623092236202</v>
      </c>
      <c r="BQ113" s="244">
        <v>86.166499668214996</v>
      </c>
      <c r="BR113" s="244">
        <v>5.15096217650962E-2</v>
      </c>
      <c r="BS113" s="244">
        <v>0.74319840743198395</v>
      </c>
      <c r="BT113" s="244">
        <v>98.2693895155939</v>
      </c>
      <c r="BU113" s="244">
        <v>7.77411745189118</v>
      </c>
      <c r="BV113" s="244">
        <v>0</v>
      </c>
      <c r="BW113" s="244">
        <v>0.22806901128068999</v>
      </c>
      <c r="BX113" s="244">
        <v>16.013370935633699</v>
      </c>
      <c r="BY113" s="244">
        <v>0</v>
      </c>
      <c r="BZ113" s="244">
        <v>0</v>
      </c>
      <c r="CA113" s="244">
        <v>0.99004644990046498</v>
      </c>
    </row>
    <row r="114" spans="1:79">
      <c r="A114" s="245">
        <v>32802</v>
      </c>
      <c r="B114" s="243" t="s">
        <v>1725</v>
      </c>
      <c r="C114" s="27" t="s">
        <v>1686</v>
      </c>
      <c r="D114" s="246">
        <v>151</v>
      </c>
      <c r="E114" s="248">
        <v>500.432878953108</v>
      </c>
      <c r="F114" s="244">
        <v>86.788811341330401</v>
      </c>
      <c r="G114" s="244">
        <v>2.5935005452562701</v>
      </c>
      <c r="H114" s="244">
        <v>20.359280261723001</v>
      </c>
      <c r="I114" s="244">
        <v>76.375768811341302</v>
      </c>
      <c r="J114" s="244">
        <v>0.730447110141767</v>
      </c>
      <c r="K114" s="244">
        <v>5.0160305343511499E-2</v>
      </c>
      <c r="L114" s="244">
        <v>8.2362050163576894E-2</v>
      </c>
      <c r="M114" s="244">
        <v>0.76374045801526702</v>
      </c>
      <c r="N114" s="244">
        <v>0.125459105779717</v>
      </c>
      <c r="O114" s="244">
        <v>0.54638822246455798</v>
      </c>
      <c r="P114" s="244">
        <v>10.1219302071974</v>
      </c>
      <c r="Q114" s="244">
        <v>0</v>
      </c>
      <c r="R114" s="244">
        <v>26.639683751363101</v>
      </c>
      <c r="S114" s="244">
        <v>17.269214830970601</v>
      </c>
      <c r="T114" s="244">
        <v>0.120174482006543</v>
      </c>
      <c r="U114" s="244">
        <v>0.86924754634678303</v>
      </c>
      <c r="V114" s="244">
        <v>0</v>
      </c>
      <c r="W114" s="244">
        <v>3.6548418756815702</v>
      </c>
      <c r="X114" s="244">
        <v>3.9149400218102502E-2</v>
      </c>
      <c r="Y114" s="244">
        <v>41.5920501635769</v>
      </c>
      <c r="Z114" s="244">
        <v>14.585970556161399</v>
      </c>
      <c r="AA114" s="244">
        <v>7.9476553980370804E-2</v>
      </c>
      <c r="AB114" s="244">
        <v>4.3871319520174499</v>
      </c>
      <c r="AC114" s="244">
        <v>7.5483315158124302</v>
      </c>
      <c r="AD114" s="244">
        <v>93.070545256270506</v>
      </c>
      <c r="AE114" s="244">
        <v>0.66581461286804799</v>
      </c>
      <c r="AF114" s="244">
        <v>2.51154852780807</v>
      </c>
      <c r="AG114" s="244">
        <v>0.77346346782987996</v>
      </c>
      <c r="AH114" s="244">
        <v>84.224056706652107</v>
      </c>
      <c r="AI114" s="244">
        <v>446.36736095965102</v>
      </c>
      <c r="AJ114" s="244">
        <v>0.27460196292257399</v>
      </c>
      <c r="AK114" s="244">
        <v>0.49028353326063201</v>
      </c>
      <c r="AL114" s="244">
        <v>1.2782660850599801</v>
      </c>
      <c r="AM114" s="244">
        <v>13.1863576881134</v>
      </c>
      <c r="AN114" s="244">
        <v>3.0791886586695698</v>
      </c>
      <c r="AO114" s="244">
        <v>0</v>
      </c>
      <c r="AP114" s="244">
        <v>5.10196292257361E-2</v>
      </c>
      <c r="AQ114" s="244">
        <v>9.1531079607415494E-2</v>
      </c>
      <c r="AR114" s="244">
        <v>0.103691384950927</v>
      </c>
      <c r="AS114" s="244">
        <v>6.5414394765539799E-2</v>
      </c>
      <c r="AT114" s="244">
        <v>2.2765539803707699E-2</v>
      </c>
      <c r="AU114" s="244">
        <v>3.0379498364231199E-2</v>
      </c>
      <c r="AV114" s="244">
        <v>0.117900763358779</v>
      </c>
      <c r="AW114" s="244">
        <v>6.7717557251908395E-2</v>
      </c>
      <c r="AX114" s="244">
        <v>2.2283533260632499E-2</v>
      </c>
      <c r="AY114" s="244">
        <v>0.117223555070883</v>
      </c>
      <c r="AZ114" s="244">
        <v>0.133959651035987</v>
      </c>
      <c r="BA114" s="244">
        <v>0.13468702290076301</v>
      </c>
      <c r="BB114" s="244">
        <v>0.84782115594329399</v>
      </c>
      <c r="BC114" s="244">
        <v>0.44250708833151597</v>
      </c>
      <c r="BD114" s="244">
        <v>9.1511450381679404E-2</v>
      </c>
      <c r="BE114" s="244">
        <v>6.9407851690294398E-2</v>
      </c>
      <c r="BF114" s="244">
        <v>0.10784405670665199</v>
      </c>
      <c r="BG114" s="244">
        <v>6.6658669574700097E-2</v>
      </c>
      <c r="BH114" s="244">
        <v>91.770065430752496</v>
      </c>
      <c r="BI114" s="244">
        <v>94.129149400218097</v>
      </c>
      <c r="BJ114" s="244">
        <v>1.4929116684841901</v>
      </c>
      <c r="BK114" s="244">
        <v>0.20130861504907299</v>
      </c>
      <c r="BL114" s="244">
        <v>0</v>
      </c>
      <c r="BM114" s="244">
        <v>1.9116248636859301</v>
      </c>
      <c r="BN114" s="244">
        <v>5.6879607415485296</v>
      </c>
      <c r="BO114" s="244">
        <v>124.783304252999</v>
      </c>
      <c r="BP114" s="244">
        <v>0</v>
      </c>
      <c r="BQ114" s="244">
        <v>227.53531079607399</v>
      </c>
      <c r="BR114" s="244">
        <v>2.5091275899672798</v>
      </c>
      <c r="BS114" s="244">
        <v>0</v>
      </c>
      <c r="BT114" s="244">
        <v>96.864601962922606</v>
      </c>
      <c r="BU114" s="244">
        <v>9.7681025081788402</v>
      </c>
      <c r="BV114" s="244">
        <v>0</v>
      </c>
      <c r="BW114" s="244">
        <v>0</v>
      </c>
      <c r="BX114" s="244">
        <v>29.773522355507101</v>
      </c>
      <c r="BY114" s="244">
        <v>0</v>
      </c>
      <c r="BZ114" s="244">
        <v>0</v>
      </c>
      <c r="CA114" s="244">
        <v>0.59214830970556198</v>
      </c>
    </row>
    <row r="115" spans="1:79">
      <c r="A115" s="245">
        <v>83201</v>
      </c>
      <c r="B115" s="243" t="s">
        <v>1726</v>
      </c>
      <c r="C115" s="27" t="s">
        <v>1686</v>
      </c>
      <c r="D115" s="246">
        <v>152</v>
      </c>
      <c r="E115" s="248">
        <v>495.976699029126</v>
      </c>
      <c r="F115" s="244">
        <v>190.56231067961201</v>
      </c>
      <c r="G115" s="244">
        <v>21.078058252427201</v>
      </c>
      <c r="H115" s="244">
        <v>9.0238058252427198</v>
      </c>
      <c r="I115" s="244">
        <v>74.7610291262136</v>
      </c>
      <c r="J115" s="244">
        <v>15.608194174757299</v>
      </c>
      <c r="K115" s="244">
        <v>0.222957281553398</v>
      </c>
      <c r="L115" s="244">
        <v>0.44032621359223301</v>
      </c>
      <c r="M115" s="244">
        <v>1.2871262135922299</v>
      </c>
      <c r="N115" s="244">
        <v>2.4399417475728198</v>
      </c>
      <c r="O115" s="244">
        <v>0.38034077669902899</v>
      </c>
      <c r="P115" s="244">
        <v>88.110650485436906</v>
      </c>
      <c r="Q115" s="244">
        <v>0.244174757281553</v>
      </c>
      <c r="R115" s="244">
        <v>1.4650485436893199</v>
      </c>
      <c r="S115" s="244">
        <v>1.11953398058252</v>
      </c>
      <c r="T115" s="244">
        <v>2.3776932038835001</v>
      </c>
      <c r="U115" s="244">
        <v>1.92</v>
      </c>
      <c r="V115" s="244">
        <v>29.476776699029099</v>
      </c>
      <c r="W115" s="244">
        <v>34.382563106796098</v>
      </c>
      <c r="X115" s="244">
        <v>1.94174757281553E-3</v>
      </c>
      <c r="Y115" s="244">
        <v>56.3080776699029</v>
      </c>
      <c r="Z115" s="244">
        <v>9.5229320388349503</v>
      </c>
      <c r="AA115" s="244">
        <v>0</v>
      </c>
      <c r="AB115" s="244">
        <v>0</v>
      </c>
      <c r="AC115" s="244">
        <v>4.9670679611650499</v>
      </c>
      <c r="AD115" s="244">
        <v>260.96079223301001</v>
      </c>
      <c r="AE115" s="244">
        <v>0.85063300970873801</v>
      </c>
      <c r="AF115" s="244">
        <v>6.8990563106796099</v>
      </c>
      <c r="AG115" s="244">
        <v>2.51474951456311</v>
      </c>
      <c r="AH115" s="244">
        <v>381.827867961165</v>
      </c>
      <c r="AI115" s="244">
        <v>608.853184466019</v>
      </c>
      <c r="AJ115" s="244">
        <v>37.631126213592196</v>
      </c>
      <c r="AK115" s="244">
        <v>2.6222563106796102</v>
      </c>
      <c r="AL115" s="244">
        <v>2.3372621359223298</v>
      </c>
      <c r="AM115" s="244">
        <v>1.7080582524271799</v>
      </c>
      <c r="AN115" s="244">
        <v>2.2194951456310701</v>
      </c>
      <c r="AO115" s="244">
        <v>14.611417475728199</v>
      </c>
      <c r="AP115" s="244">
        <v>0.57131844660194198</v>
      </c>
      <c r="AQ115" s="244">
        <v>0.902102912621359</v>
      </c>
      <c r="AR115" s="244">
        <v>1.5456155339805799</v>
      </c>
      <c r="AS115" s="244">
        <v>1.4261398058252399</v>
      </c>
      <c r="AT115" s="244">
        <v>0.30395145631067999</v>
      </c>
      <c r="AU115" s="244">
        <v>0.26236699029126198</v>
      </c>
      <c r="AV115" s="244">
        <v>1.09939611650485</v>
      </c>
      <c r="AW115" s="244">
        <v>0.79004466019417496</v>
      </c>
      <c r="AX115" s="244">
        <v>0.205021359223301</v>
      </c>
      <c r="AY115" s="244">
        <v>0.93920000000000003</v>
      </c>
      <c r="AZ115" s="244">
        <v>0.92810679611650504</v>
      </c>
      <c r="BA115" s="244">
        <v>1.8029067961165</v>
      </c>
      <c r="BB115" s="244">
        <v>2.32865242718447</v>
      </c>
      <c r="BC115" s="244">
        <v>3.8520873786407801</v>
      </c>
      <c r="BD115" s="244">
        <v>0.81130485436893196</v>
      </c>
      <c r="BE115" s="244">
        <v>1.0030640776699</v>
      </c>
      <c r="BF115" s="244">
        <v>1.06739611650485</v>
      </c>
      <c r="BG115" s="244">
        <v>0.58419611650485403</v>
      </c>
      <c r="BH115" s="244">
        <v>56.9158834951456</v>
      </c>
      <c r="BI115" s="244">
        <v>609.19545631068002</v>
      </c>
      <c r="BJ115" s="244">
        <v>0</v>
      </c>
      <c r="BK115" s="244">
        <v>52.625631067961201</v>
      </c>
      <c r="BL115" s="244">
        <v>82.042718446601896</v>
      </c>
      <c r="BM115" s="244">
        <v>94.739805825242698</v>
      </c>
      <c r="BN115" s="244">
        <v>295.93980582524301</v>
      </c>
      <c r="BO115" s="244">
        <v>1190.2427184466001</v>
      </c>
      <c r="BP115" s="244">
        <v>45.904854368932</v>
      </c>
      <c r="BQ115" s="244">
        <v>1457.40102912621</v>
      </c>
      <c r="BR115" s="244">
        <v>14.328388349514601</v>
      </c>
      <c r="BS115" s="244">
        <v>0</v>
      </c>
      <c r="BT115" s="244">
        <v>2089.0075728155298</v>
      </c>
      <c r="BU115" s="244">
        <v>116.627184466019</v>
      </c>
      <c r="BV115" s="244">
        <v>1.95339805825243</v>
      </c>
      <c r="BW115" s="244">
        <v>3.9067961165048501</v>
      </c>
      <c r="BX115" s="244">
        <v>359.13996116504899</v>
      </c>
      <c r="BY115" s="244">
        <v>0.97669902912621398</v>
      </c>
      <c r="BZ115" s="244">
        <v>0</v>
      </c>
      <c r="CA115" s="244">
        <v>30.277669902912599</v>
      </c>
    </row>
    <row r="116" spans="1:79">
      <c r="A116" s="245">
        <v>41601</v>
      </c>
      <c r="B116" s="243" t="s">
        <v>1727</v>
      </c>
      <c r="C116" s="27" t="s">
        <v>1686</v>
      </c>
      <c r="D116" s="246">
        <v>153</v>
      </c>
      <c r="E116" s="248">
        <v>520.12790697674404</v>
      </c>
      <c r="F116" s="244">
        <v>95.872558139534902</v>
      </c>
      <c r="G116" s="244">
        <v>16.842441860465101</v>
      </c>
      <c r="H116" s="244">
        <v>44.918837209302303</v>
      </c>
      <c r="I116" s="244">
        <v>12.5588372093023</v>
      </c>
      <c r="J116" s="244">
        <v>1.5708139534883701</v>
      </c>
      <c r="K116" s="244">
        <v>0.14137209302325601</v>
      </c>
      <c r="L116" s="244">
        <v>0.18672093023255801</v>
      </c>
      <c r="M116" s="244">
        <v>1.8952558139534901</v>
      </c>
      <c r="N116" s="244">
        <v>2.4144186046511602</v>
      </c>
      <c r="O116" s="244">
        <v>0.71195348837209305</v>
      </c>
      <c r="P116" s="244">
        <v>1827.4069767441899</v>
      </c>
      <c r="Q116" s="244">
        <v>1.81860465116279</v>
      </c>
      <c r="R116" s="244">
        <v>9.0744186046511608</v>
      </c>
      <c r="S116" s="244">
        <v>4.0981162790697701</v>
      </c>
      <c r="T116" s="244">
        <v>3.8947674418604699</v>
      </c>
      <c r="U116" s="244">
        <v>61.331395348837198</v>
      </c>
      <c r="V116" s="244">
        <v>5.28027906976744</v>
      </c>
      <c r="W116" s="244">
        <v>9.3256976744186009</v>
      </c>
      <c r="X116" s="244">
        <v>0</v>
      </c>
      <c r="Y116" s="244">
        <v>98.851976744186103</v>
      </c>
      <c r="Z116" s="244">
        <v>25.632209302325599</v>
      </c>
      <c r="AA116" s="244">
        <v>0.42372093023255802</v>
      </c>
      <c r="AB116" s="244">
        <v>18.593023255814</v>
      </c>
      <c r="AC116" s="244">
        <v>32.578488372092998</v>
      </c>
      <c r="AD116" s="244">
        <v>88.522209302325606</v>
      </c>
      <c r="AE116" s="244">
        <v>0.31323255813953499</v>
      </c>
      <c r="AF116" s="244">
        <v>1.70025581395349</v>
      </c>
      <c r="AG116" s="244">
        <v>0.26502325581395397</v>
      </c>
      <c r="AH116" s="244">
        <v>199.22851162790701</v>
      </c>
      <c r="AI116" s="244">
        <v>351.52151162790699</v>
      </c>
      <c r="AJ116" s="244">
        <v>30.101279069767401</v>
      </c>
      <c r="AK116" s="244">
        <v>0.91116279069767503</v>
      </c>
      <c r="AL116" s="244">
        <v>14.409069767441901</v>
      </c>
      <c r="AM116" s="244">
        <v>14.96</v>
      </c>
      <c r="AN116" s="244">
        <v>20.144918604651199</v>
      </c>
      <c r="AO116" s="244">
        <v>97.5088372093023</v>
      </c>
      <c r="AP116" s="244">
        <v>0.58675581395348797</v>
      </c>
      <c r="AQ116" s="244">
        <v>0.64291860465116302</v>
      </c>
      <c r="AR116" s="244">
        <v>1.17916279069767</v>
      </c>
      <c r="AS116" s="244">
        <v>1.38272093023256</v>
      </c>
      <c r="AT116" s="244">
        <v>0.46061627906976699</v>
      </c>
      <c r="AU116" s="244">
        <v>4.4151162790697702E-2</v>
      </c>
      <c r="AV116" s="244">
        <v>0.66963953488372097</v>
      </c>
      <c r="AW116" s="244">
        <v>0.80108139534883704</v>
      </c>
      <c r="AX116" s="244">
        <v>2.1872093023255799E-2</v>
      </c>
      <c r="AY116" s="244">
        <v>0.81155813953488398</v>
      </c>
      <c r="AZ116" s="244">
        <v>0.97059302325581398</v>
      </c>
      <c r="BA116" s="244">
        <v>1.16791860465116</v>
      </c>
      <c r="BB116" s="244">
        <v>1.66073255813953</v>
      </c>
      <c r="BC116" s="244">
        <v>2.4019069767441898</v>
      </c>
      <c r="BD116" s="244">
        <v>0.62943023255814001</v>
      </c>
      <c r="BE116" s="244">
        <v>0.53156976744186102</v>
      </c>
      <c r="BF116" s="244">
        <v>0.482767441860465</v>
      </c>
      <c r="BG116" s="244">
        <v>0.62926744186046502</v>
      </c>
      <c r="BH116" s="244">
        <v>39.534651162790702</v>
      </c>
      <c r="BI116" s="244">
        <v>16.879186046511599</v>
      </c>
      <c r="BJ116" s="244">
        <v>1.7906976744186001</v>
      </c>
      <c r="BK116" s="244">
        <v>9.1999999999999993</v>
      </c>
      <c r="BL116" s="244">
        <v>0</v>
      </c>
      <c r="BM116" s="244">
        <v>14.003255813953499</v>
      </c>
      <c r="BN116" s="244">
        <v>1305.3518604651199</v>
      </c>
      <c r="BO116" s="244">
        <v>4853.9954651162798</v>
      </c>
      <c r="BP116" s="244">
        <v>1759.3023255814001</v>
      </c>
      <c r="BQ116" s="244">
        <v>2954.1053488372099</v>
      </c>
      <c r="BR116" s="244">
        <v>79.938953488372107</v>
      </c>
      <c r="BS116" s="244">
        <v>0</v>
      </c>
      <c r="BT116" s="244">
        <v>211.90186046511599</v>
      </c>
      <c r="BU116" s="244">
        <v>7.8101162790697698</v>
      </c>
      <c r="BV116" s="244">
        <v>0</v>
      </c>
      <c r="BW116" s="244">
        <v>115.44186046511599</v>
      </c>
      <c r="BX116" s="244">
        <v>1194.17918604651</v>
      </c>
      <c r="BY116" s="244">
        <v>731.39534883720899</v>
      </c>
      <c r="BZ116" s="244">
        <v>183.44186046511601</v>
      </c>
      <c r="CA116" s="244">
        <v>4.6162790697674403</v>
      </c>
    </row>
    <row r="117" spans="1:79">
      <c r="A117" s="245">
        <v>82501</v>
      </c>
      <c r="B117" s="243" t="s">
        <v>1728</v>
      </c>
      <c r="C117" s="27" t="s">
        <v>1686</v>
      </c>
      <c r="D117" s="246">
        <v>154</v>
      </c>
      <c r="E117" s="248">
        <v>356.194063926941</v>
      </c>
      <c r="F117" s="244">
        <v>50.228531202435299</v>
      </c>
      <c r="G117" s="244">
        <v>3.8817275494672798</v>
      </c>
      <c r="H117" s="244">
        <v>9.4381735159817399</v>
      </c>
      <c r="I117" s="244">
        <v>63.917397260274001</v>
      </c>
      <c r="J117" s="244">
        <v>0.70691019786910203</v>
      </c>
      <c r="K117" s="244">
        <v>2.44315068493151E-2</v>
      </c>
      <c r="L117" s="244">
        <v>3.1746575342465798E-2</v>
      </c>
      <c r="M117" s="244">
        <v>1.0195890410958901</v>
      </c>
      <c r="N117" s="244">
        <v>0.205893455098935</v>
      </c>
      <c r="O117" s="244">
        <v>8.1506849315068491E-3</v>
      </c>
      <c r="P117" s="244">
        <v>1.2678843226788401</v>
      </c>
      <c r="Q117" s="244">
        <v>0</v>
      </c>
      <c r="R117" s="244">
        <v>0</v>
      </c>
      <c r="S117" s="244">
        <v>0.59952815829528205</v>
      </c>
      <c r="T117" s="244">
        <v>0.18212328767123301</v>
      </c>
      <c r="U117" s="244">
        <v>16.1306697108067</v>
      </c>
      <c r="V117" s="244">
        <v>7.60958904109589</v>
      </c>
      <c r="W117" s="244">
        <v>7.60958904109589</v>
      </c>
      <c r="X117" s="244">
        <v>0</v>
      </c>
      <c r="Y117" s="244">
        <v>0.21762328767123301</v>
      </c>
      <c r="Z117" s="244">
        <v>0</v>
      </c>
      <c r="AA117" s="244">
        <v>0</v>
      </c>
      <c r="AB117" s="244">
        <v>0</v>
      </c>
      <c r="AC117" s="244">
        <v>0</v>
      </c>
      <c r="AD117" s="244">
        <v>13.2351674277017</v>
      </c>
      <c r="AE117" s="244">
        <v>4.9809741248097401E-2</v>
      </c>
      <c r="AF117" s="244">
        <v>0.85286910197869104</v>
      </c>
      <c r="AG117" s="244">
        <v>0.52403805175038098</v>
      </c>
      <c r="AH117" s="244">
        <v>36.009893455098897</v>
      </c>
      <c r="AI117" s="244">
        <v>36.512275494672799</v>
      </c>
      <c r="AJ117" s="244">
        <v>9.0363774733637801</v>
      </c>
      <c r="AK117" s="244">
        <v>0.16841704718417</v>
      </c>
      <c r="AL117" s="244">
        <v>1.4232572298325701</v>
      </c>
      <c r="AM117" s="244">
        <v>2.0090182648401802</v>
      </c>
      <c r="AN117" s="244">
        <v>5.1159589041095899</v>
      </c>
      <c r="AO117" s="244">
        <v>0</v>
      </c>
      <c r="AP117" s="244">
        <v>2.07389649923897E-2</v>
      </c>
      <c r="AQ117" s="244">
        <v>2.78028919330289E-2</v>
      </c>
      <c r="AR117" s="244">
        <v>6.2579147640791505E-2</v>
      </c>
      <c r="AS117" s="244">
        <v>2.4995433789954301E-2</v>
      </c>
      <c r="AT117" s="244">
        <v>1.9923896499239001E-2</v>
      </c>
      <c r="AU117" s="244">
        <v>1.97427701674277E-2</v>
      </c>
      <c r="AV117" s="244">
        <v>4.3017503805175002E-2</v>
      </c>
      <c r="AW117" s="244">
        <v>2.7168949771689498E-2</v>
      </c>
      <c r="AX117" s="244">
        <v>1.1229832572298299E-2</v>
      </c>
      <c r="AY117" s="244">
        <v>4.0753424657534301E-2</v>
      </c>
      <c r="AZ117" s="244">
        <v>5.0353120243531203E-2</v>
      </c>
      <c r="BA117" s="244">
        <v>3.9847792998477898E-2</v>
      </c>
      <c r="BB117" s="244">
        <v>4.5734398782343998E-2</v>
      </c>
      <c r="BC117" s="244">
        <v>0.320321917808219</v>
      </c>
      <c r="BD117" s="244">
        <v>3.7312024353120303E-2</v>
      </c>
      <c r="BE117" s="244">
        <v>9.6449771689497699E-2</v>
      </c>
      <c r="BF117" s="244">
        <v>4.5734398782343998E-2</v>
      </c>
      <c r="BG117" s="244">
        <v>2.4452054794520599E-2</v>
      </c>
      <c r="BH117" s="244">
        <v>0</v>
      </c>
      <c r="BI117" s="244">
        <v>20.648401826484001</v>
      </c>
      <c r="BJ117" s="244">
        <v>0</v>
      </c>
      <c r="BK117" s="244">
        <v>0</v>
      </c>
      <c r="BL117" s="244">
        <v>0</v>
      </c>
      <c r="BM117" s="244">
        <v>0</v>
      </c>
      <c r="BN117" s="244">
        <v>0</v>
      </c>
      <c r="BO117" s="244">
        <v>21.496354642313499</v>
      </c>
      <c r="BP117" s="244">
        <v>0</v>
      </c>
      <c r="BQ117" s="244">
        <v>12.5793378995434</v>
      </c>
      <c r="BR117" s="244">
        <v>0</v>
      </c>
      <c r="BS117" s="244">
        <v>0</v>
      </c>
      <c r="BT117" s="244">
        <v>43.220243531202399</v>
      </c>
      <c r="BU117" s="244">
        <v>2.0354261796042601</v>
      </c>
      <c r="BV117" s="244">
        <v>0</v>
      </c>
      <c r="BW117" s="244">
        <v>0</v>
      </c>
      <c r="BX117" s="244">
        <v>6.0290487062404896</v>
      </c>
      <c r="BY117" s="244">
        <v>0</v>
      </c>
      <c r="BZ117" s="244">
        <v>0</v>
      </c>
      <c r="CA117" s="244">
        <v>0</v>
      </c>
    </row>
    <row r="118" spans="1:79">
      <c r="A118" s="245">
        <v>71003</v>
      </c>
      <c r="B118" s="243" t="s">
        <v>1729</v>
      </c>
      <c r="C118" s="27" t="s">
        <v>1686</v>
      </c>
      <c r="D118" s="246">
        <v>155</v>
      </c>
      <c r="E118" s="248">
        <v>3.1867937853107402</v>
      </c>
      <c r="F118" s="244">
        <v>124.288488700565</v>
      </c>
      <c r="G118" s="244">
        <v>0.16981638418079101</v>
      </c>
      <c r="H118" s="244">
        <v>1.8354519774011299E-2</v>
      </c>
      <c r="I118" s="244">
        <v>0.52902189265536703</v>
      </c>
      <c r="J118" s="244">
        <v>0.112425847457627</v>
      </c>
      <c r="K118" s="244">
        <v>3.2203389830508499E-4</v>
      </c>
      <c r="L118" s="244">
        <v>7.3665254237288104E-3</v>
      </c>
      <c r="M118" s="244">
        <v>8.3728107344632804E-2</v>
      </c>
      <c r="N118" s="244">
        <v>1.2274011299435001E-2</v>
      </c>
      <c r="O118" s="244">
        <v>4.1468926553672302E-3</v>
      </c>
      <c r="P118" s="244">
        <v>0.81152895480225995</v>
      </c>
      <c r="Q118" s="244">
        <v>0</v>
      </c>
      <c r="R118" s="244">
        <v>2.2598870056497199E-2</v>
      </c>
      <c r="S118" s="244">
        <v>9.3958333333333297E-2</v>
      </c>
      <c r="T118" s="244">
        <v>9.3361581920903998E-3</v>
      </c>
      <c r="U118" s="244">
        <v>0.459251412429379</v>
      </c>
      <c r="V118" s="244">
        <v>0</v>
      </c>
      <c r="W118" s="244">
        <v>5.8368644067796601E-3</v>
      </c>
      <c r="X118" s="244">
        <v>9.0572033898305097E-3</v>
      </c>
      <c r="Y118" s="244">
        <v>3.2637711864406803E-2</v>
      </c>
      <c r="Z118" s="244">
        <v>0.17085169491525401</v>
      </c>
      <c r="AA118" s="244">
        <v>0</v>
      </c>
      <c r="AB118" s="244">
        <v>0</v>
      </c>
      <c r="AC118" s="244">
        <v>6.2353813559321999E-2</v>
      </c>
      <c r="AD118" s="244">
        <v>1.8024011299435001</v>
      </c>
      <c r="AE118" s="244">
        <v>6.0374293785310697E-3</v>
      </c>
      <c r="AF118" s="244">
        <v>3.0473163841807899E-2</v>
      </c>
      <c r="AG118" s="244">
        <v>0.10903248587570601</v>
      </c>
      <c r="AH118" s="244">
        <v>2.1013509887005699</v>
      </c>
      <c r="AI118" s="244">
        <v>45.5182125706215</v>
      </c>
      <c r="AJ118" s="244">
        <v>8.2097457627118703E-3</v>
      </c>
      <c r="AK118" s="244">
        <v>1.7030367231638401E-2</v>
      </c>
      <c r="AL118" s="244">
        <v>5.43785310734463E-3</v>
      </c>
      <c r="AM118" s="244">
        <v>1.43714689265537E-3</v>
      </c>
      <c r="AN118" s="244">
        <v>7.9272598870056502E-3</v>
      </c>
      <c r="AO118" s="244">
        <v>0</v>
      </c>
      <c r="AP118" s="244">
        <v>5.3742937853107299E-4</v>
      </c>
      <c r="AQ118" s="244">
        <v>1.1267655367231599E-3</v>
      </c>
      <c r="AR118" s="244">
        <v>1.9883474576271199E-3</v>
      </c>
      <c r="AS118" s="244">
        <v>9.8622881355932192E-4</v>
      </c>
      <c r="AT118" s="244">
        <v>3.0437853107344602E-4</v>
      </c>
      <c r="AU118" s="244">
        <v>2.53177966101695E-4</v>
      </c>
      <c r="AV118" s="244">
        <v>1.3502824858757101E-3</v>
      </c>
      <c r="AW118" s="244">
        <v>1.28142655367232E-3</v>
      </c>
      <c r="AX118" s="244">
        <v>3.0473163841807902E-4</v>
      </c>
      <c r="AY118" s="244">
        <v>1.3640536723163799E-3</v>
      </c>
      <c r="AZ118" s="244">
        <v>1.45444915254237E-3</v>
      </c>
      <c r="BA118" s="244">
        <v>1.8877118644067799E-3</v>
      </c>
      <c r="BB118" s="244">
        <v>4.5363700564971798E-3</v>
      </c>
      <c r="BC118" s="244">
        <v>4.6151129943502803E-3</v>
      </c>
      <c r="BD118" s="244">
        <v>1.5155367231638401E-3</v>
      </c>
      <c r="BE118" s="244">
        <v>1.06744350282486E-3</v>
      </c>
      <c r="BF118" s="244">
        <v>1.53954802259887E-3</v>
      </c>
      <c r="BG118" s="244">
        <v>1.1091101694915299E-3</v>
      </c>
      <c r="BH118" s="244">
        <v>5.23940677966102</v>
      </c>
      <c r="BI118" s="244">
        <v>0.533545197740113</v>
      </c>
      <c r="BJ118" s="244">
        <v>0</v>
      </c>
      <c r="BK118" s="244">
        <v>2.8248587570621499E-3</v>
      </c>
      <c r="BL118" s="244">
        <v>0</v>
      </c>
      <c r="BM118" s="244">
        <v>0.27355932203389799</v>
      </c>
      <c r="BN118" s="244">
        <v>0.124858757062147</v>
      </c>
      <c r="BO118" s="244">
        <v>4.13559322033898</v>
      </c>
      <c r="BP118" s="244">
        <v>0</v>
      </c>
      <c r="BQ118" s="244">
        <v>1.40891242937853</v>
      </c>
      <c r="BR118" s="244">
        <v>0</v>
      </c>
      <c r="BS118" s="244">
        <v>0</v>
      </c>
      <c r="BT118" s="244">
        <v>6.3188559322033901</v>
      </c>
      <c r="BU118" s="244">
        <v>1.6457203389830499</v>
      </c>
      <c r="BV118" s="244">
        <v>0</v>
      </c>
      <c r="BW118" s="244">
        <v>0</v>
      </c>
      <c r="BX118" s="244">
        <v>0.85860169491525395</v>
      </c>
      <c r="BY118" s="244">
        <v>0</v>
      </c>
      <c r="BZ118" s="244">
        <v>0</v>
      </c>
      <c r="CA118" s="244">
        <v>0</v>
      </c>
    </row>
    <row r="119" spans="1:79">
      <c r="A119" s="245">
        <v>71204</v>
      </c>
      <c r="B119" s="243" t="s">
        <v>1730</v>
      </c>
      <c r="C119" s="27" t="s">
        <v>1686</v>
      </c>
      <c r="D119" s="246">
        <v>156</v>
      </c>
      <c r="E119" s="248">
        <v>33.803844900619097</v>
      </c>
      <c r="F119" s="244">
        <v>114.697100032584</v>
      </c>
      <c r="G119" s="244">
        <v>0.15161942000651699</v>
      </c>
      <c r="H119" s="244">
        <v>8.2372108178559791E-3</v>
      </c>
      <c r="I119" s="244">
        <v>8.2424503095470794</v>
      </c>
      <c r="J119" s="244">
        <v>7.62463343108504E-2</v>
      </c>
      <c r="K119" s="244">
        <v>2.1896383186705801E-4</v>
      </c>
      <c r="L119" s="244">
        <v>6.67057673509286E-3</v>
      </c>
      <c r="M119" s="244">
        <v>7.6001303356142094E-2</v>
      </c>
      <c r="N119" s="244">
        <v>1.09742587161942E-2</v>
      </c>
      <c r="O119" s="244">
        <v>3.5138481590094501E-3</v>
      </c>
      <c r="P119" s="244">
        <v>0.72857608341479296</v>
      </c>
      <c r="Q119" s="244">
        <v>0</v>
      </c>
      <c r="R119" s="244">
        <v>2.0853698273053101E-2</v>
      </c>
      <c r="S119" s="244">
        <v>4.26458129683936E-2</v>
      </c>
      <c r="T119" s="244">
        <v>2.7109807754969002E-3</v>
      </c>
      <c r="U119" s="244">
        <v>0.266405995438254</v>
      </c>
      <c r="V119" s="244">
        <v>0</v>
      </c>
      <c r="W119" s="244">
        <v>0</v>
      </c>
      <c r="X119" s="244">
        <v>0</v>
      </c>
      <c r="Y119" s="244">
        <v>0</v>
      </c>
      <c r="Z119" s="244">
        <v>0.14113782991202301</v>
      </c>
      <c r="AA119" s="244">
        <v>0</v>
      </c>
      <c r="AB119" s="244">
        <v>0</v>
      </c>
      <c r="AC119" s="244">
        <v>5.6023460410557203E-2</v>
      </c>
      <c r="AD119" s="244">
        <v>1.87826653633105</v>
      </c>
      <c r="AE119" s="244">
        <v>1.4652329749103901E-2</v>
      </c>
      <c r="AF119" s="244">
        <v>3.5842293906809999E-2</v>
      </c>
      <c r="AG119" s="244">
        <v>4.0456174649723002E-2</v>
      </c>
      <c r="AH119" s="244">
        <v>1.9329084392310201</v>
      </c>
      <c r="AI119" s="244">
        <v>41.566649723036797</v>
      </c>
      <c r="AJ119" s="244">
        <v>4.6920821114369501E-2</v>
      </c>
      <c r="AK119" s="244">
        <v>2.1648745519713301E-2</v>
      </c>
      <c r="AL119" s="244">
        <v>1.3346366894754E-2</v>
      </c>
      <c r="AM119" s="244">
        <v>7.2987943955685902E-4</v>
      </c>
      <c r="AN119" s="244">
        <v>3.9622026718800904E-3</v>
      </c>
      <c r="AO119" s="244">
        <v>0</v>
      </c>
      <c r="AP119" s="244">
        <v>3.6493971977842902E-4</v>
      </c>
      <c r="AQ119" s="244">
        <v>9.17562724014337E-4</v>
      </c>
      <c r="AR119" s="244">
        <v>1.50146627565982E-3</v>
      </c>
      <c r="AS119" s="244">
        <v>5.3176930596285398E-4</v>
      </c>
      <c r="AT119" s="244">
        <v>2.0853698273053101E-4</v>
      </c>
      <c r="AU119" s="244">
        <v>1.8768328445747801E-4</v>
      </c>
      <c r="AV119" s="244">
        <v>1.01140436624308E-3</v>
      </c>
      <c r="AW119" s="244">
        <v>1.01140436624308E-3</v>
      </c>
      <c r="AX119" s="244">
        <v>2.2939068100358401E-4</v>
      </c>
      <c r="AY119" s="244">
        <v>1.01140436624308E-3</v>
      </c>
      <c r="AZ119" s="244">
        <v>1.0948191593352901E-3</v>
      </c>
      <c r="BA119" s="244">
        <v>1.3763440860215101E-3</v>
      </c>
      <c r="BB119" s="244">
        <v>3.5555555555555601E-3</v>
      </c>
      <c r="BC119" s="244">
        <v>3.20104268491365E-3</v>
      </c>
      <c r="BD119" s="244">
        <v>1.1365265558813901E-3</v>
      </c>
      <c r="BE119" s="244">
        <v>7.6115998696643899E-4</v>
      </c>
      <c r="BF119" s="244">
        <v>1.1156728576083401E-3</v>
      </c>
      <c r="BG119" s="244">
        <v>8.7585532746823095E-4</v>
      </c>
      <c r="BH119" s="244">
        <v>2.3460410557184801</v>
      </c>
      <c r="BI119" s="244">
        <v>0.15118931247963499</v>
      </c>
      <c r="BJ119" s="244">
        <v>0</v>
      </c>
      <c r="BK119" s="244">
        <v>2.6067122841316398E-3</v>
      </c>
      <c r="BL119" s="244">
        <v>0</v>
      </c>
      <c r="BM119" s="244">
        <v>0.25243401759530798</v>
      </c>
      <c r="BN119" s="244">
        <v>0.11521668295861801</v>
      </c>
      <c r="BO119" s="244">
        <v>5.3607038123167197</v>
      </c>
      <c r="BP119" s="244">
        <v>0</v>
      </c>
      <c r="BQ119" s="244">
        <v>2.40333659172369</v>
      </c>
      <c r="BR119" s="244">
        <v>0</v>
      </c>
      <c r="BS119" s="244">
        <v>0</v>
      </c>
      <c r="BT119" s="244">
        <v>5.7438905180840703</v>
      </c>
      <c r="BU119" s="244">
        <v>0.84316715542522003</v>
      </c>
      <c r="BV119" s="244">
        <v>0</v>
      </c>
      <c r="BW119" s="244">
        <v>0</v>
      </c>
      <c r="BX119" s="244">
        <v>1.48457478005865</v>
      </c>
      <c r="BY119" s="244">
        <v>0</v>
      </c>
      <c r="BZ119" s="244">
        <v>0</v>
      </c>
      <c r="CA119" s="244">
        <v>0</v>
      </c>
    </row>
    <row r="120" spans="1:79">
      <c r="A120" s="245">
        <v>24106</v>
      </c>
      <c r="B120" s="243" t="s">
        <v>1731</v>
      </c>
      <c r="C120" s="27" t="s">
        <v>1686</v>
      </c>
      <c r="D120" s="246">
        <v>157</v>
      </c>
      <c r="E120" s="248">
        <v>104.35791984732801</v>
      </c>
      <c r="F120" s="244">
        <v>133.00026431297701</v>
      </c>
      <c r="G120" s="244">
        <v>1.1352293893129799</v>
      </c>
      <c r="H120" s="244">
        <v>5.8726625954198504</v>
      </c>
      <c r="I120" s="244">
        <v>10.5811812977099</v>
      </c>
      <c r="J120" s="244">
        <v>2.7784980916030499</v>
      </c>
      <c r="K120" s="244">
        <v>5.1497519083969497E-2</v>
      </c>
      <c r="L120" s="244">
        <v>2.5565505725190799E-2</v>
      </c>
      <c r="M120" s="244">
        <v>0.44709284351145001</v>
      </c>
      <c r="N120" s="244">
        <v>4.1255916030534398E-2</v>
      </c>
      <c r="O120" s="244">
        <v>0.170840076335878</v>
      </c>
      <c r="P120" s="244">
        <v>10.7992175572519</v>
      </c>
      <c r="Q120" s="244">
        <v>0</v>
      </c>
      <c r="R120" s="244">
        <v>7.4772104007633597</v>
      </c>
      <c r="S120" s="244">
        <v>0.31742366412213702</v>
      </c>
      <c r="T120" s="244">
        <v>1.5228874045801499</v>
      </c>
      <c r="U120" s="244">
        <v>18.035503816793899</v>
      </c>
      <c r="V120" s="244">
        <v>0</v>
      </c>
      <c r="W120" s="244">
        <v>3.0717089694656501</v>
      </c>
      <c r="X120" s="244">
        <v>0.75572519083969503</v>
      </c>
      <c r="Y120" s="244">
        <v>34.504770038167898</v>
      </c>
      <c r="Z120" s="244">
        <v>140.048074427481</v>
      </c>
      <c r="AA120" s="244">
        <v>0</v>
      </c>
      <c r="AB120" s="244">
        <v>0</v>
      </c>
      <c r="AC120" s="244">
        <v>1.53055400763359</v>
      </c>
      <c r="AD120" s="244">
        <v>32.382425763358803</v>
      </c>
      <c r="AE120" s="244">
        <v>0.14399618320610699</v>
      </c>
      <c r="AF120" s="244">
        <v>0.73125209923664103</v>
      </c>
      <c r="AG120" s="244">
        <v>0.27444217557251899</v>
      </c>
      <c r="AH120" s="244">
        <v>45.894293893129799</v>
      </c>
      <c r="AI120" s="244">
        <v>374.330324427481</v>
      </c>
      <c r="AJ120" s="244">
        <v>0.42827347328244297</v>
      </c>
      <c r="AK120" s="244">
        <v>0.23121641221374001</v>
      </c>
      <c r="AL120" s="244">
        <v>0.90791583969465595</v>
      </c>
      <c r="AM120" s="244">
        <v>1.3117280534351099</v>
      </c>
      <c r="AN120" s="244">
        <v>3.3373608778625998</v>
      </c>
      <c r="AO120" s="244">
        <v>0</v>
      </c>
      <c r="AP120" s="244">
        <v>4.8807633587786298E-3</v>
      </c>
      <c r="AQ120" s="244">
        <v>9.3680152671755702E-3</v>
      </c>
      <c r="AR120" s="244">
        <v>1.5681717557251899E-2</v>
      </c>
      <c r="AS120" s="244">
        <v>1.03302290076336E-2</v>
      </c>
      <c r="AT120" s="244">
        <v>2.81624045801527E-3</v>
      </c>
      <c r="AU120" s="244">
        <v>3.4092938931297701E-3</v>
      </c>
      <c r="AV120" s="244">
        <v>1.15068320610687E-2</v>
      </c>
      <c r="AW120" s="244">
        <v>1.03712404580153E-2</v>
      </c>
      <c r="AX120" s="244">
        <v>3.2082824427480902E-3</v>
      </c>
      <c r="AY120" s="244">
        <v>1.11771946564885E-2</v>
      </c>
      <c r="AZ120" s="244">
        <v>1.4541431297709901E-2</v>
      </c>
      <c r="BA120" s="244">
        <v>2.6021564885496201E-2</v>
      </c>
      <c r="BB120" s="244">
        <v>4.0010667938931301E-2</v>
      </c>
      <c r="BC120" s="244">
        <v>5.2938740458015297E-2</v>
      </c>
      <c r="BD120" s="244">
        <v>1.3729980916030501E-2</v>
      </c>
      <c r="BE120" s="244">
        <v>1.0030534351144999E-2</v>
      </c>
      <c r="BF120" s="244">
        <v>1.15379007633588E-2</v>
      </c>
      <c r="BG120" s="244">
        <v>8.6199809160305303E-3</v>
      </c>
      <c r="BH120" s="244">
        <v>7.7625572519084001</v>
      </c>
      <c r="BI120" s="244">
        <v>3.2010305343511498</v>
      </c>
      <c r="BJ120" s="244">
        <v>1.9370229007633599</v>
      </c>
      <c r="BK120" s="244">
        <v>1.40343511450382</v>
      </c>
      <c r="BL120" s="244">
        <v>0</v>
      </c>
      <c r="BM120" s="244">
        <v>0.231011450381679</v>
      </c>
      <c r="BN120" s="244">
        <v>0.26517175572519103</v>
      </c>
      <c r="BO120" s="244">
        <v>8.9174809160305308</v>
      </c>
      <c r="BP120" s="244">
        <v>3.0229007633587801</v>
      </c>
      <c r="BQ120" s="244">
        <v>6.4297900763358804</v>
      </c>
      <c r="BR120" s="244">
        <v>0.17444656488549601</v>
      </c>
      <c r="BS120" s="244">
        <v>1.57442748091603E-2</v>
      </c>
      <c r="BT120" s="244">
        <v>22.848606870228998</v>
      </c>
      <c r="BU120" s="244">
        <v>6.3355152671755697</v>
      </c>
      <c r="BV120" s="244">
        <v>3.5477099236641201</v>
      </c>
      <c r="BW120" s="244">
        <v>0</v>
      </c>
      <c r="BX120" s="244">
        <v>3.4207337786259502</v>
      </c>
      <c r="BY120" s="244">
        <v>4.5973282442748099E-2</v>
      </c>
      <c r="BZ120" s="244">
        <v>0</v>
      </c>
      <c r="CA120" s="244">
        <v>0.43893129770992401</v>
      </c>
    </row>
    <row r="121" spans="1:79">
      <c r="A121" s="245">
        <v>24107</v>
      </c>
      <c r="B121" s="243" t="s">
        <v>1732</v>
      </c>
      <c r="C121" s="27" t="s">
        <v>1686</v>
      </c>
      <c r="D121" s="246">
        <v>158</v>
      </c>
      <c r="E121" s="248">
        <v>112.94570610687001</v>
      </c>
      <c r="F121" s="244">
        <v>130.927745229008</v>
      </c>
      <c r="G121" s="244">
        <v>1.1753057251908401</v>
      </c>
      <c r="H121" s="244">
        <v>5.8612122137404601</v>
      </c>
      <c r="I121" s="244">
        <v>12.7281278625954</v>
      </c>
      <c r="J121" s="244">
        <v>2.7784980916030499</v>
      </c>
      <c r="K121" s="244">
        <v>6.1802862595419797E-2</v>
      </c>
      <c r="L121" s="244">
        <v>2.5565505725190799E-2</v>
      </c>
      <c r="M121" s="244">
        <v>0.36550887404580201</v>
      </c>
      <c r="N121" s="244">
        <v>0.25766812977099202</v>
      </c>
      <c r="O121" s="244">
        <v>0.17599274809160301</v>
      </c>
      <c r="P121" s="244">
        <v>11.1999809160305</v>
      </c>
      <c r="Q121" s="244">
        <v>0</v>
      </c>
      <c r="R121" s="244">
        <v>10.3077447519084</v>
      </c>
      <c r="S121" s="244">
        <v>0.83269083969465696</v>
      </c>
      <c r="T121" s="244">
        <v>0.42365076335877899</v>
      </c>
      <c r="U121" s="244">
        <v>20.382832061068701</v>
      </c>
      <c r="V121" s="244">
        <v>0</v>
      </c>
      <c r="W121" s="244">
        <v>4.3598769083969504</v>
      </c>
      <c r="X121" s="244">
        <v>0.75572519083969503</v>
      </c>
      <c r="Y121" s="244">
        <v>131.37499904580201</v>
      </c>
      <c r="Z121" s="244">
        <v>217.750364503817</v>
      </c>
      <c r="AA121" s="244">
        <v>0</v>
      </c>
      <c r="AB121" s="244">
        <v>0</v>
      </c>
      <c r="AC121" s="244">
        <v>5.0240654580152704</v>
      </c>
      <c r="AD121" s="244">
        <v>15.7793723282443</v>
      </c>
      <c r="AE121" s="244">
        <v>0.14972137404580199</v>
      </c>
      <c r="AF121" s="244">
        <v>0.62819866412213698</v>
      </c>
      <c r="AG121" s="244">
        <v>0.21604522900763401</v>
      </c>
      <c r="AH121" s="244">
        <v>24.653835877862601</v>
      </c>
      <c r="AI121" s="244">
        <v>237.80742366412201</v>
      </c>
      <c r="AJ121" s="244">
        <v>0.35384599236641201</v>
      </c>
      <c r="AK121" s="244">
        <v>0.29419351145038197</v>
      </c>
      <c r="AL121" s="244">
        <v>0.93654179389312997</v>
      </c>
      <c r="AM121" s="244">
        <v>1.3174532442748099</v>
      </c>
      <c r="AN121" s="244">
        <v>3.3946127862595401</v>
      </c>
      <c r="AO121" s="244">
        <v>0</v>
      </c>
      <c r="AP121" s="244">
        <v>4.49570992366412E-2</v>
      </c>
      <c r="AQ121" s="244">
        <v>6.1467251908396997E-2</v>
      </c>
      <c r="AR121" s="244">
        <v>0.109002328244275</v>
      </c>
      <c r="AS121" s="244">
        <v>6.1856946564885502E-2</v>
      </c>
      <c r="AT121" s="244">
        <v>2.3426927480916002E-2</v>
      </c>
      <c r="AU121" s="244">
        <v>2.8600133587786299E-2</v>
      </c>
      <c r="AV121" s="244">
        <v>9.7384694656488593E-2</v>
      </c>
      <c r="AW121" s="244">
        <v>6.6478110687022904E-2</v>
      </c>
      <c r="AX121" s="244">
        <v>1.9811335877862601E-2</v>
      </c>
      <c r="AY121" s="244">
        <v>9.3047423664122206E-2</v>
      </c>
      <c r="AZ121" s="244">
        <v>0.103854408396947</v>
      </c>
      <c r="BA121" s="244">
        <v>0.153693320610687</v>
      </c>
      <c r="BB121" s="244">
        <v>0.21291143129771001</v>
      </c>
      <c r="BC121" s="244">
        <v>0.28996164122137402</v>
      </c>
      <c r="BD121" s="244">
        <v>8.3004790076335905E-2</v>
      </c>
      <c r="BE121" s="244">
        <v>8.3312977099236601E-2</v>
      </c>
      <c r="BF121" s="244">
        <v>0.101995916030534</v>
      </c>
      <c r="BG121" s="244">
        <v>5.61390648854962E-2</v>
      </c>
      <c r="BH121" s="244">
        <v>34.270190839694699</v>
      </c>
      <c r="BI121" s="244">
        <v>36.979656488549601</v>
      </c>
      <c r="BJ121" s="244">
        <v>10.524809160305299</v>
      </c>
      <c r="BK121" s="244">
        <v>1.40343511450382</v>
      </c>
      <c r="BL121" s="244">
        <v>0</v>
      </c>
      <c r="BM121" s="244">
        <v>0.231011450381679</v>
      </c>
      <c r="BN121" s="244">
        <v>0.26517175572519103</v>
      </c>
      <c r="BO121" s="244">
        <v>31.486183206106901</v>
      </c>
      <c r="BP121" s="244">
        <v>3.0229007633587801</v>
      </c>
      <c r="BQ121" s="244">
        <v>13.895438931297701</v>
      </c>
      <c r="BR121" s="244">
        <v>0.17444656488549601</v>
      </c>
      <c r="BS121" s="244">
        <v>1.57442748091603E-2</v>
      </c>
      <c r="BT121" s="244">
        <v>55.092881679389301</v>
      </c>
      <c r="BU121" s="244">
        <v>15.507270992366401</v>
      </c>
      <c r="BV121" s="244">
        <v>3.5477099236641201</v>
      </c>
      <c r="BW121" s="244">
        <v>0</v>
      </c>
      <c r="BX121" s="244">
        <v>17.161191793893099</v>
      </c>
      <c r="BY121" s="244">
        <v>4.5973282442748099E-2</v>
      </c>
      <c r="BZ121" s="244">
        <v>0</v>
      </c>
      <c r="CA121" s="244">
        <v>0.43893129770992401</v>
      </c>
    </row>
    <row r="122" spans="1:79">
      <c r="A122" s="245">
        <v>24108</v>
      </c>
      <c r="B122" s="243" t="s">
        <v>1733</v>
      </c>
      <c r="C122" s="27" t="s">
        <v>1686</v>
      </c>
      <c r="D122" s="246">
        <v>159</v>
      </c>
      <c r="E122" s="248">
        <v>66.571660305343499</v>
      </c>
      <c r="F122" s="244">
        <v>143.082325381679</v>
      </c>
      <c r="G122" s="244">
        <v>0.81461870229007605</v>
      </c>
      <c r="H122" s="244">
        <v>5.8783877862595402</v>
      </c>
      <c r="I122" s="244">
        <v>2.0162958015267201</v>
      </c>
      <c r="J122" s="244">
        <v>1.6907118320610699</v>
      </c>
      <c r="K122" s="244">
        <v>1.54288167938931E-2</v>
      </c>
      <c r="L122" s="244">
        <v>2.5565505725190799E-2</v>
      </c>
      <c r="M122" s="244">
        <v>0.18602414122137401</v>
      </c>
      <c r="N122" s="244">
        <v>0.29888950381679402</v>
      </c>
      <c r="O122" s="244">
        <v>6.2633969465648906E-2</v>
      </c>
      <c r="P122" s="244">
        <v>12.1297519083969</v>
      </c>
      <c r="Q122" s="244">
        <v>0</v>
      </c>
      <c r="R122" s="244">
        <v>7.1107981870229002</v>
      </c>
      <c r="S122" s="244">
        <v>0.39757633587786301</v>
      </c>
      <c r="T122" s="244">
        <v>0.21181870229007599</v>
      </c>
      <c r="U122" s="244">
        <v>36.516419847328201</v>
      </c>
      <c r="V122" s="244">
        <v>0</v>
      </c>
      <c r="W122" s="244">
        <v>5.1327776717557301</v>
      </c>
      <c r="X122" s="244">
        <v>0.75572519083969503</v>
      </c>
      <c r="Y122" s="244">
        <v>35.689884541984704</v>
      </c>
      <c r="Z122" s="244">
        <v>191.36868511450399</v>
      </c>
      <c r="AA122" s="244">
        <v>0</v>
      </c>
      <c r="AB122" s="244">
        <v>0</v>
      </c>
      <c r="AC122" s="244">
        <v>2.5404776717557298</v>
      </c>
      <c r="AD122" s="244">
        <v>28.947311259542001</v>
      </c>
      <c r="AE122" s="244">
        <v>9.2469465648854998E-2</v>
      </c>
      <c r="AF122" s="244">
        <v>0.513694847328244</v>
      </c>
      <c r="AG122" s="244">
        <v>0.34772461832061102</v>
      </c>
      <c r="AH122" s="244">
        <v>22.421011450381702</v>
      </c>
      <c r="AI122" s="244">
        <v>272.994446564886</v>
      </c>
      <c r="AJ122" s="244">
        <v>0.87483835877862604</v>
      </c>
      <c r="AK122" s="244">
        <v>0.21404083969465601</v>
      </c>
      <c r="AL122" s="244">
        <v>0.94799217557251902</v>
      </c>
      <c r="AM122" s="244">
        <v>1.3174532442748099</v>
      </c>
      <c r="AN122" s="244">
        <v>3.4003379770992401</v>
      </c>
      <c r="AO122" s="244">
        <v>0</v>
      </c>
      <c r="AP122" s="244">
        <v>1.7476183206106902E-2</v>
      </c>
      <c r="AQ122" s="244">
        <v>3.1696259541984698E-2</v>
      </c>
      <c r="AR122" s="244">
        <v>5.3467977099236702E-2</v>
      </c>
      <c r="AS122" s="244">
        <v>2.75058015267176E-2</v>
      </c>
      <c r="AT122" s="244">
        <v>9.1139503816793904E-3</v>
      </c>
      <c r="AU122" s="244">
        <v>7.4169274809160303E-3</v>
      </c>
      <c r="AV122" s="244">
        <v>3.3262557251908402E-2</v>
      </c>
      <c r="AW122" s="244">
        <v>3.2126965648854998E-2</v>
      </c>
      <c r="AX122" s="244">
        <v>7.2159160305343504E-3</v>
      </c>
      <c r="AY122" s="244">
        <v>4.2093225190839703E-2</v>
      </c>
      <c r="AZ122" s="244">
        <v>5.29002099236641E-2</v>
      </c>
      <c r="BA122" s="244">
        <v>5.0639885496183201E-2</v>
      </c>
      <c r="BB122" s="244">
        <v>0.101842729007634</v>
      </c>
      <c r="BC122" s="244">
        <v>0.11477080152671799</v>
      </c>
      <c r="BD122" s="244">
        <v>4.8653645038167902E-2</v>
      </c>
      <c r="BE122" s="244">
        <v>3.1786259541984697E-2</v>
      </c>
      <c r="BF122" s="244">
        <v>3.7301259541984703E-2</v>
      </c>
      <c r="BG122" s="244">
        <v>2.4650515267175599E-2</v>
      </c>
      <c r="BH122" s="244">
        <v>14.438129770992401</v>
      </c>
      <c r="BI122" s="244">
        <v>18.367061068702299</v>
      </c>
      <c r="BJ122" s="244">
        <v>1.9370229007633599</v>
      </c>
      <c r="BK122" s="244">
        <v>1.40343511450382</v>
      </c>
      <c r="BL122" s="244">
        <v>0</v>
      </c>
      <c r="BM122" s="244">
        <v>0.231011450381679</v>
      </c>
      <c r="BN122" s="244">
        <v>0.26517175572519103</v>
      </c>
      <c r="BO122" s="244">
        <v>39.724732824427498</v>
      </c>
      <c r="BP122" s="244">
        <v>3.0229007633587801</v>
      </c>
      <c r="BQ122" s="244">
        <v>10.0767366412214</v>
      </c>
      <c r="BR122" s="244">
        <v>0.17444656488549601</v>
      </c>
      <c r="BS122" s="244">
        <v>1.57442748091603E-2</v>
      </c>
      <c r="BT122" s="244">
        <v>70.098606870229005</v>
      </c>
      <c r="BU122" s="244">
        <v>22.2229198473282</v>
      </c>
      <c r="BV122" s="244">
        <v>3.5477099236641201</v>
      </c>
      <c r="BW122" s="244">
        <v>0</v>
      </c>
      <c r="BX122" s="244">
        <v>21.214626908396902</v>
      </c>
      <c r="BY122" s="244">
        <v>4.5973282442748099E-2</v>
      </c>
      <c r="BZ122" s="244">
        <v>0</v>
      </c>
      <c r="CA122" s="244">
        <v>0.43893129770992401</v>
      </c>
    </row>
    <row r="123" spans="1:79">
      <c r="A123" s="245">
        <v>25601</v>
      </c>
      <c r="B123" s="243" t="s">
        <v>1734</v>
      </c>
      <c r="C123" s="27" t="s">
        <v>1686</v>
      </c>
      <c r="D123" s="246">
        <v>160</v>
      </c>
      <c r="E123" s="248">
        <v>285.08139534883702</v>
      </c>
      <c r="F123" s="244">
        <v>60.908372093023303</v>
      </c>
      <c r="G123" s="244">
        <v>12.293720930232601</v>
      </c>
      <c r="H123" s="244">
        <v>18.021744186046501</v>
      </c>
      <c r="I123" s="244">
        <v>36.563720930232599</v>
      </c>
      <c r="J123" s="244">
        <v>10.0731976744186</v>
      </c>
      <c r="K123" s="244">
        <v>2.7104651162790701E-2</v>
      </c>
      <c r="L123" s="244">
        <v>7.0531976744186098E-2</v>
      </c>
      <c r="M123" s="244">
        <v>0.30190116279069801</v>
      </c>
      <c r="N123" s="244">
        <v>0.14274418604651201</v>
      </c>
      <c r="O123" s="244">
        <v>0.12631395348837199</v>
      </c>
      <c r="P123" s="244">
        <v>7.7203488372092997</v>
      </c>
      <c r="Q123" s="244">
        <v>0</v>
      </c>
      <c r="R123" s="244">
        <v>25.882796511627902</v>
      </c>
      <c r="S123" s="244">
        <v>1.06313953488372</v>
      </c>
      <c r="T123" s="244">
        <v>0.17056976744186</v>
      </c>
      <c r="U123" s="244">
        <v>15.5864069767442</v>
      </c>
      <c r="V123" s="244">
        <v>0</v>
      </c>
      <c r="W123" s="244">
        <v>3.3602500000000002</v>
      </c>
      <c r="X123" s="244">
        <v>0</v>
      </c>
      <c r="Y123" s="244">
        <v>40.311843023255797</v>
      </c>
      <c r="Z123" s="244">
        <v>73.2708720930233</v>
      </c>
      <c r="AA123" s="244">
        <v>0</v>
      </c>
      <c r="AB123" s="244">
        <v>0</v>
      </c>
      <c r="AC123" s="244">
        <v>9.1408313953488403</v>
      </c>
      <c r="AD123" s="244">
        <v>429.90610465116299</v>
      </c>
      <c r="AE123" s="244">
        <v>0.41075581395348798</v>
      </c>
      <c r="AF123" s="244">
        <v>10.564941860465099</v>
      </c>
      <c r="AG123" s="244">
        <v>0.18618604651162801</v>
      </c>
      <c r="AH123" s="244">
        <v>21.203488372092998</v>
      </c>
      <c r="AI123" s="244">
        <v>172.64238372093001</v>
      </c>
      <c r="AJ123" s="244">
        <v>0.148546511627907</v>
      </c>
      <c r="AK123" s="244">
        <v>0.75860465116279097</v>
      </c>
      <c r="AL123" s="244">
        <v>0.78534883720930204</v>
      </c>
      <c r="AM123" s="244">
        <v>1.0820930232558099</v>
      </c>
      <c r="AN123" s="244">
        <v>2.8222674418604701</v>
      </c>
      <c r="AO123" s="244">
        <v>0</v>
      </c>
      <c r="AP123" s="244">
        <v>2.3616279069767401E-2</v>
      </c>
      <c r="AQ123" s="244">
        <v>4.3162790697674397E-2</v>
      </c>
      <c r="AR123" s="244">
        <v>6.4569767441860507E-2</v>
      </c>
      <c r="AS123" s="244">
        <v>4.7145348837209299E-2</v>
      </c>
      <c r="AT123" s="244">
        <v>1.74709302325581E-2</v>
      </c>
      <c r="AU123" s="244">
        <v>1.7848837209302301E-2</v>
      </c>
      <c r="AV123" s="244">
        <v>5.7104651162790697E-2</v>
      </c>
      <c r="AW123" s="244">
        <v>4.54476744186047E-2</v>
      </c>
      <c r="AX123" s="244">
        <v>1.21279069767442E-2</v>
      </c>
      <c r="AY123" s="244">
        <v>5.1511627906976699E-2</v>
      </c>
      <c r="AZ123" s="244">
        <v>6.5930232558139498E-2</v>
      </c>
      <c r="BA123" s="244">
        <v>0.123482558139535</v>
      </c>
      <c r="BB123" s="244">
        <v>0.18561627906976699</v>
      </c>
      <c r="BC123" s="244">
        <v>0.303255813953488</v>
      </c>
      <c r="BD123" s="244">
        <v>6.7633720930232594E-2</v>
      </c>
      <c r="BE123" s="244">
        <v>3.9389534883720899E-2</v>
      </c>
      <c r="BF123" s="244">
        <v>5.07848837209302E-2</v>
      </c>
      <c r="BG123" s="244">
        <v>3.32383720930233E-2</v>
      </c>
      <c r="BH123" s="244">
        <v>31.409418604651201</v>
      </c>
      <c r="BI123" s="244">
        <v>8.6741279069767394</v>
      </c>
      <c r="BJ123" s="244">
        <v>9.8720930232558199</v>
      </c>
      <c r="BK123" s="244">
        <v>12.7593023255814</v>
      </c>
      <c r="BL123" s="244">
        <v>0</v>
      </c>
      <c r="BM123" s="244">
        <v>0</v>
      </c>
      <c r="BN123" s="244">
        <v>1.6545348837209299</v>
      </c>
      <c r="BO123" s="244">
        <v>349.38319767441902</v>
      </c>
      <c r="BP123" s="244">
        <v>0</v>
      </c>
      <c r="BQ123" s="244">
        <v>5071.3002325581401</v>
      </c>
      <c r="BR123" s="244">
        <v>0</v>
      </c>
      <c r="BS123" s="244">
        <v>0</v>
      </c>
      <c r="BT123" s="244">
        <v>2735.95488372093</v>
      </c>
      <c r="BU123" s="244">
        <v>42.451918604651198</v>
      </c>
      <c r="BV123" s="244">
        <v>0</v>
      </c>
      <c r="BW123" s="244">
        <v>0</v>
      </c>
      <c r="BX123" s="244">
        <v>134.75029069767399</v>
      </c>
      <c r="BY123" s="244">
        <v>0</v>
      </c>
      <c r="BZ123" s="244">
        <v>0</v>
      </c>
      <c r="CA123" s="244">
        <v>2.63953488372093</v>
      </c>
    </row>
    <row r="124" spans="1:79">
      <c r="A124" s="245">
        <v>25620</v>
      </c>
      <c r="B124" s="243" t="s">
        <v>1735</v>
      </c>
      <c r="C124" s="27" t="s">
        <v>1686</v>
      </c>
      <c r="D124" s="246">
        <v>161</v>
      </c>
      <c r="E124" s="248">
        <v>419.91860465116298</v>
      </c>
      <c r="F124" s="244">
        <v>64.113023255813999</v>
      </c>
      <c r="G124" s="244">
        <v>12.130465116279099</v>
      </c>
      <c r="H124" s="244">
        <v>32.382209302325599</v>
      </c>
      <c r="I124" s="244">
        <v>15.582325581395301</v>
      </c>
      <c r="J124" s="244">
        <v>9.2992441860465096</v>
      </c>
      <c r="K124" s="244">
        <v>0.45701162790697702</v>
      </c>
      <c r="L124" s="244">
        <v>0.26583430232558097</v>
      </c>
      <c r="M124" s="244">
        <v>2.8580639534883701</v>
      </c>
      <c r="N124" s="244">
        <v>0.40939534883720902</v>
      </c>
      <c r="O124" s="244">
        <v>0.55077906976744195</v>
      </c>
      <c r="P124" s="244">
        <v>48.776162790697697</v>
      </c>
      <c r="Q124" s="244">
        <v>0</v>
      </c>
      <c r="R124" s="244">
        <v>25.882796511627902</v>
      </c>
      <c r="S124" s="244">
        <v>42.802209302325601</v>
      </c>
      <c r="T124" s="244">
        <v>1.37987209302326</v>
      </c>
      <c r="U124" s="244">
        <v>82.098034883720899</v>
      </c>
      <c r="V124" s="244">
        <v>0</v>
      </c>
      <c r="W124" s="244">
        <v>3.3602500000000002</v>
      </c>
      <c r="X124" s="244">
        <v>0</v>
      </c>
      <c r="Y124" s="244">
        <v>42.820540697674403</v>
      </c>
      <c r="Z124" s="244">
        <v>84.083848837209302</v>
      </c>
      <c r="AA124" s="244">
        <v>0</v>
      </c>
      <c r="AB124" s="244">
        <v>0</v>
      </c>
      <c r="AC124" s="244">
        <v>10.4033430232558</v>
      </c>
      <c r="AD124" s="244">
        <v>604.650290697674</v>
      </c>
      <c r="AE124" s="244">
        <v>2.8656395348837198</v>
      </c>
      <c r="AF124" s="244">
        <v>7.2393604651162802</v>
      </c>
      <c r="AG124" s="244">
        <v>1.7159534883720899</v>
      </c>
      <c r="AH124" s="244">
        <v>399.09232558139502</v>
      </c>
      <c r="AI124" s="244">
        <v>453.80517441860502</v>
      </c>
      <c r="AJ124" s="244">
        <v>9.6415697674418599</v>
      </c>
      <c r="AK124" s="244">
        <v>5.4144186046511598</v>
      </c>
      <c r="AL124" s="244">
        <v>4.51604651162791</v>
      </c>
      <c r="AM124" s="244">
        <v>11.4881395348837</v>
      </c>
      <c r="AN124" s="244">
        <v>14.9576162790698</v>
      </c>
      <c r="AO124" s="244">
        <v>0</v>
      </c>
      <c r="AP124" s="244">
        <v>0.32170930232558098</v>
      </c>
      <c r="AQ124" s="244">
        <v>0.74516279069767499</v>
      </c>
      <c r="AR124" s="244">
        <v>0.79861627906976695</v>
      </c>
      <c r="AS124" s="244">
        <v>0.37426162790697698</v>
      </c>
      <c r="AT124" s="244">
        <v>0.36575000000000002</v>
      </c>
      <c r="AU124" s="244">
        <v>0.17143023255813999</v>
      </c>
      <c r="AV124" s="244">
        <v>0.60068604651162805</v>
      </c>
      <c r="AW124" s="244">
        <v>0.49833139534883703</v>
      </c>
      <c r="AX124" s="244">
        <v>0.243709302325581</v>
      </c>
      <c r="AY124" s="244">
        <v>0.493511627906977</v>
      </c>
      <c r="AZ124" s="244">
        <v>0.78848837209302303</v>
      </c>
      <c r="BA124" s="244">
        <v>1.5299011627907</v>
      </c>
      <c r="BB124" s="244">
        <v>1.29152325581395</v>
      </c>
      <c r="BC124" s="244">
        <v>2.8597209302325601</v>
      </c>
      <c r="BD124" s="244">
        <v>0.80470348837209305</v>
      </c>
      <c r="BE124" s="244">
        <v>0.50134302325581404</v>
      </c>
      <c r="BF124" s="244">
        <v>0.74492441860465097</v>
      </c>
      <c r="BG124" s="244">
        <v>0.448029069767442</v>
      </c>
      <c r="BH124" s="244">
        <v>123.92104651162801</v>
      </c>
      <c r="BI124" s="244">
        <v>551.45133720930198</v>
      </c>
      <c r="BJ124" s="244">
        <v>9.8720930232558199</v>
      </c>
      <c r="BK124" s="244">
        <v>28.238372093023301</v>
      </c>
      <c r="BL124" s="244">
        <v>0</v>
      </c>
      <c r="BM124" s="244">
        <v>0</v>
      </c>
      <c r="BN124" s="244">
        <v>1.6545348837209299</v>
      </c>
      <c r="BO124" s="244">
        <v>2305.4297093023301</v>
      </c>
      <c r="BP124" s="244">
        <v>0</v>
      </c>
      <c r="BQ124" s="244">
        <v>9383.0676744186094</v>
      </c>
      <c r="BR124" s="244">
        <v>40.9106976744186</v>
      </c>
      <c r="BS124" s="244">
        <v>0</v>
      </c>
      <c r="BT124" s="244">
        <v>11717.443255814</v>
      </c>
      <c r="BU124" s="244">
        <v>98.079825581395298</v>
      </c>
      <c r="BV124" s="244">
        <v>0</v>
      </c>
      <c r="BW124" s="244">
        <v>0</v>
      </c>
      <c r="BX124" s="244">
        <v>263.11773255814001</v>
      </c>
      <c r="BY124" s="244">
        <v>0</v>
      </c>
      <c r="BZ124" s="244">
        <v>0</v>
      </c>
      <c r="CA124" s="244">
        <v>2.63953488372093</v>
      </c>
    </row>
    <row r="125" spans="1:79">
      <c r="A125" s="245">
        <v>23602</v>
      </c>
      <c r="B125" s="243" t="s">
        <v>1736</v>
      </c>
      <c r="C125" s="27" t="s">
        <v>1686</v>
      </c>
      <c r="D125" s="246">
        <v>162</v>
      </c>
      <c r="E125" s="248">
        <v>346.19856887298801</v>
      </c>
      <c r="F125" s="244">
        <v>90.599212880143099</v>
      </c>
      <c r="G125" s="244">
        <v>19.0936672629696</v>
      </c>
      <c r="H125" s="244">
        <v>7.0550268336314801</v>
      </c>
      <c r="I125" s="244">
        <v>52.9485509838998</v>
      </c>
      <c r="J125" s="244">
        <v>9.7481574239713797</v>
      </c>
      <c r="K125" s="244">
        <v>0.63393327370304098</v>
      </c>
      <c r="L125" s="244">
        <v>0.213648032200358</v>
      </c>
      <c r="M125" s="244">
        <v>1.80966905187835</v>
      </c>
      <c r="N125" s="244">
        <v>1.2525438282647601</v>
      </c>
      <c r="O125" s="244">
        <v>0.38280375670840799</v>
      </c>
      <c r="P125" s="244">
        <v>355.24422182468697</v>
      </c>
      <c r="Q125" s="244">
        <v>0</v>
      </c>
      <c r="R125" s="244">
        <v>16.644069409660101</v>
      </c>
      <c r="S125" s="244">
        <v>0.47237924865831799</v>
      </c>
      <c r="T125" s="244">
        <v>0.27196422182468699</v>
      </c>
      <c r="U125" s="244">
        <v>27.813348837209301</v>
      </c>
      <c r="V125" s="244">
        <v>0</v>
      </c>
      <c r="W125" s="244">
        <v>10.743611806797899</v>
      </c>
      <c r="X125" s="244">
        <v>1.9964221824686901</v>
      </c>
      <c r="Y125" s="244">
        <v>98.192901610017898</v>
      </c>
      <c r="Z125" s="244">
        <v>364.78225760286199</v>
      </c>
      <c r="AA125" s="244">
        <v>0</v>
      </c>
      <c r="AB125" s="244">
        <v>0</v>
      </c>
      <c r="AC125" s="244">
        <v>48.425484794275498</v>
      </c>
      <c r="AD125" s="244">
        <v>122.082754919499</v>
      </c>
      <c r="AE125" s="244">
        <v>0.88944186046511597</v>
      </c>
      <c r="AF125" s="244">
        <v>7.0807692307692296</v>
      </c>
      <c r="AG125" s="244">
        <v>1.35769588550984</v>
      </c>
      <c r="AH125" s="244">
        <v>440.74953488372103</v>
      </c>
      <c r="AI125" s="244">
        <v>1037.1761359570701</v>
      </c>
      <c r="AJ125" s="244">
        <v>6.5135420393559897</v>
      </c>
      <c r="AK125" s="244">
        <v>3.06651162790698</v>
      </c>
      <c r="AL125" s="244">
        <v>1.21935778175313</v>
      </c>
      <c r="AM125" s="244">
        <v>1.47196064400716</v>
      </c>
      <c r="AN125" s="244">
        <v>3.9711001788908802</v>
      </c>
      <c r="AO125" s="244">
        <v>0</v>
      </c>
      <c r="AP125" s="244">
        <v>0.57816279069767496</v>
      </c>
      <c r="AQ125" s="244">
        <v>0.76880679785330996</v>
      </c>
      <c r="AR125" s="244">
        <v>1.4428014311270101</v>
      </c>
      <c r="AS125" s="244">
        <v>1.2729606440071599</v>
      </c>
      <c r="AT125" s="244">
        <v>0.26707334525939203</v>
      </c>
      <c r="AU125" s="244">
        <v>0.20831663685152099</v>
      </c>
      <c r="AV125" s="244">
        <v>1.09884436493739</v>
      </c>
      <c r="AW125" s="244">
        <v>0.72408765652951701</v>
      </c>
      <c r="AX125" s="244">
        <v>0.23480500894454401</v>
      </c>
      <c r="AY125" s="244">
        <v>0.900649373881932</v>
      </c>
      <c r="AZ125" s="244">
        <v>0.877325581395349</v>
      </c>
      <c r="BA125" s="244">
        <v>1.29982468694097</v>
      </c>
      <c r="BB125" s="244">
        <v>2.3093559928443699</v>
      </c>
      <c r="BC125" s="244">
        <v>3.5972307692307699</v>
      </c>
      <c r="BD125" s="244">
        <v>0.78100715563506296</v>
      </c>
      <c r="BE125" s="244">
        <v>0.84418425760286198</v>
      </c>
      <c r="BF125" s="244">
        <v>0.94719677996422202</v>
      </c>
      <c r="BG125" s="244">
        <v>0.61399999999999999</v>
      </c>
      <c r="BH125" s="244">
        <v>20.325366726296998</v>
      </c>
      <c r="BI125" s="244">
        <v>27.7614847942755</v>
      </c>
      <c r="BJ125" s="244">
        <v>8.5259391771019697</v>
      </c>
      <c r="BK125" s="244">
        <v>7.09284436493739</v>
      </c>
      <c r="BL125" s="244">
        <v>0</v>
      </c>
      <c r="BM125" s="244">
        <v>0</v>
      </c>
      <c r="BN125" s="244">
        <v>0.209624329159213</v>
      </c>
      <c r="BO125" s="244">
        <v>25.220787119856901</v>
      </c>
      <c r="BP125" s="244">
        <v>7.9856887298747798</v>
      </c>
      <c r="BQ125" s="244">
        <v>22.5520930232558</v>
      </c>
      <c r="BR125" s="244">
        <v>0.46084078711985699</v>
      </c>
      <c r="BS125" s="244">
        <v>4.1592128801431101E-2</v>
      </c>
      <c r="BT125" s="244">
        <v>73.375384615384604</v>
      </c>
      <c r="BU125" s="244">
        <v>24.478175313059001</v>
      </c>
      <c r="BV125" s="244">
        <v>9.3720930232558199</v>
      </c>
      <c r="BW125" s="244">
        <v>0</v>
      </c>
      <c r="BX125" s="244">
        <v>6.2145080500894503</v>
      </c>
      <c r="BY125" s="244">
        <v>0.121449016100179</v>
      </c>
      <c r="BZ125" s="244">
        <v>0</v>
      </c>
      <c r="CA125" s="244">
        <v>1.3559928443649401</v>
      </c>
    </row>
    <row r="126" spans="1:79">
      <c r="A126" s="245">
        <v>25602</v>
      </c>
      <c r="B126" s="243" t="s">
        <v>1737</v>
      </c>
      <c r="C126" s="27" t="s">
        <v>1686</v>
      </c>
      <c r="D126" s="246">
        <v>163</v>
      </c>
      <c r="E126" s="248">
        <v>333.13690476190499</v>
      </c>
      <c r="F126" s="244">
        <v>132.837083333333</v>
      </c>
      <c r="G126" s="244">
        <v>3.29845238095238</v>
      </c>
      <c r="H126" s="244">
        <v>31.313690476190501</v>
      </c>
      <c r="I126" s="244">
        <v>6.2529761904761898</v>
      </c>
      <c r="J126" s="244">
        <v>6.6409523809523803</v>
      </c>
      <c r="K126" s="244">
        <v>6.3535714285714306E-2</v>
      </c>
      <c r="L126" s="244">
        <v>9.7851190476190494E-2</v>
      </c>
      <c r="M126" s="244">
        <v>1.0104166666666701</v>
      </c>
      <c r="N126" s="244">
        <v>0.33148809523809503</v>
      </c>
      <c r="O126" s="244">
        <v>0.183642857142857</v>
      </c>
      <c r="P126" s="244">
        <v>27.1142857142857</v>
      </c>
      <c r="Q126" s="244">
        <v>0</v>
      </c>
      <c r="R126" s="244">
        <v>3.1153928571428602</v>
      </c>
      <c r="S126" s="244">
        <v>1.34107142857143</v>
      </c>
      <c r="T126" s="244">
        <v>0.85452380952381002</v>
      </c>
      <c r="U126" s="244">
        <v>25.343047619047599</v>
      </c>
      <c r="V126" s="244">
        <v>0</v>
      </c>
      <c r="W126" s="244">
        <v>28.738630952381001</v>
      </c>
      <c r="X126" s="244">
        <v>0</v>
      </c>
      <c r="Y126" s="244">
        <v>308.99729761904803</v>
      </c>
      <c r="Z126" s="244">
        <v>227.98511904761901</v>
      </c>
      <c r="AA126" s="244">
        <v>1.17128571428571</v>
      </c>
      <c r="AB126" s="244">
        <v>51.396428571428601</v>
      </c>
      <c r="AC126" s="244">
        <v>91.219547619047603</v>
      </c>
      <c r="AD126" s="244">
        <v>37.967511904761899</v>
      </c>
      <c r="AE126" s="244">
        <v>0.91283333333333305</v>
      </c>
      <c r="AF126" s="244">
        <v>0.79458333333333298</v>
      </c>
      <c r="AG126" s="244">
        <v>0.362130952380952</v>
      </c>
      <c r="AH126" s="244">
        <v>71.689285714285703</v>
      </c>
      <c r="AI126" s="244">
        <v>239.708452380952</v>
      </c>
      <c r="AJ126" s="244">
        <v>0.77315476190476196</v>
      </c>
      <c r="AK126" s="244">
        <v>0.73392857142857204</v>
      </c>
      <c r="AL126" s="244">
        <v>1.8517261904761899</v>
      </c>
      <c r="AM126" s="244">
        <v>20.273392857142898</v>
      </c>
      <c r="AN126" s="244">
        <v>5.00480952380952</v>
      </c>
      <c r="AO126" s="244">
        <v>0</v>
      </c>
      <c r="AP126" s="244">
        <v>5.2535714285714297E-2</v>
      </c>
      <c r="AQ126" s="244">
        <v>9.7428571428571503E-2</v>
      </c>
      <c r="AR126" s="244">
        <v>0.15173809523809501</v>
      </c>
      <c r="AS126" s="244">
        <v>0.10182142857142901</v>
      </c>
      <c r="AT126" s="244">
        <v>2.5767857142857099E-2</v>
      </c>
      <c r="AU126" s="244">
        <v>2.5779761904761899E-2</v>
      </c>
      <c r="AV126" s="244">
        <v>0.125785714285714</v>
      </c>
      <c r="AW126" s="244">
        <v>8.5494047619047595E-2</v>
      </c>
      <c r="AX126" s="244">
        <v>2.34047619047619E-2</v>
      </c>
      <c r="AY126" s="244">
        <v>0.12175595238095201</v>
      </c>
      <c r="AZ126" s="244">
        <v>0.13827976190476199</v>
      </c>
      <c r="BA126" s="244">
        <v>0.15790476190476199</v>
      </c>
      <c r="BB126" s="244">
        <v>0.40239880952381002</v>
      </c>
      <c r="BC126" s="244">
        <v>0.55159523809523803</v>
      </c>
      <c r="BD126" s="244">
        <v>0.11910119047619</v>
      </c>
      <c r="BE126" s="244">
        <v>0.103261904761905</v>
      </c>
      <c r="BF126" s="244">
        <v>0.10328571428571399</v>
      </c>
      <c r="BG126" s="244">
        <v>7.56726190476191E-2</v>
      </c>
      <c r="BH126" s="244">
        <v>36.132380952380998</v>
      </c>
      <c r="BI126" s="244">
        <v>29.328452380952399</v>
      </c>
      <c r="BJ126" s="244">
        <v>2.9285714285714302</v>
      </c>
      <c r="BK126" s="244">
        <v>11.185714285714299</v>
      </c>
      <c r="BL126" s="244">
        <v>0</v>
      </c>
      <c r="BM126" s="244">
        <v>0</v>
      </c>
      <c r="BN126" s="244">
        <v>2.1521428571428598</v>
      </c>
      <c r="BO126" s="244">
        <v>93.193095238095296</v>
      </c>
      <c r="BP126" s="244">
        <v>0</v>
      </c>
      <c r="BQ126" s="244">
        <v>60.345238095238102</v>
      </c>
      <c r="BR126" s="244">
        <v>0.24107142857142899</v>
      </c>
      <c r="BS126" s="244">
        <v>0</v>
      </c>
      <c r="BT126" s="244">
        <v>300.482142857143</v>
      </c>
      <c r="BU126" s="244">
        <v>39.049404761904803</v>
      </c>
      <c r="BV126" s="244">
        <v>0</v>
      </c>
      <c r="BW126" s="244">
        <v>0</v>
      </c>
      <c r="BX126" s="244">
        <v>26.705059523809499</v>
      </c>
      <c r="BY126" s="244">
        <v>0</v>
      </c>
      <c r="BZ126" s="244">
        <v>0</v>
      </c>
      <c r="CA126" s="244">
        <v>1.4047619047619</v>
      </c>
    </row>
    <row r="127" spans="1:79">
      <c r="A127" s="245">
        <v>21602</v>
      </c>
      <c r="B127" s="243" t="s">
        <v>1738</v>
      </c>
      <c r="C127" s="27" t="s">
        <v>1686</v>
      </c>
      <c r="D127" s="246">
        <v>164</v>
      </c>
      <c r="E127" s="248">
        <v>183.32950191570899</v>
      </c>
      <c r="F127" s="244">
        <v>176.74873563218401</v>
      </c>
      <c r="G127" s="244">
        <v>5.6310727969348697</v>
      </c>
      <c r="H127" s="244">
        <v>11.674789272030701</v>
      </c>
      <c r="I127" s="244">
        <v>9.3749425287356303</v>
      </c>
      <c r="J127" s="244">
        <v>9.3008812260536402</v>
      </c>
      <c r="K127" s="244">
        <v>0.14945210727969399</v>
      </c>
      <c r="L127" s="244">
        <v>0.26023946360153299</v>
      </c>
      <c r="M127" s="244">
        <v>1.4043639846743301</v>
      </c>
      <c r="N127" s="244">
        <v>0.17736015325670501</v>
      </c>
      <c r="O127" s="244">
        <v>0.44046360153256697</v>
      </c>
      <c r="P127" s="244">
        <v>69.056781609195397</v>
      </c>
      <c r="Q127" s="244">
        <v>0</v>
      </c>
      <c r="R127" s="244">
        <v>34.070314176245198</v>
      </c>
      <c r="S127" s="244">
        <v>0.25283524904214599</v>
      </c>
      <c r="T127" s="244">
        <v>1.2949042145593901</v>
      </c>
      <c r="U127" s="244">
        <v>18.1544061302682</v>
      </c>
      <c r="V127" s="244">
        <v>0</v>
      </c>
      <c r="W127" s="244">
        <v>314.39403448275903</v>
      </c>
      <c r="X127" s="244">
        <v>0</v>
      </c>
      <c r="Y127" s="244">
        <v>3706.9858275862098</v>
      </c>
      <c r="Z127" s="244">
        <v>111.984022988506</v>
      </c>
      <c r="AA127" s="244">
        <v>2.1361379310344799</v>
      </c>
      <c r="AB127" s="244">
        <v>93.7344827586207</v>
      </c>
      <c r="AC127" s="244">
        <v>159.80563218390799</v>
      </c>
      <c r="AD127" s="244">
        <v>158.34748659003799</v>
      </c>
      <c r="AE127" s="244">
        <v>0.406513409961686</v>
      </c>
      <c r="AF127" s="244">
        <v>4.1652490421456001</v>
      </c>
      <c r="AG127" s="244">
        <v>0.21188505747126399</v>
      </c>
      <c r="AH127" s="244">
        <v>75.264674329501901</v>
      </c>
      <c r="AI127" s="244">
        <v>448.14570881226001</v>
      </c>
      <c r="AJ127" s="244">
        <v>1.3833716475095801</v>
      </c>
      <c r="AK127" s="244">
        <v>0.93187739463601504</v>
      </c>
      <c r="AL127" s="244">
        <v>0.66643678160919495</v>
      </c>
      <c r="AM127" s="244">
        <v>6.8126819923371702</v>
      </c>
      <c r="AN127" s="244">
        <v>1.7713831417624499</v>
      </c>
      <c r="AO127" s="244">
        <v>0</v>
      </c>
      <c r="AP127" s="244">
        <v>3.1865900383141799E-2</v>
      </c>
      <c r="AQ127" s="244">
        <v>5.7413793103448303E-2</v>
      </c>
      <c r="AR127" s="244">
        <v>9.0689655172413799E-2</v>
      </c>
      <c r="AS127" s="244">
        <v>6.4674329501915706E-2</v>
      </c>
      <c r="AT127" s="244">
        <v>2.2072796934865899E-2</v>
      </c>
      <c r="AU127" s="244">
        <v>2.61570881226054E-2</v>
      </c>
      <c r="AV127" s="244">
        <v>7.3689655172413798E-2</v>
      </c>
      <c r="AW127" s="244">
        <v>6.0386973180076603E-2</v>
      </c>
      <c r="AX127" s="244">
        <v>1.6187739463601501E-2</v>
      </c>
      <c r="AY127" s="244">
        <v>7.0712643678160894E-2</v>
      </c>
      <c r="AZ127" s="244">
        <v>8.0295019157088102E-2</v>
      </c>
      <c r="BA127" s="244">
        <v>0.16368199233716499</v>
      </c>
      <c r="BB127" s="244">
        <v>0.20389655172413801</v>
      </c>
      <c r="BC127" s="244">
        <v>0.36175478927203097</v>
      </c>
      <c r="BD127" s="244">
        <v>8.6264367816091994E-2</v>
      </c>
      <c r="BE127" s="244">
        <v>7.4088122605364001E-2</v>
      </c>
      <c r="BF127" s="244">
        <v>6.28505747126437E-2</v>
      </c>
      <c r="BG127" s="244">
        <v>4.70689655172414E-2</v>
      </c>
      <c r="BH127" s="244">
        <v>32.041609195402302</v>
      </c>
      <c r="BI127" s="244">
        <v>27.647547892720301</v>
      </c>
      <c r="BJ127" s="244">
        <v>5.7088122605363996</v>
      </c>
      <c r="BK127" s="244">
        <v>5.5908045977011502</v>
      </c>
      <c r="BL127" s="244">
        <v>0</v>
      </c>
      <c r="BM127" s="244">
        <v>0</v>
      </c>
      <c r="BN127" s="244">
        <v>3.92498084291188</v>
      </c>
      <c r="BO127" s="244">
        <v>80.180996168582396</v>
      </c>
      <c r="BP127" s="244">
        <v>0</v>
      </c>
      <c r="BQ127" s="244">
        <v>60.102681992337203</v>
      </c>
      <c r="BR127" s="244">
        <v>0.43965517241379298</v>
      </c>
      <c r="BS127" s="244">
        <v>0</v>
      </c>
      <c r="BT127" s="244">
        <v>247.131570881226</v>
      </c>
      <c r="BU127" s="244">
        <v>14.9949042145594</v>
      </c>
      <c r="BV127" s="244">
        <v>0</v>
      </c>
      <c r="BW127" s="244">
        <v>0</v>
      </c>
      <c r="BX127" s="244">
        <v>41.082873563218399</v>
      </c>
      <c r="BY127" s="244">
        <v>0</v>
      </c>
      <c r="BZ127" s="244">
        <v>0</v>
      </c>
      <c r="CA127" s="244">
        <v>1.98850574712644</v>
      </c>
    </row>
    <row r="128" spans="1:79">
      <c r="A128" s="245">
        <v>21323</v>
      </c>
      <c r="B128" s="243" t="s">
        <v>1739</v>
      </c>
      <c r="C128" s="27" t="s">
        <v>1686</v>
      </c>
      <c r="D128" s="246">
        <v>165</v>
      </c>
      <c r="E128" s="248">
        <v>156.63218390804599</v>
      </c>
      <c r="F128" s="244">
        <v>184.883563218391</v>
      </c>
      <c r="G128" s="244">
        <v>2.3489272030651298</v>
      </c>
      <c r="H128" s="244">
        <v>10.551149425287401</v>
      </c>
      <c r="I128" s="244">
        <v>12.156091954022999</v>
      </c>
      <c r="J128" s="244">
        <v>3.0483141762452099</v>
      </c>
      <c r="K128" s="244">
        <v>3.90727969348659E-2</v>
      </c>
      <c r="L128" s="244">
        <v>0.32538122605364</v>
      </c>
      <c r="M128" s="244">
        <v>0.12020306513410001</v>
      </c>
      <c r="N128" s="244">
        <v>0.14698084291187699</v>
      </c>
      <c r="O128" s="244">
        <v>0.115325670498084</v>
      </c>
      <c r="P128" s="244">
        <v>6.5252873563218401</v>
      </c>
      <c r="Q128" s="244">
        <v>0</v>
      </c>
      <c r="R128" s="244">
        <v>52.230164750957897</v>
      </c>
      <c r="S128" s="244">
        <v>0.44628352490421502</v>
      </c>
      <c r="T128" s="244">
        <v>0.199241379310345</v>
      </c>
      <c r="U128" s="244">
        <v>22.251164750957901</v>
      </c>
      <c r="V128" s="244">
        <v>0</v>
      </c>
      <c r="W128" s="244">
        <v>37.394103448275899</v>
      </c>
      <c r="X128" s="244">
        <v>0</v>
      </c>
      <c r="Y128" s="244">
        <v>448.71968965517198</v>
      </c>
      <c r="Z128" s="244">
        <v>19.246091954023001</v>
      </c>
      <c r="AA128" s="244">
        <v>0</v>
      </c>
      <c r="AB128" s="244">
        <v>0</v>
      </c>
      <c r="AC128" s="244">
        <v>2.6711149425287402</v>
      </c>
      <c r="AD128" s="244">
        <v>186.95275862068999</v>
      </c>
      <c r="AE128" s="244">
        <v>0.222873563218391</v>
      </c>
      <c r="AF128" s="244">
        <v>3.3087739463601502</v>
      </c>
      <c r="AG128" s="244">
        <v>0.13567816091953999</v>
      </c>
      <c r="AH128" s="244">
        <v>64.802681992337199</v>
      </c>
      <c r="AI128" s="244">
        <v>126.114291187739</v>
      </c>
      <c r="AJ128" s="244">
        <v>0.15689655172413799</v>
      </c>
      <c r="AK128" s="244">
        <v>1.13107279693487</v>
      </c>
      <c r="AL128" s="244">
        <v>1.6454789272030701</v>
      </c>
      <c r="AM128" s="244">
        <v>2.3742911877394599</v>
      </c>
      <c r="AN128" s="244">
        <v>6.0152107279693503</v>
      </c>
      <c r="AO128" s="244">
        <v>0</v>
      </c>
      <c r="AP128" s="244">
        <v>1.7080459770114902E-2</v>
      </c>
      <c r="AQ128" s="244">
        <v>3.1229885057471301E-2</v>
      </c>
      <c r="AR128" s="244">
        <v>4.5681992337164697E-2</v>
      </c>
      <c r="AS128" s="244">
        <v>3.56245210727969E-2</v>
      </c>
      <c r="AT128" s="244">
        <v>1.3344827586206901E-2</v>
      </c>
      <c r="AU128" s="244">
        <v>1.3911877394636001E-2</v>
      </c>
      <c r="AV128" s="244">
        <v>3.8842911877394602E-2</v>
      </c>
      <c r="AW128" s="244">
        <v>3.2249042145593897E-2</v>
      </c>
      <c r="AX128" s="244">
        <v>9.7394636015325706E-3</v>
      </c>
      <c r="AY128" s="244">
        <v>3.7038314176245202E-2</v>
      </c>
      <c r="AZ128" s="244">
        <v>4.8379310344827599E-2</v>
      </c>
      <c r="BA128" s="244">
        <v>0.13007279693486601</v>
      </c>
      <c r="BB128" s="244">
        <v>0.11427203065134101</v>
      </c>
      <c r="BC128" s="244">
        <v>0.246141762452107</v>
      </c>
      <c r="BD128" s="244">
        <v>5.0701149425287403E-2</v>
      </c>
      <c r="BE128" s="244">
        <v>3.1555555555555601E-2</v>
      </c>
      <c r="BF128" s="244">
        <v>3.3931034482758603E-2</v>
      </c>
      <c r="BG128" s="244">
        <v>2.55747126436782E-2</v>
      </c>
      <c r="BH128" s="244">
        <v>21.923678160919501</v>
      </c>
      <c r="BI128" s="244">
        <v>6.7719157088122603</v>
      </c>
      <c r="BJ128" s="244">
        <v>3.2337164750957901</v>
      </c>
      <c r="BK128" s="244">
        <v>5.5908045977011502</v>
      </c>
      <c r="BL128" s="244">
        <v>0</v>
      </c>
      <c r="BM128" s="244">
        <v>0</v>
      </c>
      <c r="BN128" s="244">
        <v>0.36344827586206901</v>
      </c>
      <c r="BO128" s="244">
        <v>29.150421455938702</v>
      </c>
      <c r="BP128" s="244">
        <v>0</v>
      </c>
      <c r="BQ128" s="244">
        <v>22.330957854406101</v>
      </c>
      <c r="BR128" s="244">
        <v>0</v>
      </c>
      <c r="BS128" s="244">
        <v>0</v>
      </c>
      <c r="BT128" s="244">
        <v>76.219923371647496</v>
      </c>
      <c r="BU128" s="244">
        <v>6.4883141762452103</v>
      </c>
      <c r="BV128" s="244">
        <v>0</v>
      </c>
      <c r="BW128" s="244">
        <v>0</v>
      </c>
      <c r="BX128" s="244">
        <v>29.4818390804598</v>
      </c>
      <c r="BY128" s="244">
        <v>0</v>
      </c>
      <c r="BZ128" s="244">
        <v>0</v>
      </c>
      <c r="CA128" s="244">
        <v>1.98850574712644</v>
      </c>
    </row>
    <row r="129" spans="1:79">
      <c r="A129" s="245">
        <v>21601</v>
      </c>
      <c r="B129" s="243" t="s">
        <v>1740</v>
      </c>
      <c r="C129" s="27" t="s">
        <v>1686</v>
      </c>
      <c r="D129" s="246">
        <v>166</v>
      </c>
      <c r="E129" s="248">
        <v>190.77011494252901</v>
      </c>
      <c r="F129" s="244">
        <v>171.607701149425</v>
      </c>
      <c r="G129" s="244">
        <v>6.1723754789271998</v>
      </c>
      <c r="H129" s="244">
        <v>12.4932183908046</v>
      </c>
      <c r="I129" s="244">
        <v>12.2016091954023</v>
      </c>
      <c r="J129" s="244">
        <v>9.7241762452107299</v>
      </c>
      <c r="K129" s="244">
        <v>9.9342911877394594E-2</v>
      </c>
      <c r="L129" s="244">
        <v>0.118300766283525</v>
      </c>
      <c r="M129" s="244">
        <v>0.87813409961685795</v>
      </c>
      <c r="N129" s="244">
        <v>0.153977011494253</v>
      </c>
      <c r="O129" s="244">
        <v>0.38233908045977</v>
      </c>
      <c r="P129" s="244">
        <v>125.388122605364</v>
      </c>
      <c r="Q129" s="244">
        <v>0</v>
      </c>
      <c r="R129" s="244">
        <v>30.483768199233701</v>
      </c>
      <c r="S129" s="244">
        <v>0.44628352490421502</v>
      </c>
      <c r="T129" s="244">
        <v>0.98241379310344801</v>
      </c>
      <c r="U129" s="244">
        <v>22.251164750957901</v>
      </c>
      <c r="V129" s="244">
        <v>0</v>
      </c>
      <c r="W129" s="244">
        <v>1311.77348275862</v>
      </c>
      <c r="X129" s="244">
        <v>0</v>
      </c>
      <c r="Y129" s="244">
        <v>7878.5702413793097</v>
      </c>
      <c r="Z129" s="244">
        <v>18.863712643678198</v>
      </c>
      <c r="AA129" s="244">
        <v>0</v>
      </c>
      <c r="AB129" s="244">
        <v>0</v>
      </c>
      <c r="AC129" s="244">
        <v>2.5926666666666698</v>
      </c>
      <c r="AD129" s="244">
        <v>324.86027394636</v>
      </c>
      <c r="AE129" s="244">
        <v>0.21197126436781599</v>
      </c>
      <c r="AF129" s="244">
        <v>4.3258716475095804</v>
      </c>
      <c r="AG129" s="244">
        <v>0.13567816091953999</v>
      </c>
      <c r="AH129" s="244">
        <v>17.790038314176201</v>
      </c>
      <c r="AI129" s="244">
        <v>65.224626436781605</v>
      </c>
      <c r="AJ129" s="244">
        <v>0.15689655172413799</v>
      </c>
      <c r="AK129" s="244">
        <v>1.1971839080459801</v>
      </c>
      <c r="AL129" s="244">
        <v>1.6454789272030701</v>
      </c>
      <c r="AM129" s="244">
        <v>2.3742911877394599</v>
      </c>
      <c r="AN129" s="244">
        <v>6.0152107279693503</v>
      </c>
      <c r="AO129" s="244">
        <v>0</v>
      </c>
      <c r="AP129" s="244">
        <v>1.7080459770114902E-2</v>
      </c>
      <c r="AQ129" s="244">
        <v>3.1229885057471301E-2</v>
      </c>
      <c r="AR129" s="244">
        <v>4.5681992337164697E-2</v>
      </c>
      <c r="AS129" s="244">
        <v>3.56245210727969E-2</v>
      </c>
      <c r="AT129" s="244">
        <v>1.3344827586206901E-2</v>
      </c>
      <c r="AU129" s="244">
        <v>1.3911877394636001E-2</v>
      </c>
      <c r="AV129" s="244">
        <v>3.8842911877394602E-2</v>
      </c>
      <c r="AW129" s="244">
        <v>3.2249042145593897E-2</v>
      </c>
      <c r="AX129" s="244">
        <v>9.7394636015325706E-3</v>
      </c>
      <c r="AY129" s="244">
        <v>3.7038314176245202E-2</v>
      </c>
      <c r="AZ129" s="244">
        <v>4.8379310344827599E-2</v>
      </c>
      <c r="BA129" s="244">
        <v>0.13007279693486601</v>
      </c>
      <c r="BB129" s="244">
        <v>0.11427203065134101</v>
      </c>
      <c r="BC129" s="244">
        <v>0.246141762452107</v>
      </c>
      <c r="BD129" s="244">
        <v>5.0701149425287403E-2</v>
      </c>
      <c r="BE129" s="244">
        <v>3.1555555555555601E-2</v>
      </c>
      <c r="BF129" s="244">
        <v>3.3931034482758603E-2</v>
      </c>
      <c r="BG129" s="244">
        <v>2.55747126436782E-2</v>
      </c>
      <c r="BH129" s="244">
        <v>21.923678160919501</v>
      </c>
      <c r="BI129" s="244">
        <v>28.6201915708812</v>
      </c>
      <c r="BJ129" s="244">
        <v>3.2337164750957901</v>
      </c>
      <c r="BK129" s="244">
        <v>25.0114942528736</v>
      </c>
      <c r="BL129" s="244">
        <v>0</v>
      </c>
      <c r="BM129" s="244">
        <v>0</v>
      </c>
      <c r="BN129" s="244">
        <v>0.36344827586206901</v>
      </c>
      <c r="BO129" s="244">
        <v>227.90904214559399</v>
      </c>
      <c r="BP129" s="244">
        <v>0</v>
      </c>
      <c r="BQ129" s="244">
        <v>113.365440613027</v>
      </c>
      <c r="BR129" s="244">
        <v>0</v>
      </c>
      <c r="BS129" s="244">
        <v>0</v>
      </c>
      <c r="BT129" s="244">
        <v>400.90957854406099</v>
      </c>
      <c r="BU129" s="244">
        <v>1417.52279693487</v>
      </c>
      <c r="BV129" s="244">
        <v>0</v>
      </c>
      <c r="BW129" s="244">
        <v>0</v>
      </c>
      <c r="BX129" s="244">
        <v>59.826666666666704</v>
      </c>
      <c r="BY129" s="244">
        <v>0</v>
      </c>
      <c r="BZ129" s="244">
        <v>0</v>
      </c>
      <c r="CA129" s="244">
        <v>1.98850574712644</v>
      </c>
    </row>
    <row r="130" spans="1:79">
      <c r="A130" s="245">
        <v>55301</v>
      </c>
      <c r="B130" s="243" t="s">
        <v>1741</v>
      </c>
      <c r="C130" s="27" t="s">
        <v>1686</v>
      </c>
      <c r="D130" s="246">
        <v>167</v>
      </c>
      <c r="E130" s="248">
        <v>160.106433333333</v>
      </c>
      <c r="F130" s="244">
        <v>166.93461802898599</v>
      </c>
      <c r="G130" s="244">
        <v>4.4036740289855096</v>
      </c>
      <c r="H130" s="244">
        <v>8.4643369275362303</v>
      </c>
      <c r="I130" s="244">
        <v>15.9192123478261</v>
      </c>
      <c r="J130" s="244">
        <v>3.0749281159420301</v>
      </c>
      <c r="K130" s="244">
        <v>7.1610231884058004E-2</v>
      </c>
      <c r="L130" s="244">
        <v>0.108032942028986</v>
      </c>
      <c r="M130" s="244">
        <v>0.74746067826087004</v>
      </c>
      <c r="N130" s="244">
        <v>0.45820408695652198</v>
      </c>
      <c r="O130" s="244">
        <v>0.31618818840579699</v>
      </c>
      <c r="P130" s="244">
        <v>12.134398979710101</v>
      </c>
      <c r="Q130" s="244">
        <v>0</v>
      </c>
      <c r="R130" s="244">
        <v>17.535503623188401</v>
      </c>
      <c r="S130" s="244">
        <v>0.79277431884058003</v>
      </c>
      <c r="T130" s="244">
        <v>0.221119768115942</v>
      </c>
      <c r="U130" s="244">
        <v>15.1738695652174</v>
      </c>
      <c r="V130" s="244">
        <v>0.32126364057971002</v>
      </c>
      <c r="W130" s="244">
        <v>3.3032577855072498</v>
      </c>
      <c r="X130" s="244">
        <v>1.88579710144928E-2</v>
      </c>
      <c r="Y130" s="244">
        <v>35.535469275362303</v>
      </c>
      <c r="Z130" s="244">
        <v>18.182431884058001</v>
      </c>
      <c r="AA130" s="244">
        <v>0</v>
      </c>
      <c r="AB130" s="244">
        <v>8.4173913043478293E-2</v>
      </c>
      <c r="AC130" s="244">
        <v>91.279377971014497</v>
      </c>
      <c r="AD130" s="244">
        <v>36.635819176811601</v>
      </c>
      <c r="AE130" s="244">
        <v>0.44315101449275401</v>
      </c>
      <c r="AF130" s="244">
        <v>2.2252212956521702</v>
      </c>
      <c r="AG130" s="244">
        <v>1.4104860869565199</v>
      </c>
      <c r="AH130" s="244">
        <v>58.783897913043504</v>
      </c>
      <c r="AI130" s="244">
        <v>353.296153043478</v>
      </c>
      <c r="AJ130" s="244">
        <v>7.2344590724637703</v>
      </c>
      <c r="AK130" s="244">
        <v>1.16759750724638</v>
      </c>
      <c r="AL130" s="244">
        <v>1.9907457971014499</v>
      </c>
      <c r="AM130" s="244">
        <v>2.0651181449275402</v>
      </c>
      <c r="AN130" s="244">
        <v>4.0542593623188399</v>
      </c>
      <c r="AO130" s="244">
        <v>34.179710144927498</v>
      </c>
      <c r="AP130" s="244">
        <v>0.91489101449275401</v>
      </c>
      <c r="AQ130" s="244">
        <v>0.81557866666666701</v>
      </c>
      <c r="AR130" s="244">
        <v>1.47396214492754</v>
      </c>
      <c r="AS130" s="244">
        <v>1.5374308289855101</v>
      </c>
      <c r="AT130" s="244">
        <v>1.1362158144927501</v>
      </c>
      <c r="AU130" s="244">
        <v>1.62826431304348</v>
      </c>
      <c r="AV130" s="244">
        <v>1.5213156405797099</v>
      </c>
      <c r="AW130" s="244">
        <v>0.93008642318840595</v>
      </c>
      <c r="AX130" s="244">
        <v>0.30704114782608699</v>
      </c>
      <c r="AY130" s="244">
        <v>0.876552915942029</v>
      </c>
      <c r="AZ130" s="244">
        <v>0.553137657971014</v>
      </c>
      <c r="BA130" s="244">
        <v>2.6236287072463802</v>
      </c>
      <c r="BB130" s="244">
        <v>2.0636634086956498</v>
      </c>
      <c r="BC130" s="244">
        <v>0.62460782608695697</v>
      </c>
      <c r="BD130" s="244">
        <v>1.10897150144928</v>
      </c>
      <c r="BE130" s="244">
        <v>0.74972995942028997</v>
      </c>
      <c r="BF130" s="244">
        <v>0.97686653913043398</v>
      </c>
      <c r="BG130" s="244">
        <v>0.66418944927536205</v>
      </c>
      <c r="BH130" s="244">
        <v>36.4666782608696</v>
      </c>
      <c r="BI130" s="244">
        <v>53.981530434782599</v>
      </c>
      <c r="BJ130" s="244">
        <v>11.7065217391304</v>
      </c>
      <c r="BK130" s="244">
        <v>13.8950724637681</v>
      </c>
      <c r="BL130" s="244">
        <v>0</v>
      </c>
      <c r="BM130" s="244">
        <v>6.1236231884057997</v>
      </c>
      <c r="BN130" s="244">
        <v>59.216840579710102</v>
      </c>
      <c r="BO130" s="244">
        <v>432.74857391304403</v>
      </c>
      <c r="BP130" s="244">
        <v>25.723913043478301</v>
      </c>
      <c r="BQ130" s="244">
        <v>518.210486956522</v>
      </c>
      <c r="BR130" s="244">
        <v>9.9237681159420301</v>
      </c>
      <c r="BS130" s="244">
        <v>1.1594202898550701</v>
      </c>
      <c r="BT130" s="244">
        <v>217.26184927536201</v>
      </c>
      <c r="BU130" s="244">
        <v>39.477820289855103</v>
      </c>
      <c r="BV130" s="244">
        <v>0</v>
      </c>
      <c r="BW130" s="244">
        <v>47.935507246376801</v>
      </c>
      <c r="BX130" s="244">
        <v>420.94361971014501</v>
      </c>
      <c r="BY130" s="244">
        <v>0</v>
      </c>
      <c r="BZ130" s="244">
        <v>0</v>
      </c>
      <c r="CA130" s="244">
        <v>2.3043478260869601</v>
      </c>
    </row>
    <row r="131" spans="1:79">
      <c r="A131" s="245">
        <v>58102</v>
      </c>
      <c r="B131" s="243" t="s">
        <v>1742</v>
      </c>
      <c r="C131" s="27" t="s">
        <v>1686</v>
      </c>
      <c r="D131" s="246">
        <v>168</v>
      </c>
      <c r="E131" s="248">
        <v>248.39490046449899</v>
      </c>
      <c r="F131" s="244">
        <v>88.279621765096195</v>
      </c>
      <c r="G131" s="244">
        <v>15.6739781021898</v>
      </c>
      <c r="H131" s="244">
        <v>18.800404777703999</v>
      </c>
      <c r="I131" s="244">
        <v>3.9899203715992</v>
      </c>
      <c r="J131" s="244">
        <v>1.0469807564698099</v>
      </c>
      <c r="K131" s="244">
        <v>7.4471134704711298E-2</v>
      </c>
      <c r="L131" s="244">
        <v>9.2709024552090305E-2</v>
      </c>
      <c r="M131" s="244">
        <v>1.9167232913072301</v>
      </c>
      <c r="N131" s="244">
        <v>0.45849037823490402</v>
      </c>
      <c r="O131" s="244">
        <v>0.29155209024552098</v>
      </c>
      <c r="P131" s="244">
        <v>7.12772395487724</v>
      </c>
      <c r="Q131" s="244">
        <v>0</v>
      </c>
      <c r="R131" s="244">
        <v>1.56893662906437</v>
      </c>
      <c r="S131" s="244">
        <v>1.0044293297942899</v>
      </c>
      <c r="T131" s="244">
        <v>0.62196615792966203</v>
      </c>
      <c r="U131" s="244">
        <v>21.0448341074983</v>
      </c>
      <c r="V131" s="244">
        <v>9.4765600530855991</v>
      </c>
      <c r="W131" s="244">
        <v>6.7117252820172499</v>
      </c>
      <c r="X131" s="244">
        <v>2.7571333775713299E-2</v>
      </c>
      <c r="Y131" s="244">
        <v>72.021619110816204</v>
      </c>
      <c r="Z131" s="244">
        <v>18.8742899800929</v>
      </c>
      <c r="AA131" s="244">
        <v>0.27807564698075599</v>
      </c>
      <c r="AB131" s="244">
        <v>12.475779694757801</v>
      </c>
      <c r="AC131" s="244">
        <v>21.809505640345101</v>
      </c>
      <c r="AD131" s="244">
        <v>35.197450564034497</v>
      </c>
      <c r="AE131" s="244">
        <v>0.27045786330457899</v>
      </c>
      <c r="AF131" s="244">
        <v>1.4898420703384201</v>
      </c>
      <c r="AG131" s="244">
        <v>0.42328798938287998</v>
      </c>
      <c r="AH131" s="244">
        <v>145.75786330457899</v>
      </c>
      <c r="AI131" s="244">
        <v>226.674303251493</v>
      </c>
      <c r="AJ131" s="244">
        <v>16.190232249502301</v>
      </c>
      <c r="AK131" s="244">
        <v>1.6152123424021201</v>
      </c>
      <c r="AL131" s="244">
        <v>1.9329396151294</v>
      </c>
      <c r="AM131" s="244">
        <v>2.7527670869276699</v>
      </c>
      <c r="AN131" s="244">
        <v>5.8064960185799599</v>
      </c>
      <c r="AO131" s="244">
        <v>59.110749834107501</v>
      </c>
      <c r="AP131" s="244">
        <v>0.72078931652289302</v>
      </c>
      <c r="AQ131" s="244">
        <v>0.49842468480424701</v>
      </c>
      <c r="AR131" s="244">
        <v>1.2091950895819501</v>
      </c>
      <c r="AS131" s="244">
        <v>1.35777903118779</v>
      </c>
      <c r="AT131" s="244">
        <v>0.93761347047113497</v>
      </c>
      <c r="AU131" s="244">
        <v>1.37525315195753</v>
      </c>
      <c r="AV131" s="244">
        <v>1.1152412076974101</v>
      </c>
      <c r="AW131" s="244">
        <v>0.821594558725946</v>
      </c>
      <c r="AX131" s="244">
        <v>0.21225016589250201</v>
      </c>
      <c r="AY131" s="244">
        <v>0.81044392833444001</v>
      </c>
      <c r="AZ131" s="244">
        <v>0.436837425348374</v>
      </c>
      <c r="BA131" s="244">
        <v>2.4210587259455898</v>
      </c>
      <c r="BB131" s="244">
        <v>0.76589747843397504</v>
      </c>
      <c r="BC131" s="244">
        <v>0.35811015262110202</v>
      </c>
      <c r="BD131" s="244">
        <v>0.72954080955540801</v>
      </c>
      <c r="BE131" s="244">
        <v>0.775691108161911</v>
      </c>
      <c r="BF131" s="244">
        <v>0.75128798938287999</v>
      </c>
      <c r="BG131" s="244">
        <v>0.61817319177173202</v>
      </c>
      <c r="BH131" s="244">
        <v>20.331214333112101</v>
      </c>
      <c r="BI131" s="244">
        <v>12.719243530192401</v>
      </c>
      <c r="BJ131" s="244">
        <v>1.6224286662242899</v>
      </c>
      <c r="BK131" s="244">
        <v>62.561877903118798</v>
      </c>
      <c r="BL131" s="244">
        <v>0</v>
      </c>
      <c r="BM131" s="244">
        <v>0.52211347047113499</v>
      </c>
      <c r="BN131" s="244">
        <v>19.375099535501001</v>
      </c>
      <c r="BO131" s="244">
        <v>679.72083278035802</v>
      </c>
      <c r="BP131" s="244">
        <v>163.34804246848</v>
      </c>
      <c r="BQ131" s="244">
        <v>1139.6409522229601</v>
      </c>
      <c r="BR131" s="244">
        <v>10.531303915063001</v>
      </c>
      <c r="BS131" s="244">
        <v>0.74319840743198395</v>
      </c>
      <c r="BT131" s="244">
        <v>590.46646980756498</v>
      </c>
      <c r="BU131" s="244">
        <v>28.1606536164565</v>
      </c>
      <c r="BV131" s="244">
        <v>0</v>
      </c>
      <c r="BW131" s="244">
        <v>0.22806901128068999</v>
      </c>
      <c r="BX131" s="244">
        <v>229.534273390843</v>
      </c>
      <c r="BY131" s="244">
        <v>0</v>
      </c>
      <c r="BZ131" s="244">
        <v>0</v>
      </c>
      <c r="CA131" s="244">
        <v>5.7000663570006598</v>
      </c>
    </row>
    <row r="132" spans="1:79">
      <c r="A132" s="247">
        <v>61301</v>
      </c>
      <c r="B132" s="243" t="s">
        <v>1743</v>
      </c>
      <c r="C132" s="27" t="s">
        <v>1686</v>
      </c>
      <c r="D132" s="246">
        <v>169</v>
      </c>
      <c r="E132" s="248">
        <v>386.63817980022202</v>
      </c>
      <c r="F132" s="244">
        <v>8.6550499445061106</v>
      </c>
      <c r="G132" s="244">
        <v>4.0764261931187598</v>
      </c>
      <c r="H132" s="244">
        <v>0.103995560488346</v>
      </c>
      <c r="I132" s="244">
        <v>91.961420643729198</v>
      </c>
      <c r="J132" s="244">
        <v>0.77314095449500597</v>
      </c>
      <c r="K132" s="244">
        <v>0.138956714761376</v>
      </c>
      <c r="L132" s="244">
        <v>8.7413984461709199E-2</v>
      </c>
      <c r="M132" s="244">
        <v>2.02523862375139</v>
      </c>
      <c r="N132" s="244">
        <v>0.21762486126526101</v>
      </c>
      <c r="O132" s="244">
        <v>0.33175360710321899</v>
      </c>
      <c r="P132" s="244">
        <v>13.3889900110988</v>
      </c>
      <c r="Q132" s="244">
        <v>0</v>
      </c>
      <c r="R132" s="244">
        <v>0</v>
      </c>
      <c r="S132" s="244">
        <v>0.21961154273030001</v>
      </c>
      <c r="T132" s="244">
        <v>7.5960044395116499E-2</v>
      </c>
      <c r="U132" s="244">
        <v>0.57269700332963402</v>
      </c>
      <c r="V132" s="244">
        <v>0</v>
      </c>
      <c r="W132" s="244">
        <v>0</v>
      </c>
      <c r="X132" s="244">
        <v>0</v>
      </c>
      <c r="Y132" s="244">
        <v>0</v>
      </c>
      <c r="Z132" s="244">
        <v>0.86477247502774701</v>
      </c>
      <c r="AA132" s="244">
        <v>0</v>
      </c>
      <c r="AB132" s="244">
        <v>0</v>
      </c>
      <c r="AC132" s="244">
        <v>0</v>
      </c>
      <c r="AD132" s="244">
        <v>48.250876803551598</v>
      </c>
      <c r="AE132" s="244">
        <v>0.46498335183129902</v>
      </c>
      <c r="AF132" s="244">
        <v>1.14277469478357</v>
      </c>
      <c r="AG132" s="244">
        <v>0.85185349611542704</v>
      </c>
      <c r="AH132" s="244">
        <v>109.960221975583</v>
      </c>
      <c r="AI132" s="244">
        <v>223.69460599334101</v>
      </c>
      <c r="AJ132" s="244">
        <v>0</v>
      </c>
      <c r="AK132" s="244">
        <v>0.52779134295227503</v>
      </c>
      <c r="AL132" s="244">
        <v>6.1342952275249697E-2</v>
      </c>
      <c r="AM132" s="244">
        <v>3.22530521642619E-2</v>
      </c>
      <c r="AN132" s="244">
        <v>0.27173140954495001</v>
      </c>
      <c r="AO132" s="244">
        <v>0</v>
      </c>
      <c r="AP132" s="244">
        <v>0.10450388457269701</v>
      </c>
      <c r="AQ132" s="244">
        <v>0.17711653718091</v>
      </c>
      <c r="AR132" s="244">
        <v>0.35729078801331898</v>
      </c>
      <c r="AS132" s="244">
        <v>0.15841398446170901</v>
      </c>
      <c r="AT132" s="244">
        <v>8.9069922308546101E-2</v>
      </c>
      <c r="AU132" s="244">
        <v>6.1475027746947797E-2</v>
      </c>
      <c r="AV132" s="244">
        <v>0.26951942286348501</v>
      </c>
      <c r="AW132" s="244">
        <v>0.14811986681465</v>
      </c>
      <c r="AX132" s="244">
        <v>5.0955604883462798E-2</v>
      </c>
      <c r="AY132" s="244">
        <v>0.25955604883462802</v>
      </c>
      <c r="AZ132" s="244">
        <v>0.30383573806881198</v>
      </c>
      <c r="BA132" s="244">
        <v>0.32740510543840201</v>
      </c>
      <c r="BB132" s="244">
        <v>0.64633740288568298</v>
      </c>
      <c r="BC132" s="244">
        <v>0.87976692563818004</v>
      </c>
      <c r="BD132" s="244">
        <v>0.195744728079911</v>
      </c>
      <c r="BE132" s="244">
        <v>0.187906770255272</v>
      </c>
      <c r="BF132" s="244">
        <v>0.226550499445061</v>
      </c>
      <c r="BG132" s="244">
        <v>0.18584128745837999</v>
      </c>
      <c r="BH132" s="244">
        <v>60.922486126526103</v>
      </c>
      <c r="BI132" s="244">
        <v>375.68923418423998</v>
      </c>
      <c r="BJ132" s="244">
        <v>0</v>
      </c>
      <c r="BK132" s="244">
        <v>0</v>
      </c>
      <c r="BL132" s="244">
        <v>0</v>
      </c>
      <c r="BM132" s="244">
        <v>0</v>
      </c>
      <c r="BN132" s="244">
        <v>0</v>
      </c>
      <c r="BO132" s="244">
        <v>45.818690344062198</v>
      </c>
      <c r="BP132" s="244">
        <v>0</v>
      </c>
      <c r="BQ132" s="244">
        <v>32.901653718090998</v>
      </c>
      <c r="BR132" s="244">
        <v>0</v>
      </c>
      <c r="BS132" s="244">
        <v>0</v>
      </c>
      <c r="BT132" s="244">
        <v>40.332763596004398</v>
      </c>
      <c r="BU132" s="244">
        <v>0.79604883462819098</v>
      </c>
      <c r="BV132" s="244">
        <v>0</v>
      </c>
      <c r="BW132" s="244">
        <v>0</v>
      </c>
      <c r="BX132" s="244">
        <v>10.649322974472801</v>
      </c>
      <c r="BY132" s="244">
        <v>0</v>
      </c>
      <c r="BZ132" s="244">
        <v>0</v>
      </c>
      <c r="CA132" s="244">
        <v>0</v>
      </c>
    </row>
    <row r="133" spans="1:79">
      <c r="A133" s="245"/>
      <c r="D133" s="1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D3CC-3ABB-4757-AADE-CB2BD2001C9A}">
  <dimension ref="A1:C62"/>
  <sheetViews>
    <sheetView topLeftCell="A49" workbookViewId="0">
      <selection activeCell="A61" sqref="A61:XFD61"/>
    </sheetView>
  </sheetViews>
  <sheetFormatPr defaultRowHeight="14.85"/>
  <cols>
    <col min="1" max="1" width="21.42578125" customWidth="1"/>
    <col min="3" max="3" width="14.5703125" customWidth="1"/>
    <col min="30" max="30" width="73" customWidth="1"/>
  </cols>
  <sheetData>
    <row r="1" spans="1:3">
      <c r="A1" s="8" t="s">
        <v>1744</v>
      </c>
      <c r="B1" s="8" t="s">
        <v>1745</v>
      </c>
      <c r="C1" s="8" t="s">
        <v>1746</v>
      </c>
    </row>
    <row r="2" spans="1:3">
      <c r="A2" s="9" t="s">
        <v>1747</v>
      </c>
      <c r="B2" s="9" t="s">
        <v>1748</v>
      </c>
      <c r="C2" s="8"/>
    </row>
    <row r="3" spans="1:3">
      <c r="A3" t="s">
        <v>1749</v>
      </c>
      <c r="B3" s="9" t="s">
        <v>1748</v>
      </c>
      <c r="C3" s="8"/>
    </row>
    <row r="4" spans="1:3">
      <c r="A4" t="s">
        <v>1750</v>
      </c>
      <c r="B4" s="9" t="s">
        <v>1748</v>
      </c>
      <c r="C4" s="8"/>
    </row>
    <row r="5" spans="1:3">
      <c r="A5" s="10" t="s">
        <v>1751</v>
      </c>
      <c r="B5" s="9" t="s">
        <v>1748</v>
      </c>
      <c r="C5" s="8"/>
    </row>
    <row r="6" spans="1:3">
      <c r="A6" t="s">
        <v>1752</v>
      </c>
      <c r="B6" s="9" t="s">
        <v>1748</v>
      </c>
      <c r="C6" s="8"/>
    </row>
    <row r="7" spans="1:3">
      <c r="A7" s="10" t="s">
        <v>1753</v>
      </c>
      <c r="B7" s="10" t="s">
        <v>1754</v>
      </c>
      <c r="C7" t="s">
        <v>1755</v>
      </c>
    </row>
    <row r="8" spans="1:3">
      <c r="A8" t="s">
        <v>1756</v>
      </c>
      <c r="B8" t="s">
        <v>1757</v>
      </c>
    </row>
    <row r="9" spans="1:3">
      <c r="A9" t="s">
        <v>1758</v>
      </c>
      <c r="B9" t="s">
        <v>1757</v>
      </c>
    </row>
    <row r="10" spans="1:3">
      <c r="A10" t="s">
        <v>1759</v>
      </c>
      <c r="B10" t="s">
        <v>1757</v>
      </c>
    </row>
    <row r="11" spans="1:3">
      <c r="A11" t="s">
        <v>1760</v>
      </c>
      <c r="B11" t="s">
        <v>1757</v>
      </c>
      <c r="C11" t="s">
        <v>1761</v>
      </c>
    </row>
    <row r="12" spans="1:3">
      <c r="A12" t="s">
        <v>1762</v>
      </c>
      <c r="B12" t="s">
        <v>1757</v>
      </c>
    </row>
    <row r="13" spans="1:3">
      <c r="A13" t="s">
        <v>1763</v>
      </c>
      <c r="B13" t="s">
        <v>1764</v>
      </c>
    </row>
    <row r="14" spans="1:3">
      <c r="A14" t="s">
        <v>1765</v>
      </c>
      <c r="B14" t="s">
        <v>1764</v>
      </c>
      <c r="C14" t="s">
        <v>1766</v>
      </c>
    </row>
    <row r="15" spans="1:3">
      <c r="A15" t="s">
        <v>1767</v>
      </c>
      <c r="B15" t="s">
        <v>1757</v>
      </c>
    </row>
    <row r="16" spans="1:3">
      <c r="A16" t="s">
        <v>1768</v>
      </c>
      <c r="B16" t="s">
        <v>1764</v>
      </c>
      <c r="C16" t="s">
        <v>1769</v>
      </c>
    </row>
    <row r="17" spans="1:3">
      <c r="A17" t="s">
        <v>1770</v>
      </c>
      <c r="B17" t="s">
        <v>1757</v>
      </c>
      <c r="C17" t="s">
        <v>1771</v>
      </c>
    </row>
    <row r="18" spans="1:3">
      <c r="A18" t="s">
        <v>1772</v>
      </c>
      <c r="B18" t="s">
        <v>1764</v>
      </c>
      <c r="C18" t="s">
        <v>1773</v>
      </c>
    </row>
    <row r="19" spans="1:3">
      <c r="A19" t="s">
        <v>1774</v>
      </c>
      <c r="B19" t="s">
        <v>1764</v>
      </c>
    </row>
    <row r="20" spans="1:3">
      <c r="A20" t="s">
        <v>1775</v>
      </c>
      <c r="B20" t="s">
        <v>1764</v>
      </c>
      <c r="C20" t="s">
        <v>1776</v>
      </c>
    </row>
    <row r="21" spans="1:3">
      <c r="A21" t="s">
        <v>1777</v>
      </c>
      <c r="B21" t="s">
        <v>1764</v>
      </c>
    </row>
    <row r="22" spans="1:3">
      <c r="A22" t="s">
        <v>1778</v>
      </c>
      <c r="B22" t="s">
        <v>1764</v>
      </c>
    </row>
    <row r="23" spans="1:3">
      <c r="A23" t="s">
        <v>1779</v>
      </c>
      <c r="B23" t="s">
        <v>1757</v>
      </c>
    </row>
    <row r="24" spans="1:3">
      <c r="A24" t="s">
        <v>1780</v>
      </c>
      <c r="B24" t="s">
        <v>1757</v>
      </c>
    </row>
    <row r="25" spans="1:3">
      <c r="A25" t="s">
        <v>1781</v>
      </c>
      <c r="B25" t="s">
        <v>1757</v>
      </c>
    </row>
    <row r="26" spans="1:3">
      <c r="A26" t="s">
        <v>1782</v>
      </c>
      <c r="B26" t="s">
        <v>1757</v>
      </c>
    </row>
    <row r="27" spans="1:3">
      <c r="A27" t="s">
        <v>1783</v>
      </c>
      <c r="B27" t="s">
        <v>1757</v>
      </c>
      <c r="C27" t="s">
        <v>1784</v>
      </c>
    </row>
    <row r="28" spans="1:3">
      <c r="A28" t="s">
        <v>1785</v>
      </c>
      <c r="B28" t="s">
        <v>1757</v>
      </c>
    </row>
    <row r="29" spans="1:3">
      <c r="A29" t="s">
        <v>1786</v>
      </c>
      <c r="B29" t="s">
        <v>1757</v>
      </c>
    </row>
    <row r="30" spans="1:3">
      <c r="A30" t="s">
        <v>1787</v>
      </c>
      <c r="B30" t="s">
        <v>1764</v>
      </c>
      <c r="C30" t="s">
        <v>1788</v>
      </c>
    </row>
    <row r="31" spans="1:3">
      <c r="A31" t="s">
        <v>1789</v>
      </c>
      <c r="B31" t="s">
        <v>1757</v>
      </c>
    </row>
    <row r="32" spans="1:3" ht="29.45">
      <c r="A32" s="10" t="s">
        <v>1790</v>
      </c>
      <c r="B32" t="s">
        <v>1748</v>
      </c>
      <c r="C32" t="s">
        <v>1791</v>
      </c>
    </row>
    <row r="33" spans="1:3" ht="44.25">
      <c r="A33" s="10" t="s">
        <v>1792</v>
      </c>
      <c r="B33" t="s">
        <v>1748</v>
      </c>
      <c r="C33" t="s">
        <v>1791</v>
      </c>
    </row>
    <row r="34" spans="1:3" ht="44.25">
      <c r="A34" s="10" t="s">
        <v>1793</v>
      </c>
      <c r="B34" t="s">
        <v>1748</v>
      </c>
      <c r="C34" t="s">
        <v>1791</v>
      </c>
    </row>
    <row r="35" spans="1:3">
      <c r="A35" t="s">
        <v>1794</v>
      </c>
      <c r="B35" t="s">
        <v>1757</v>
      </c>
    </row>
    <row r="36" spans="1:3">
      <c r="A36" s="10" t="s">
        <v>1795</v>
      </c>
      <c r="B36" t="s">
        <v>1748</v>
      </c>
      <c r="C36" t="s">
        <v>1796</v>
      </c>
    </row>
    <row r="37" spans="1:3">
      <c r="A37" s="10" t="s">
        <v>1797</v>
      </c>
      <c r="B37" t="s">
        <v>1748</v>
      </c>
      <c r="C37" t="s">
        <v>1796</v>
      </c>
    </row>
    <row r="38" spans="1:3">
      <c r="A38" s="10" t="s">
        <v>1798</v>
      </c>
      <c r="B38" t="s">
        <v>1748</v>
      </c>
      <c r="C38" t="s">
        <v>1796</v>
      </c>
    </row>
    <row r="39" spans="1:3">
      <c r="A39" s="10" t="s">
        <v>1799</v>
      </c>
      <c r="B39" t="s">
        <v>1748</v>
      </c>
      <c r="C39" t="s">
        <v>1796</v>
      </c>
    </row>
    <row r="40" spans="1:3">
      <c r="A40" s="10" t="s">
        <v>1800</v>
      </c>
      <c r="B40" t="s">
        <v>1748</v>
      </c>
      <c r="C40" t="s">
        <v>1796</v>
      </c>
    </row>
    <row r="41" spans="1:3">
      <c r="A41" s="10" t="s">
        <v>1801</v>
      </c>
      <c r="B41" t="s">
        <v>1748</v>
      </c>
      <c r="C41" t="s">
        <v>1796</v>
      </c>
    </row>
    <row r="42" spans="1:3">
      <c r="A42" s="10" t="s">
        <v>1802</v>
      </c>
      <c r="B42" t="s">
        <v>1748</v>
      </c>
      <c r="C42" t="s">
        <v>1796</v>
      </c>
    </row>
    <row r="43" spans="1:3">
      <c r="A43" s="10" t="s">
        <v>1803</v>
      </c>
      <c r="B43" t="s">
        <v>1748</v>
      </c>
      <c r="C43" t="s">
        <v>1796</v>
      </c>
    </row>
    <row r="44" spans="1:3">
      <c r="A44" s="10" t="s">
        <v>1804</v>
      </c>
      <c r="B44" t="s">
        <v>1748</v>
      </c>
      <c r="C44" t="s">
        <v>1796</v>
      </c>
    </row>
    <row r="45" spans="1:3">
      <c r="A45" s="10" t="s">
        <v>1805</v>
      </c>
      <c r="B45" t="s">
        <v>1748</v>
      </c>
      <c r="C45" t="s">
        <v>1796</v>
      </c>
    </row>
    <row r="46" spans="1:3">
      <c r="A46" s="10" t="s">
        <v>1806</v>
      </c>
      <c r="B46" t="s">
        <v>1748</v>
      </c>
      <c r="C46" t="s">
        <v>1796</v>
      </c>
    </row>
    <row r="47" spans="1:3">
      <c r="A47" s="10" t="s">
        <v>1807</v>
      </c>
      <c r="B47" t="s">
        <v>1748</v>
      </c>
      <c r="C47" t="s">
        <v>1796</v>
      </c>
    </row>
    <row r="48" spans="1:3">
      <c r="A48" s="10" t="s">
        <v>1808</v>
      </c>
      <c r="B48" t="s">
        <v>1748</v>
      </c>
      <c r="C48" t="s">
        <v>1796</v>
      </c>
    </row>
    <row r="49" spans="1:3">
      <c r="A49" s="10" t="s">
        <v>1809</v>
      </c>
      <c r="B49" t="s">
        <v>1748</v>
      </c>
      <c r="C49" t="s">
        <v>1796</v>
      </c>
    </row>
    <row r="50" spans="1:3">
      <c r="A50" s="10" t="s">
        <v>1810</v>
      </c>
      <c r="B50" t="s">
        <v>1748</v>
      </c>
      <c r="C50" t="s">
        <v>1796</v>
      </c>
    </row>
    <row r="51" spans="1:3">
      <c r="A51" s="10" t="s">
        <v>1811</v>
      </c>
      <c r="B51" t="s">
        <v>1748</v>
      </c>
      <c r="C51" t="s">
        <v>1796</v>
      </c>
    </row>
    <row r="52" spans="1:3">
      <c r="A52" s="10" t="s">
        <v>1812</v>
      </c>
      <c r="B52" t="s">
        <v>1748</v>
      </c>
      <c r="C52" t="s">
        <v>1796</v>
      </c>
    </row>
    <row r="53" spans="1:3">
      <c r="A53" s="10" t="s">
        <v>1813</v>
      </c>
      <c r="B53" t="s">
        <v>1748</v>
      </c>
      <c r="C53" t="s">
        <v>1796</v>
      </c>
    </row>
    <row r="54" spans="1:3">
      <c r="A54" s="10" t="s">
        <v>1814</v>
      </c>
      <c r="B54" t="s">
        <v>1757</v>
      </c>
      <c r="C54" t="s">
        <v>1815</v>
      </c>
    </row>
    <row r="55" spans="1:3">
      <c r="A55" s="10" t="s">
        <v>1816</v>
      </c>
      <c r="B55" t="s">
        <v>1757</v>
      </c>
      <c r="C55" t="s">
        <v>1817</v>
      </c>
    </row>
    <row r="56" spans="1:3">
      <c r="A56" s="10" t="s">
        <v>1818</v>
      </c>
      <c r="B56" t="s">
        <v>1757</v>
      </c>
      <c r="C56" t="s">
        <v>1819</v>
      </c>
    </row>
    <row r="61" spans="1:3">
      <c r="A61" s="66" t="s">
        <v>1820</v>
      </c>
    </row>
    <row r="62" spans="1:3">
      <c r="A62" t="s">
        <v>1821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F13C-EE28-4FA3-88E1-AF662B1B307B}">
  <dimension ref="A1:CF273"/>
  <sheetViews>
    <sheetView workbookViewId="0">
      <pane ySplit="1" topLeftCell="AZ250" activePane="bottomLeft" state="frozen"/>
      <selection pane="bottomLeft" activeCell="B250" sqref="B250"/>
    </sheetView>
  </sheetViews>
  <sheetFormatPr defaultColWidth="9.140625" defaultRowHeight="14.85"/>
  <cols>
    <col min="1" max="1" width="10" style="129" customWidth="1"/>
    <col min="2" max="2" width="32.5703125" style="130" customWidth="1"/>
    <col min="3" max="3" width="26.42578125" style="130" customWidth="1"/>
    <col min="4" max="4" width="24.28515625" style="129" customWidth="1"/>
    <col min="5" max="5" width="20" style="130" customWidth="1"/>
    <col min="6" max="6" width="26" style="130" customWidth="1"/>
    <col min="7" max="7" width="37" style="165" customWidth="1"/>
    <col min="8" max="8" width="12.7109375" style="130" customWidth="1"/>
    <col min="9" max="9" width="27" style="130" customWidth="1"/>
    <col min="10" max="13" width="9.140625" style="119"/>
    <col min="14" max="14" width="10.85546875" style="119" customWidth="1"/>
    <col min="15" max="27" width="9.140625" style="119"/>
    <col min="28" max="28" width="8" style="119" customWidth="1"/>
    <col min="29" max="47" width="9.140625" style="119"/>
    <col min="48" max="65" width="9.140625" style="131"/>
    <col min="66" max="16384" width="9.140625" style="119"/>
  </cols>
  <sheetData>
    <row r="1" spans="1:84" s="134" customFormat="1" ht="106.5" customHeight="1">
      <c r="A1" s="132" t="s">
        <v>0</v>
      </c>
      <c r="B1" s="132" t="s">
        <v>1</v>
      </c>
      <c r="C1" s="132" t="s">
        <v>2</v>
      </c>
      <c r="D1" s="132" t="s">
        <v>3</v>
      </c>
      <c r="E1" s="132" t="s">
        <v>4</v>
      </c>
      <c r="F1" s="132" t="s">
        <v>5</v>
      </c>
      <c r="G1" s="162" t="s">
        <v>6</v>
      </c>
      <c r="H1" s="132" t="s">
        <v>7</v>
      </c>
      <c r="I1" s="132" t="s">
        <v>8</v>
      </c>
      <c r="J1" s="116" t="s">
        <v>9</v>
      </c>
      <c r="K1" s="116" t="s">
        <v>10</v>
      </c>
      <c r="L1" s="116" t="s">
        <v>11</v>
      </c>
      <c r="M1" s="116" t="s">
        <v>12</v>
      </c>
      <c r="N1" s="116" t="s">
        <v>13</v>
      </c>
      <c r="O1" s="116" t="s">
        <v>14</v>
      </c>
      <c r="P1" s="116" t="s">
        <v>15</v>
      </c>
      <c r="Q1" s="116" t="s">
        <v>16</v>
      </c>
      <c r="R1" s="116" t="s">
        <v>17</v>
      </c>
      <c r="S1" s="116" t="s">
        <v>18</v>
      </c>
      <c r="T1" s="116" t="s">
        <v>19</v>
      </c>
      <c r="U1" s="116" t="s">
        <v>20</v>
      </c>
      <c r="V1" s="116" t="s">
        <v>21</v>
      </c>
      <c r="W1" s="116" t="s">
        <v>22</v>
      </c>
      <c r="X1" s="116" t="s">
        <v>23</v>
      </c>
      <c r="Y1" s="117" t="s">
        <v>24</v>
      </c>
      <c r="Z1" s="117" t="s">
        <v>25</v>
      </c>
      <c r="AA1" s="116" t="s">
        <v>26</v>
      </c>
      <c r="AB1" s="116" t="s">
        <v>27</v>
      </c>
      <c r="AC1" s="116" t="s">
        <v>28</v>
      </c>
      <c r="AD1" s="116" t="s">
        <v>29</v>
      </c>
      <c r="AE1" s="116" t="s">
        <v>30</v>
      </c>
      <c r="AF1" s="116" t="s">
        <v>31</v>
      </c>
      <c r="AG1" s="116" t="s">
        <v>32</v>
      </c>
      <c r="AH1" s="116" t="s">
        <v>33</v>
      </c>
      <c r="AI1" s="116" t="s">
        <v>34</v>
      </c>
      <c r="AJ1" s="116" t="s">
        <v>35</v>
      </c>
      <c r="AK1" s="116" t="s">
        <v>36</v>
      </c>
      <c r="AL1" s="116" t="s">
        <v>37</v>
      </c>
      <c r="AM1" s="116" t="s">
        <v>38</v>
      </c>
      <c r="AN1" s="116" t="s">
        <v>39</v>
      </c>
      <c r="AO1" s="116" t="s">
        <v>40</v>
      </c>
      <c r="AP1" s="116" t="s">
        <v>41</v>
      </c>
      <c r="AQ1" s="116" t="s">
        <v>42</v>
      </c>
      <c r="AR1" s="116" t="s">
        <v>43</v>
      </c>
      <c r="AS1" s="116" t="s">
        <v>44</v>
      </c>
      <c r="AT1" s="116" t="s">
        <v>45</v>
      </c>
      <c r="AU1" s="116" t="s">
        <v>46</v>
      </c>
      <c r="AV1" s="133" t="s">
        <v>47</v>
      </c>
      <c r="AW1" s="133" t="s">
        <v>48</v>
      </c>
      <c r="AX1" s="133" t="s">
        <v>49</v>
      </c>
      <c r="AY1" s="133" t="s">
        <v>50</v>
      </c>
      <c r="AZ1" s="133" t="s">
        <v>51</v>
      </c>
      <c r="BA1" s="133" t="s">
        <v>52</v>
      </c>
      <c r="BB1" s="133" t="s">
        <v>53</v>
      </c>
      <c r="BC1" s="133" t="s">
        <v>54</v>
      </c>
      <c r="BD1" s="133" t="s">
        <v>55</v>
      </c>
      <c r="BE1" s="133" t="s">
        <v>56</v>
      </c>
      <c r="BF1" s="133" t="s">
        <v>57</v>
      </c>
      <c r="BG1" s="133" t="s">
        <v>58</v>
      </c>
      <c r="BH1" s="133" t="s">
        <v>59</v>
      </c>
      <c r="BI1" s="133" t="s">
        <v>60</v>
      </c>
      <c r="BJ1" s="133" t="s">
        <v>61</v>
      </c>
      <c r="BK1" s="133" t="s">
        <v>62</v>
      </c>
      <c r="BL1" s="133" t="s">
        <v>63</v>
      </c>
      <c r="BM1" s="133" t="s">
        <v>64</v>
      </c>
      <c r="BN1" s="116" t="s">
        <v>65</v>
      </c>
      <c r="BO1" s="116" t="s">
        <v>66</v>
      </c>
      <c r="BP1" s="116" t="s">
        <v>67</v>
      </c>
      <c r="BQ1" s="116"/>
      <c r="BR1" s="116"/>
      <c r="BS1" s="203"/>
      <c r="BT1" s="203"/>
      <c r="BU1" s="203"/>
      <c r="BV1" s="203"/>
      <c r="BW1" s="203"/>
      <c r="BX1" s="203"/>
      <c r="BY1" s="203"/>
      <c r="BZ1" s="203"/>
      <c r="CA1" s="203"/>
      <c r="CB1" s="203"/>
      <c r="CC1" s="203"/>
      <c r="CD1" s="203"/>
      <c r="CE1" s="203"/>
      <c r="CF1" s="203"/>
    </row>
    <row r="2" spans="1:84">
      <c r="A2" s="121" t="s">
        <v>1069</v>
      </c>
      <c r="B2" s="122" t="s">
        <v>1070</v>
      </c>
      <c r="C2" s="122"/>
      <c r="D2" s="122"/>
      <c r="E2" s="122"/>
      <c r="F2" s="122"/>
      <c r="G2" s="163"/>
      <c r="H2" s="122"/>
      <c r="I2" s="122"/>
      <c r="J2" s="118">
        <v>0</v>
      </c>
      <c r="K2" s="118">
        <v>100</v>
      </c>
      <c r="L2" s="118">
        <v>0</v>
      </c>
      <c r="M2" s="118">
        <v>0</v>
      </c>
      <c r="N2" s="118">
        <v>0</v>
      </c>
      <c r="O2" s="118">
        <v>0</v>
      </c>
      <c r="P2" s="118">
        <v>0</v>
      </c>
      <c r="Q2" s="118">
        <v>0</v>
      </c>
      <c r="R2" s="118">
        <v>0</v>
      </c>
      <c r="S2" s="118">
        <v>0</v>
      </c>
      <c r="T2" s="118">
        <v>0</v>
      </c>
      <c r="U2" s="118">
        <v>0</v>
      </c>
      <c r="V2" s="118">
        <v>0</v>
      </c>
      <c r="W2" s="118">
        <v>0</v>
      </c>
      <c r="X2" s="118">
        <v>0</v>
      </c>
      <c r="Y2" s="118">
        <v>0</v>
      </c>
      <c r="Z2" s="118">
        <v>0</v>
      </c>
      <c r="AA2" s="118">
        <v>0</v>
      </c>
      <c r="AB2" s="118">
        <v>0</v>
      </c>
      <c r="AC2" s="118">
        <v>0</v>
      </c>
      <c r="AD2" s="118">
        <v>0</v>
      </c>
      <c r="AE2" s="118">
        <v>0</v>
      </c>
      <c r="AF2" s="118">
        <v>0</v>
      </c>
      <c r="AG2" s="118">
        <v>0</v>
      </c>
      <c r="AH2" s="118">
        <v>0</v>
      </c>
      <c r="AI2" s="118">
        <v>0</v>
      </c>
      <c r="AJ2" s="118">
        <v>0</v>
      </c>
      <c r="AK2" s="118">
        <v>0</v>
      </c>
      <c r="AL2" s="118">
        <v>0</v>
      </c>
      <c r="AM2" s="118">
        <v>0</v>
      </c>
      <c r="AN2" s="118">
        <v>0</v>
      </c>
      <c r="AO2" s="118">
        <v>0</v>
      </c>
      <c r="AP2" s="118">
        <v>0</v>
      </c>
      <c r="AQ2" s="118">
        <v>0</v>
      </c>
      <c r="AR2" s="118">
        <v>0</v>
      </c>
      <c r="AS2" s="118">
        <v>0</v>
      </c>
      <c r="AT2" s="118">
        <v>0</v>
      </c>
      <c r="AU2" s="118">
        <v>0</v>
      </c>
      <c r="AV2" s="118">
        <v>0</v>
      </c>
      <c r="AW2" s="118">
        <v>0</v>
      </c>
      <c r="AX2" s="118">
        <v>0</v>
      </c>
      <c r="AY2" s="118">
        <v>0</v>
      </c>
      <c r="AZ2" s="118">
        <v>0</v>
      </c>
      <c r="BA2" s="118">
        <v>0</v>
      </c>
      <c r="BB2" s="118">
        <v>0</v>
      </c>
      <c r="BC2" s="118">
        <v>0</v>
      </c>
      <c r="BD2" s="118">
        <v>0</v>
      </c>
      <c r="BE2" s="118">
        <v>0</v>
      </c>
      <c r="BF2" s="118">
        <v>0</v>
      </c>
      <c r="BG2" s="118">
        <v>0</v>
      </c>
      <c r="BH2" s="118">
        <v>0</v>
      </c>
      <c r="BI2" s="118">
        <v>0</v>
      </c>
      <c r="BJ2" s="118">
        <v>0</v>
      </c>
      <c r="BK2" s="118">
        <v>0</v>
      </c>
      <c r="BL2" s="118">
        <v>0</v>
      </c>
      <c r="BM2" s="118">
        <v>0</v>
      </c>
      <c r="BN2" s="118">
        <v>0</v>
      </c>
      <c r="BO2" s="118">
        <v>0</v>
      </c>
      <c r="BP2" s="118">
        <v>0</v>
      </c>
      <c r="BQ2" s="118"/>
      <c r="BR2" s="118"/>
      <c r="BS2" s="205"/>
      <c r="BT2" s="205"/>
      <c r="BU2" s="205"/>
      <c r="BV2" s="205"/>
      <c r="BW2" s="205"/>
      <c r="BX2" s="205"/>
      <c r="BY2" s="205"/>
      <c r="BZ2" s="205"/>
      <c r="CA2" s="205"/>
      <c r="CB2" s="205"/>
      <c r="CC2" s="205"/>
      <c r="CD2" s="205"/>
      <c r="CE2" s="205"/>
      <c r="CF2" s="205"/>
    </row>
    <row r="3" spans="1:84">
      <c r="A3" s="122">
        <v>13201</v>
      </c>
      <c r="B3" s="122" t="s">
        <v>68</v>
      </c>
      <c r="C3" s="122" t="s">
        <v>69</v>
      </c>
      <c r="D3" s="122" t="s">
        <v>70</v>
      </c>
      <c r="E3" s="122" t="s">
        <v>71</v>
      </c>
      <c r="F3" s="122">
        <v>13041</v>
      </c>
      <c r="G3" s="163" t="s">
        <v>68</v>
      </c>
      <c r="H3" s="122">
        <v>3</v>
      </c>
      <c r="I3" s="123" t="s">
        <v>72</v>
      </c>
      <c r="J3" s="118">
        <v>53.8</v>
      </c>
      <c r="K3" s="118">
        <v>1.72</v>
      </c>
      <c r="L3" s="118">
        <v>1.57</v>
      </c>
      <c r="M3" s="118">
        <v>0.12</v>
      </c>
      <c r="N3" s="118">
        <v>11.39</v>
      </c>
      <c r="O3" s="118">
        <v>0.45</v>
      </c>
      <c r="P3" s="118">
        <v>0.02</v>
      </c>
      <c r="Q3" s="118">
        <v>0.01</v>
      </c>
      <c r="R3" s="118">
        <v>0.12</v>
      </c>
      <c r="S3" s="118"/>
      <c r="T3" s="118">
        <v>0.01</v>
      </c>
      <c r="U3" s="118">
        <v>2.5499999999999998</v>
      </c>
      <c r="V3" s="118">
        <v>0</v>
      </c>
      <c r="W3" s="118">
        <v>0.3</v>
      </c>
      <c r="X3" s="118"/>
      <c r="Y3" s="118">
        <v>0.01</v>
      </c>
      <c r="Z3" s="118"/>
      <c r="AA3" s="118">
        <v>0</v>
      </c>
      <c r="AB3" s="118"/>
      <c r="AC3" s="118">
        <v>0</v>
      </c>
      <c r="AD3" s="118">
        <v>0.6</v>
      </c>
      <c r="AE3" s="118"/>
      <c r="AF3" s="118"/>
      <c r="AG3" s="118"/>
      <c r="AH3" s="118"/>
      <c r="AI3" s="118">
        <v>3.56</v>
      </c>
      <c r="AJ3" s="118"/>
      <c r="AK3" s="118">
        <v>0.28000000000000003</v>
      </c>
      <c r="AL3" s="118"/>
      <c r="AM3" s="118"/>
      <c r="AN3" s="118"/>
      <c r="AO3" s="118"/>
      <c r="AP3" s="118"/>
      <c r="AQ3" s="118">
        <v>0.14000000000000001</v>
      </c>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v>18.71</v>
      </c>
      <c r="BP3" s="118"/>
      <c r="BQ3" s="118"/>
      <c r="BR3" s="118"/>
      <c r="BS3" s="205"/>
      <c r="BT3" s="205"/>
      <c r="BU3" s="205"/>
      <c r="BV3" s="205"/>
      <c r="BW3" s="205"/>
      <c r="BX3" s="205"/>
      <c r="BY3" s="205"/>
      <c r="BZ3" s="205"/>
      <c r="CA3" s="205"/>
      <c r="CB3" s="205"/>
      <c r="CC3" s="205"/>
      <c r="CD3" s="205"/>
      <c r="CE3" s="205"/>
      <c r="CF3" s="205"/>
    </row>
    <row r="4" spans="1:84">
      <c r="A4" s="122">
        <v>11002</v>
      </c>
      <c r="B4" s="122" t="s">
        <v>1071</v>
      </c>
      <c r="C4" s="122"/>
      <c r="D4" s="122"/>
      <c r="E4" s="122" t="s">
        <v>76</v>
      </c>
      <c r="F4" s="122">
        <v>10024</v>
      </c>
      <c r="G4" s="163" t="s">
        <v>1074</v>
      </c>
      <c r="H4" s="122">
        <v>1</v>
      </c>
      <c r="I4" s="122" t="s">
        <v>150</v>
      </c>
      <c r="J4" s="118">
        <v>343</v>
      </c>
      <c r="K4" s="118">
        <v>12.77</v>
      </c>
      <c r="L4" s="118">
        <v>6.73</v>
      </c>
      <c r="M4" s="118">
        <v>0.65</v>
      </c>
      <c r="N4" s="118">
        <v>76.150000000000006</v>
      </c>
      <c r="O4" s="118">
        <v>3.06</v>
      </c>
      <c r="P4" s="118">
        <v>0.06</v>
      </c>
      <c r="Q4" s="118">
        <v>0.04</v>
      </c>
      <c r="R4" s="118">
        <v>1.25</v>
      </c>
      <c r="S4" s="118"/>
      <c r="T4" s="118"/>
      <c r="U4" s="118">
        <v>9</v>
      </c>
      <c r="V4" s="118"/>
      <c r="W4" s="118">
        <v>0</v>
      </c>
      <c r="X4" s="118">
        <v>0</v>
      </c>
      <c r="Y4" s="118">
        <v>0.11</v>
      </c>
      <c r="Z4" s="118"/>
      <c r="AA4" s="118">
        <v>0</v>
      </c>
      <c r="AB4" s="118">
        <v>0</v>
      </c>
      <c r="AC4" s="118">
        <v>0</v>
      </c>
      <c r="AD4" s="118">
        <v>0</v>
      </c>
      <c r="AE4" s="118"/>
      <c r="AF4" s="118"/>
      <c r="AG4" s="118"/>
      <c r="AH4" s="118"/>
      <c r="AI4" s="118">
        <v>10</v>
      </c>
      <c r="AJ4" s="118">
        <v>0.14000000000000001</v>
      </c>
      <c r="AK4" s="118">
        <v>0.9</v>
      </c>
      <c r="AL4" s="118">
        <v>43</v>
      </c>
      <c r="AM4" s="118"/>
      <c r="AN4" s="118">
        <v>126</v>
      </c>
      <c r="AO4" s="118">
        <v>113</v>
      </c>
      <c r="AP4" s="118"/>
      <c r="AQ4" s="118">
        <v>1.0900000000000001</v>
      </c>
      <c r="AR4" s="118">
        <v>0.1</v>
      </c>
      <c r="AS4" s="118">
        <v>0.12</v>
      </c>
      <c r="AT4" s="118">
        <v>0.1</v>
      </c>
      <c r="AU4" s="118">
        <v>0</v>
      </c>
      <c r="AV4" s="118">
        <v>0.16</v>
      </c>
      <c r="AW4" s="118">
        <v>0.28999999999999998</v>
      </c>
      <c r="AX4" s="118">
        <v>0.56000000000000005</v>
      </c>
      <c r="AY4" s="118">
        <v>0.24</v>
      </c>
      <c r="AZ4" s="118">
        <v>0.16</v>
      </c>
      <c r="BA4" s="118">
        <v>0.14000000000000001</v>
      </c>
      <c r="BB4" s="118">
        <v>0.36</v>
      </c>
      <c r="BC4" s="118">
        <v>0.24</v>
      </c>
      <c r="BD4" s="118">
        <v>0.08</v>
      </c>
      <c r="BE4" s="118">
        <v>0.41</v>
      </c>
      <c r="BF4" s="118">
        <v>0.39</v>
      </c>
      <c r="BG4" s="118">
        <v>0.56000000000000005</v>
      </c>
      <c r="BH4" s="118">
        <v>0.63</v>
      </c>
      <c r="BI4" s="118">
        <v>1.31</v>
      </c>
      <c r="BJ4" s="118">
        <v>0.31</v>
      </c>
      <c r="BK4" s="118">
        <v>0.32</v>
      </c>
      <c r="BL4" s="118">
        <v>0.35</v>
      </c>
      <c r="BM4" s="118">
        <v>0.22</v>
      </c>
      <c r="BN4" s="118"/>
      <c r="BO4" s="118">
        <v>92</v>
      </c>
      <c r="BP4" s="118">
        <v>1</v>
      </c>
      <c r="BQ4" s="118"/>
      <c r="BR4" s="118"/>
      <c r="BS4" s="205"/>
      <c r="BT4" s="205"/>
      <c r="BU4" s="205"/>
      <c r="BV4" s="205"/>
      <c r="BW4" s="205"/>
      <c r="BX4" s="205"/>
      <c r="BY4" s="205"/>
      <c r="BZ4" s="205"/>
      <c r="CA4" s="205"/>
      <c r="CB4" s="205"/>
      <c r="CC4" s="205"/>
      <c r="CD4" s="205"/>
      <c r="CE4" s="205"/>
      <c r="CF4" s="205"/>
    </row>
    <row r="5" spans="1:84">
      <c r="A5" s="122">
        <v>90802</v>
      </c>
      <c r="B5" s="122" t="s">
        <v>73</v>
      </c>
      <c r="C5" s="122" t="s">
        <v>74</v>
      </c>
      <c r="D5" s="122" t="s">
        <v>75</v>
      </c>
      <c r="E5" s="122" t="s">
        <v>76</v>
      </c>
      <c r="F5" s="122" t="s">
        <v>1077</v>
      </c>
      <c r="G5" s="163" t="s">
        <v>1078</v>
      </c>
      <c r="H5" s="122">
        <v>21</v>
      </c>
      <c r="I5" s="122" t="s">
        <v>78</v>
      </c>
      <c r="J5" s="118">
        <v>261</v>
      </c>
      <c r="K5" s="118">
        <v>20</v>
      </c>
      <c r="L5" s="118">
        <v>10.199999999999999</v>
      </c>
      <c r="M5" s="118">
        <v>2.2000000000000002</v>
      </c>
      <c r="N5" s="118">
        <v>37.78</v>
      </c>
      <c r="O5" s="118">
        <v>24.42</v>
      </c>
      <c r="P5" s="118">
        <v>0.22</v>
      </c>
      <c r="Q5" s="118">
        <v>0.17</v>
      </c>
      <c r="R5" s="118">
        <v>0.8</v>
      </c>
      <c r="S5" s="118">
        <v>0.27</v>
      </c>
      <c r="T5" s="118">
        <v>0.23</v>
      </c>
      <c r="U5" s="118">
        <v>3.91</v>
      </c>
      <c r="V5" s="118">
        <v>0</v>
      </c>
      <c r="W5" s="118">
        <v>0</v>
      </c>
      <c r="X5" s="118">
        <v>38.35</v>
      </c>
      <c r="Y5" s="118"/>
      <c r="Z5" s="118"/>
      <c r="AA5" s="118">
        <v>0</v>
      </c>
      <c r="AB5" s="118">
        <v>0</v>
      </c>
      <c r="AC5" s="118"/>
      <c r="AD5" s="118">
        <v>60.65</v>
      </c>
      <c r="AE5" s="118">
        <v>65.45</v>
      </c>
      <c r="AF5" s="118"/>
      <c r="AG5" s="118"/>
      <c r="AH5" s="118">
        <v>38.01</v>
      </c>
      <c r="AI5" s="118">
        <v>130</v>
      </c>
      <c r="AJ5" s="118">
        <v>0.47</v>
      </c>
      <c r="AK5" s="118">
        <v>4.5999999999999996</v>
      </c>
      <c r="AL5" s="118">
        <v>173</v>
      </c>
      <c r="AM5" s="118">
        <v>28</v>
      </c>
      <c r="AN5" s="118">
        <v>160</v>
      </c>
      <c r="AO5" s="118">
        <v>976.01</v>
      </c>
      <c r="AP5" s="118"/>
      <c r="AQ5" s="118">
        <v>2.81</v>
      </c>
      <c r="AR5" s="118">
        <v>0.41</v>
      </c>
      <c r="AS5" s="118">
        <v>0.99</v>
      </c>
      <c r="AT5" s="118">
        <v>0.55000000000000004</v>
      </c>
      <c r="AU5" s="118"/>
      <c r="AV5" s="124">
        <v>0.13800999999999999</v>
      </c>
      <c r="AW5" s="124">
        <v>0.14615</v>
      </c>
      <c r="AX5" s="124">
        <v>0.49062</v>
      </c>
      <c r="AY5" s="124">
        <v>0.21534</v>
      </c>
      <c r="AZ5" s="124">
        <v>7.6219999999999996E-2</v>
      </c>
      <c r="BA5" s="124">
        <v>6.8449999999999997E-2</v>
      </c>
      <c r="BB5" s="124">
        <v>0.28526999999999997</v>
      </c>
      <c r="BC5" s="124">
        <v>0.22125999999999998</v>
      </c>
      <c r="BD5" s="124">
        <v>6.7339999999999997E-2</v>
      </c>
      <c r="BE5" s="124">
        <v>0.20313000000000001</v>
      </c>
      <c r="BF5" s="124">
        <v>0.45991000000000004</v>
      </c>
      <c r="BG5" s="124">
        <v>0.61753000000000002</v>
      </c>
      <c r="BH5" s="124">
        <v>1.0027000000000001</v>
      </c>
      <c r="BI5" s="124">
        <v>1.36974</v>
      </c>
      <c r="BJ5" s="124">
        <v>0.40441000000000005</v>
      </c>
      <c r="BK5" s="124">
        <v>0.29044999999999999</v>
      </c>
      <c r="BL5" s="124">
        <v>0.41402999999999995</v>
      </c>
      <c r="BM5" s="124">
        <v>0.16131999999999999</v>
      </c>
      <c r="BN5" s="118"/>
      <c r="BO5" s="118">
        <v>463.66</v>
      </c>
      <c r="BP5" s="118"/>
      <c r="BQ5" s="118"/>
      <c r="BR5" s="118"/>
      <c r="BS5" s="205"/>
      <c r="BT5" s="205"/>
      <c r="BU5" s="205"/>
      <c r="BV5" s="205"/>
      <c r="BW5" s="205"/>
      <c r="BX5" s="205"/>
      <c r="BY5" s="205"/>
      <c r="BZ5" s="205"/>
      <c r="CA5" s="205"/>
      <c r="CB5" s="205"/>
      <c r="CC5" s="205"/>
      <c r="CD5" s="205"/>
      <c r="CE5" s="205"/>
      <c r="CF5" s="205"/>
    </row>
    <row r="6" spans="1:84">
      <c r="A6" s="122">
        <v>90803</v>
      </c>
      <c r="B6" s="122" t="s">
        <v>79</v>
      </c>
      <c r="C6" s="122" t="s">
        <v>80</v>
      </c>
      <c r="D6" s="122" t="s">
        <v>81</v>
      </c>
      <c r="E6" s="122" t="s">
        <v>82</v>
      </c>
      <c r="F6" s="122" t="s">
        <v>83</v>
      </c>
      <c r="G6" s="163" t="s">
        <v>84</v>
      </c>
      <c r="H6" s="122">
        <v>21</v>
      </c>
      <c r="I6" s="122" t="s">
        <v>78</v>
      </c>
      <c r="J6" s="118">
        <v>270.55</v>
      </c>
      <c r="K6" s="118">
        <v>6.69</v>
      </c>
      <c r="L6" s="118">
        <v>6.69</v>
      </c>
      <c r="M6" s="118">
        <v>2.8</v>
      </c>
      <c r="N6" s="118">
        <v>52.53</v>
      </c>
      <c r="O6" s="118">
        <v>23.46</v>
      </c>
      <c r="P6" s="118">
        <v>0.05</v>
      </c>
      <c r="Q6" s="118">
        <v>0.13</v>
      </c>
      <c r="R6" s="118">
        <v>0.52</v>
      </c>
      <c r="S6" s="118">
        <v>0.27</v>
      </c>
      <c r="T6" s="118">
        <v>0.2</v>
      </c>
      <c r="U6" s="118">
        <v>4.96</v>
      </c>
      <c r="V6" s="118"/>
      <c r="W6" s="118">
        <v>21</v>
      </c>
      <c r="X6" s="118">
        <v>43.55</v>
      </c>
      <c r="Y6" s="118">
        <v>0.36</v>
      </c>
      <c r="Z6" s="118">
        <v>5.74</v>
      </c>
      <c r="AA6" s="118"/>
      <c r="AB6" s="125">
        <f>AA6+1/12*(AD6)+1/24*(AC6)+1/24*(AG6)</f>
        <v>6.456666666666667</v>
      </c>
      <c r="AC6" s="118"/>
      <c r="AD6" s="118">
        <v>77.48</v>
      </c>
      <c r="AE6" s="118">
        <v>56.9</v>
      </c>
      <c r="AF6" s="118"/>
      <c r="AG6" s="118"/>
      <c r="AH6" s="118">
        <v>10.31</v>
      </c>
      <c r="AI6" s="118">
        <v>312</v>
      </c>
      <c r="AJ6" s="118">
        <v>0.75</v>
      </c>
      <c r="AK6" s="118">
        <v>7.94</v>
      </c>
      <c r="AL6" s="118">
        <v>286</v>
      </c>
      <c r="AM6" s="118">
        <v>30.25</v>
      </c>
      <c r="AN6" s="118">
        <v>117</v>
      </c>
      <c r="AO6" s="118">
        <v>1331</v>
      </c>
      <c r="AP6" s="118">
        <v>3.99</v>
      </c>
      <c r="AQ6" s="118">
        <v>4.75</v>
      </c>
      <c r="AR6" s="118">
        <v>0.49</v>
      </c>
      <c r="AS6" s="118">
        <v>1.08</v>
      </c>
      <c r="AT6" s="118">
        <v>0.52</v>
      </c>
      <c r="AU6" s="118"/>
      <c r="AV6" s="118">
        <v>1.82</v>
      </c>
      <c r="AW6" s="118">
        <v>1.8</v>
      </c>
      <c r="AX6" s="118">
        <v>6.02</v>
      </c>
      <c r="AY6" s="118">
        <v>2.58</v>
      </c>
      <c r="AZ6" s="118">
        <v>0.86</v>
      </c>
      <c r="BA6" s="118">
        <v>0.79</v>
      </c>
      <c r="BB6" s="118">
        <v>3.39</v>
      </c>
      <c r="BC6" s="118">
        <v>2.95</v>
      </c>
      <c r="BD6" s="118">
        <v>0.86</v>
      </c>
      <c r="BE6" s="118">
        <v>2.64</v>
      </c>
      <c r="BF6" s="118">
        <v>6.19</v>
      </c>
      <c r="BG6" s="118">
        <v>7.36</v>
      </c>
      <c r="BH6" s="118">
        <v>15.14</v>
      </c>
      <c r="BI6" s="118">
        <v>17.809999999999999</v>
      </c>
      <c r="BJ6" s="118">
        <v>5.64</v>
      </c>
      <c r="BK6" s="118">
        <v>4.25</v>
      </c>
      <c r="BL6" s="118">
        <v>5.37</v>
      </c>
      <c r="BM6" s="118">
        <v>1.97</v>
      </c>
      <c r="BN6" s="118">
        <v>134</v>
      </c>
      <c r="BO6" s="118">
        <v>670</v>
      </c>
      <c r="BP6" s="118">
        <v>247</v>
      </c>
      <c r="BQ6" s="118"/>
      <c r="BR6" s="118"/>
      <c r="BS6" s="205"/>
      <c r="BT6" s="205"/>
      <c r="BU6" s="205"/>
      <c r="BV6" s="205"/>
      <c r="BW6" s="205"/>
      <c r="BX6" s="205"/>
      <c r="BY6" s="205"/>
      <c r="BZ6" s="205"/>
      <c r="CA6" s="205"/>
      <c r="CB6" s="205"/>
      <c r="CC6" s="205"/>
      <c r="CD6" s="205"/>
      <c r="CE6" s="205"/>
      <c r="CF6" s="205"/>
    </row>
    <row r="7" spans="1:84">
      <c r="A7" s="122">
        <v>90808</v>
      </c>
      <c r="B7" s="122" t="s">
        <v>86</v>
      </c>
      <c r="C7" s="122" t="s">
        <v>87</v>
      </c>
      <c r="D7" s="122" t="s">
        <v>88</v>
      </c>
      <c r="E7" s="122" t="s">
        <v>82</v>
      </c>
      <c r="F7" s="122" t="s">
        <v>89</v>
      </c>
      <c r="G7" s="163" t="s">
        <v>90</v>
      </c>
      <c r="H7" s="122">
        <v>21</v>
      </c>
      <c r="I7" s="122" t="s">
        <v>78</v>
      </c>
      <c r="J7" s="118">
        <v>304.49</v>
      </c>
      <c r="K7" s="118">
        <v>10.59</v>
      </c>
      <c r="L7" s="118">
        <v>13.91</v>
      </c>
      <c r="M7" s="118">
        <v>16.64</v>
      </c>
      <c r="N7" s="118">
        <v>22.62</v>
      </c>
      <c r="O7" s="118">
        <v>30.35</v>
      </c>
      <c r="P7" s="118">
        <v>0.52</v>
      </c>
      <c r="Q7" s="118">
        <v>0.13</v>
      </c>
      <c r="R7" s="118">
        <v>2.87</v>
      </c>
      <c r="S7" s="118">
        <v>0.22</v>
      </c>
      <c r="T7" s="118">
        <v>0.39</v>
      </c>
      <c r="U7" s="118">
        <v>27.79</v>
      </c>
      <c r="V7" s="118"/>
      <c r="W7" s="118">
        <v>7.7</v>
      </c>
      <c r="X7" s="118">
        <v>12.1</v>
      </c>
      <c r="Y7" s="120">
        <v>1.49</v>
      </c>
      <c r="Z7" s="120">
        <v>146</v>
      </c>
      <c r="AA7" s="118">
        <v>0</v>
      </c>
      <c r="AB7" s="125">
        <f>AA7+1/12*(AD7)+1/24*(AC7)+1/24*(AG7)</f>
        <v>7.4324999999999992</v>
      </c>
      <c r="AC7" s="118"/>
      <c r="AD7" s="120">
        <v>89.19</v>
      </c>
      <c r="AE7" s="120">
        <v>170</v>
      </c>
      <c r="AF7" s="118"/>
      <c r="AG7" s="118"/>
      <c r="AH7" s="120">
        <v>42.6</v>
      </c>
      <c r="AI7" s="120">
        <v>878</v>
      </c>
      <c r="AJ7" s="120">
        <v>1.1399999999999999</v>
      </c>
      <c r="AK7" s="120">
        <v>20.58</v>
      </c>
      <c r="AL7" s="120">
        <v>442</v>
      </c>
      <c r="AM7" s="120">
        <v>4.21</v>
      </c>
      <c r="AN7" s="120">
        <v>382</v>
      </c>
      <c r="AO7" s="120">
        <v>1886</v>
      </c>
      <c r="AP7" s="120">
        <v>4.01</v>
      </c>
      <c r="AQ7" s="120">
        <v>4.29</v>
      </c>
      <c r="AR7" s="120">
        <v>0.62</v>
      </c>
      <c r="AS7" s="120">
        <v>8.3800000000000008</v>
      </c>
      <c r="AT7" s="120">
        <v>4.3099999999999996</v>
      </c>
      <c r="AU7" s="118"/>
      <c r="AV7" s="120">
        <v>2.87</v>
      </c>
      <c r="AW7" s="120">
        <v>4.43</v>
      </c>
      <c r="AX7" s="120">
        <v>6.23</v>
      </c>
      <c r="AY7" s="120">
        <v>4.8499999999999996</v>
      </c>
      <c r="AZ7" s="120">
        <v>1.25</v>
      </c>
      <c r="BA7" s="120">
        <v>1.02</v>
      </c>
      <c r="BB7" s="120">
        <v>4.46</v>
      </c>
      <c r="BC7" s="120">
        <v>3.91</v>
      </c>
      <c r="BD7" s="120">
        <v>0.95</v>
      </c>
      <c r="BE7" s="120">
        <v>5.13</v>
      </c>
      <c r="BF7" s="120">
        <v>5.22</v>
      </c>
      <c r="BG7" s="120">
        <v>6.82</v>
      </c>
      <c r="BH7" s="120">
        <v>8.9600000000000009</v>
      </c>
      <c r="BI7" s="120">
        <v>20.91</v>
      </c>
      <c r="BJ7" s="120">
        <v>7.22</v>
      </c>
      <c r="BK7" s="120">
        <v>4.33</v>
      </c>
      <c r="BL7" s="120">
        <v>5.07</v>
      </c>
      <c r="BM7" s="120">
        <v>3.27</v>
      </c>
      <c r="BN7" s="120">
        <v>165</v>
      </c>
      <c r="BO7" s="120">
        <v>445</v>
      </c>
      <c r="BP7" s="120">
        <v>817</v>
      </c>
      <c r="BQ7" s="120"/>
      <c r="BR7" s="120"/>
      <c r="BS7" s="219"/>
      <c r="BT7" s="220"/>
      <c r="BU7" s="219"/>
      <c r="BV7" s="220"/>
      <c r="BW7" s="205"/>
      <c r="BX7" s="205"/>
      <c r="BY7" s="205"/>
      <c r="BZ7" s="205"/>
      <c r="CA7" s="205"/>
      <c r="CB7" s="205"/>
      <c r="CC7" s="205"/>
      <c r="CD7" s="205"/>
      <c r="CE7" s="205"/>
      <c r="CF7" s="205"/>
    </row>
    <row r="8" spans="1:84">
      <c r="A8" s="122">
        <v>90804</v>
      </c>
      <c r="B8" s="122" t="s">
        <v>91</v>
      </c>
      <c r="C8" s="122" t="s">
        <v>92</v>
      </c>
      <c r="D8" s="122" t="s">
        <v>93</v>
      </c>
      <c r="E8" s="122" t="s">
        <v>76</v>
      </c>
      <c r="F8" s="122" t="s">
        <v>1079</v>
      </c>
      <c r="G8" s="163" t="s">
        <v>1080</v>
      </c>
      <c r="H8" s="122">
        <v>21</v>
      </c>
      <c r="I8" s="122" t="s">
        <v>78</v>
      </c>
      <c r="J8" s="118">
        <v>353</v>
      </c>
      <c r="K8" s="118">
        <v>5.44</v>
      </c>
      <c r="L8" s="118">
        <v>7.61</v>
      </c>
      <c r="M8" s="118">
        <v>8.36</v>
      </c>
      <c r="N8" s="118">
        <v>48.67</v>
      </c>
      <c r="O8" s="118">
        <v>26.3</v>
      </c>
      <c r="P8" s="118">
        <v>0.01</v>
      </c>
      <c r="Q8" s="118">
        <v>0.42</v>
      </c>
      <c r="R8" s="118">
        <v>2.0099999999999998</v>
      </c>
      <c r="S8" s="118"/>
      <c r="T8" s="118">
        <v>1.74</v>
      </c>
      <c r="U8" s="118">
        <v>180</v>
      </c>
      <c r="V8" s="118">
        <v>0</v>
      </c>
      <c r="W8" s="120">
        <v>46.5</v>
      </c>
      <c r="X8" s="120">
        <v>0</v>
      </c>
      <c r="Y8" s="118"/>
      <c r="Z8" s="118"/>
      <c r="AA8" s="118">
        <v>0</v>
      </c>
      <c r="AB8" s="118">
        <v>309.17</v>
      </c>
      <c r="AC8" s="118"/>
      <c r="AD8" s="118">
        <v>3710</v>
      </c>
      <c r="AE8" s="118"/>
      <c r="AF8" s="118"/>
      <c r="AG8" s="118"/>
      <c r="AH8" s="118"/>
      <c r="AI8" s="118">
        <v>834</v>
      </c>
      <c r="AJ8" s="118">
        <v>0.42</v>
      </c>
      <c r="AK8" s="118">
        <v>43</v>
      </c>
      <c r="AL8" s="118">
        <v>120</v>
      </c>
      <c r="AM8" s="118">
        <v>8.17</v>
      </c>
      <c r="AN8" s="118">
        <v>113</v>
      </c>
      <c r="AO8" s="118">
        <v>529</v>
      </c>
      <c r="AP8" s="118">
        <v>2.8</v>
      </c>
      <c r="AQ8" s="118">
        <v>3.7</v>
      </c>
      <c r="AR8" s="118"/>
      <c r="AS8" s="118"/>
      <c r="AT8" s="118"/>
      <c r="AU8" s="118"/>
      <c r="AV8" s="124"/>
      <c r="AW8" s="124"/>
      <c r="AX8" s="124"/>
      <c r="AY8" s="124"/>
      <c r="AZ8" s="124"/>
      <c r="BA8" s="124"/>
      <c r="BB8" s="124"/>
      <c r="BC8" s="124"/>
      <c r="BD8" s="124"/>
      <c r="BE8" s="124"/>
      <c r="BF8" s="124"/>
      <c r="BG8" s="124"/>
      <c r="BH8" s="124"/>
      <c r="BI8" s="124"/>
      <c r="BJ8" s="124"/>
      <c r="BK8" s="124"/>
      <c r="BL8" s="124"/>
      <c r="BM8" s="124"/>
      <c r="BN8" s="118"/>
      <c r="BO8" s="118"/>
      <c r="BP8" s="118"/>
      <c r="BQ8" s="118"/>
      <c r="BR8" s="118"/>
      <c r="BS8" s="205"/>
      <c r="BT8" s="205"/>
      <c r="BU8" s="205"/>
      <c r="BV8" s="205"/>
      <c r="BW8" s="205"/>
      <c r="BX8" s="205"/>
      <c r="BY8" s="205"/>
      <c r="BZ8" s="205"/>
      <c r="CA8" s="205"/>
      <c r="CB8" s="205"/>
      <c r="CC8" s="205"/>
      <c r="CD8" s="205"/>
      <c r="CE8" s="205"/>
      <c r="CF8" s="205"/>
    </row>
    <row r="9" spans="1:84">
      <c r="A9" s="122">
        <v>90805</v>
      </c>
      <c r="B9" s="122" t="s">
        <v>95</v>
      </c>
      <c r="C9" s="122" t="s">
        <v>96</v>
      </c>
      <c r="D9" s="122" t="s">
        <v>97</v>
      </c>
      <c r="E9" s="122" t="s">
        <v>76</v>
      </c>
      <c r="F9" s="122" t="s">
        <v>1822</v>
      </c>
      <c r="G9" s="163" t="s">
        <v>1083</v>
      </c>
      <c r="H9" s="122">
        <v>21</v>
      </c>
      <c r="I9" s="122" t="s">
        <v>78</v>
      </c>
      <c r="J9" s="118">
        <v>313</v>
      </c>
      <c r="K9" s="118">
        <v>10</v>
      </c>
      <c r="L9" s="118">
        <v>15.9</v>
      </c>
      <c r="M9" s="118">
        <v>6.2</v>
      </c>
      <c r="N9" s="125">
        <v>35.18</v>
      </c>
      <c r="O9" s="125">
        <v>26.62</v>
      </c>
      <c r="P9" s="125">
        <v>0.93</v>
      </c>
      <c r="Q9" s="125">
        <v>0.43</v>
      </c>
      <c r="R9" s="125">
        <v>8.6999999999999993</v>
      </c>
      <c r="S9" s="125">
        <v>0.56999999999999995</v>
      </c>
      <c r="T9" s="125">
        <v>2.4500000000000002</v>
      </c>
      <c r="U9" s="125">
        <v>106</v>
      </c>
      <c r="V9" s="125">
        <v>0</v>
      </c>
      <c r="W9" s="125">
        <v>47.4</v>
      </c>
      <c r="X9" s="125">
        <v>0</v>
      </c>
      <c r="Y9" s="125">
        <v>19.71</v>
      </c>
      <c r="Z9" s="118">
        <v>106</v>
      </c>
      <c r="AA9" s="125">
        <v>0</v>
      </c>
      <c r="AB9" s="125">
        <v>746.91</v>
      </c>
      <c r="AC9" s="125">
        <v>0</v>
      </c>
      <c r="AD9" s="125">
        <v>7840.65</v>
      </c>
      <c r="AE9" s="125">
        <v>1843</v>
      </c>
      <c r="AF9" s="125">
        <v>36.44</v>
      </c>
      <c r="AG9" s="125">
        <v>1599</v>
      </c>
      <c r="AH9" s="125">
        <v>2712</v>
      </c>
      <c r="AI9" s="118">
        <v>160</v>
      </c>
      <c r="AJ9" s="118">
        <v>0.37</v>
      </c>
      <c r="AK9" s="118">
        <v>2.2999999999999998</v>
      </c>
      <c r="AL9" s="118">
        <v>152</v>
      </c>
      <c r="AM9" s="118">
        <v>1.7</v>
      </c>
      <c r="AN9" s="118">
        <v>293</v>
      </c>
      <c r="AO9" s="118">
        <v>2010</v>
      </c>
      <c r="AP9" s="118">
        <v>20.399999999999999</v>
      </c>
      <c r="AQ9" s="118">
        <v>2.48</v>
      </c>
      <c r="AR9" s="118">
        <v>1.1399999999999999</v>
      </c>
      <c r="AS9" s="118">
        <v>0.72</v>
      </c>
      <c r="AT9" s="118">
        <v>3.2629999999999999</v>
      </c>
      <c r="AU9" s="118"/>
      <c r="AV9" s="124">
        <v>0.26776</v>
      </c>
      <c r="AW9" s="124">
        <v>0.47587999999999997</v>
      </c>
      <c r="AX9" s="124">
        <v>0.80962000000000001</v>
      </c>
      <c r="AY9" s="124">
        <v>0.53171000000000002</v>
      </c>
      <c r="AZ9" s="124">
        <v>0.15988999999999998</v>
      </c>
      <c r="BA9" s="124">
        <v>0.22081000000000001</v>
      </c>
      <c r="BB9" s="124">
        <v>0.64591999999999994</v>
      </c>
      <c r="BC9" s="124">
        <v>0.51775000000000004</v>
      </c>
      <c r="BD9" s="124">
        <v>0.11675000000000001</v>
      </c>
      <c r="BE9" s="124">
        <v>0.61165999999999998</v>
      </c>
      <c r="BF9" s="124">
        <v>0.6053099999999999</v>
      </c>
      <c r="BG9" s="124">
        <v>0.62941999999999998</v>
      </c>
      <c r="BH9" s="124">
        <v>1.78295</v>
      </c>
      <c r="BI9" s="124">
        <v>2.1979099999999998</v>
      </c>
      <c r="BJ9" s="124">
        <v>0.65100000000000002</v>
      </c>
      <c r="BK9" s="124">
        <v>0.71951999999999994</v>
      </c>
      <c r="BL9" s="124">
        <v>0.54821000000000009</v>
      </c>
      <c r="BM9" s="124">
        <v>0.39212000000000002</v>
      </c>
      <c r="BN9" s="118"/>
      <c r="BO9" s="118">
        <v>264</v>
      </c>
      <c r="BP9" s="118">
        <v>67</v>
      </c>
      <c r="BQ9" s="118"/>
      <c r="BR9" s="118"/>
      <c r="BS9" s="205"/>
      <c r="BT9" s="205"/>
      <c r="BU9" s="205"/>
      <c r="BV9" s="205"/>
      <c r="BW9" s="205"/>
      <c r="BX9" s="205"/>
      <c r="BY9" s="205"/>
      <c r="BZ9" s="205"/>
      <c r="CA9" s="205"/>
      <c r="CB9" s="205"/>
      <c r="CC9" s="205"/>
      <c r="CD9" s="205"/>
      <c r="CE9" s="205"/>
      <c r="CF9" s="205"/>
    </row>
    <row r="10" spans="1:84">
      <c r="A10" s="122">
        <v>24002</v>
      </c>
      <c r="B10" s="122" t="s">
        <v>100</v>
      </c>
      <c r="C10" s="122" t="s">
        <v>101</v>
      </c>
      <c r="D10" s="122" t="s">
        <v>102</v>
      </c>
      <c r="E10" s="122" t="s">
        <v>103</v>
      </c>
      <c r="F10" s="121" t="s">
        <v>104</v>
      </c>
      <c r="G10" s="163" t="s">
        <v>105</v>
      </c>
      <c r="H10" s="122">
        <v>21</v>
      </c>
      <c r="I10" s="122" t="s">
        <v>78</v>
      </c>
      <c r="J10" s="118">
        <v>335</v>
      </c>
      <c r="K10" s="126">
        <v>9.94</v>
      </c>
      <c r="L10" s="118">
        <v>8.98</v>
      </c>
      <c r="M10" s="118">
        <v>4.24</v>
      </c>
      <c r="N10" s="118">
        <v>71.599999999999994</v>
      </c>
      <c r="O10" s="118">
        <v>14.1</v>
      </c>
      <c r="P10" s="118">
        <v>4.5999999999999999E-2</v>
      </c>
      <c r="Q10" s="118">
        <v>0.17</v>
      </c>
      <c r="R10" s="118">
        <v>9.6199999999999992</v>
      </c>
      <c r="S10" s="118">
        <v>0.47699999999999998</v>
      </c>
      <c r="T10" s="126">
        <v>0.626</v>
      </c>
      <c r="U10" s="118">
        <v>13</v>
      </c>
      <c r="V10" s="118">
        <v>0</v>
      </c>
      <c r="W10" s="118">
        <v>0.7</v>
      </c>
      <c r="X10" s="118">
        <v>0</v>
      </c>
      <c r="Y10" s="118">
        <v>0</v>
      </c>
      <c r="Z10" s="118">
        <v>0.8</v>
      </c>
      <c r="AA10" s="118">
        <v>0</v>
      </c>
      <c r="AB10" s="118">
        <v>2</v>
      </c>
      <c r="AC10" s="118">
        <v>0</v>
      </c>
      <c r="AD10" s="118">
        <v>18</v>
      </c>
      <c r="AE10" s="118">
        <v>0</v>
      </c>
      <c r="AF10" s="118">
        <v>0</v>
      </c>
      <c r="AG10" s="118">
        <v>0</v>
      </c>
      <c r="AH10" s="120"/>
      <c r="AI10" s="118">
        <v>114</v>
      </c>
      <c r="AJ10" s="118">
        <v>0.48</v>
      </c>
      <c r="AK10" s="118">
        <v>19.8</v>
      </c>
      <c r="AL10" s="126">
        <v>214</v>
      </c>
      <c r="AM10" s="118">
        <v>33.299999999999997</v>
      </c>
      <c r="AN10" s="118">
        <v>168</v>
      </c>
      <c r="AO10" s="118">
        <v>1320</v>
      </c>
      <c r="AP10" s="126">
        <v>55.8</v>
      </c>
      <c r="AQ10" s="118">
        <v>3.64</v>
      </c>
      <c r="AR10" s="118">
        <v>2.6</v>
      </c>
      <c r="AS10" s="118">
        <v>0.47899999999999998</v>
      </c>
      <c r="AT10" s="118">
        <v>0.92900000000000005</v>
      </c>
      <c r="AU10" s="118">
        <v>0</v>
      </c>
      <c r="AV10" s="118" t="s">
        <v>1084</v>
      </c>
      <c r="AW10" s="118">
        <v>0.34100000000000003</v>
      </c>
      <c r="AX10" s="118">
        <v>0.51300000000000001</v>
      </c>
      <c r="AY10" s="118">
        <v>0.24099999999999999</v>
      </c>
      <c r="AZ10" s="118">
        <v>8.8999999999999996E-2</v>
      </c>
      <c r="BA10" s="118">
        <v>9.9000000000000005E-2</v>
      </c>
      <c r="BB10" s="118">
        <v>0.311</v>
      </c>
      <c r="BC10" s="118">
        <v>0.28899999999999998</v>
      </c>
      <c r="BD10" s="118">
        <v>0.152</v>
      </c>
      <c r="BE10" s="118">
        <v>0.41099999999999998</v>
      </c>
      <c r="BF10" s="118">
        <v>0.27200000000000002</v>
      </c>
      <c r="BG10" s="118">
        <v>0.70799999999999996</v>
      </c>
      <c r="BH10" s="118">
        <v>1.39</v>
      </c>
      <c r="BI10" s="118">
        <v>0.79</v>
      </c>
      <c r="BJ10" s="118">
        <v>0.497</v>
      </c>
      <c r="BK10" s="118">
        <v>0.33400000000000002</v>
      </c>
      <c r="BL10" s="118">
        <v>0.25</v>
      </c>
      <c r="BM10" s="118">
        <v>0.24299999999999999</v>
      </c>
      <c r="BN10" s="118"/>
      <c r="BO10" s="118"/>
      <c r="BP10" s="118"/>
      <c r="BQ10" s="118"/>
      <c r="BR10" s="118"/>
      <c r="BS10" s="205"/>
      <c r="BT10" s="205"/>
      <c r="BU10" s="205"/>
      <c r="BV10" s="205"/>
      <c r="BW10" s="205"/>
      <c r="BX10" s="205"/>
      <c r="BY10" s="205"/>
      <c r="BZ10" s="205"/>
      <c r="CA10" s="205"/>
      <c r="CB10" s="205"/>
      <c r="CC10" s="205"/>
      <c r="CD10" s="205"/>
      <c r="CE10" s="205"/>
      <c r="CF10" s="205"/>
    </row>
    <row r="11" spans="1:84">
      <c r="A11" s="122">
        <v>90807</v>
      </c>
      <c r="B11" s="122" t="s">
        <v>106</v>
      </c>
      <c r="C11" s="122" t="s">
        <v>107</v>
      </c>
      <c r="D11" s="122" t="s">
        <v>88</v>
      </c>
      <c r="E11" s="122" t="s">
        <v>103</v>
      </c>
      <c r="F11" s="122">
        <v>170923</v>
      </c>
      <c r="G11" s="163" t="s">
        <v>108</v>
      </c>
      <c r="H11" s="122">
        <v>21</v>
      </c>
      <c r="I11" s="122" t="s">
        <v>78</v>
      </c>
      <c r="J11" s="118">
        <v>375</v>
      </c>
      <c r="K11" s="118">
        <v>8.06</v>
      </c>
      <c r="L11" s="118">
        <v>17.8</v>
      </c>
      <c r="M11" s="118">
        <v>22.3</v>
      </c>
      <c r="N11" s="118">
        <v>44.2</v>
      </c>
      <c r="O11" s="118">
        <v>10.5</v>
      </c>
      <c r="P11" s="118">
        <v>0.628</v>
      </c>
      <c r="Q11" s="118">
        <v>0.32700000000000001</v>
      </c>
      <c r="R11" s="118">
        <v>4.58</v>
      </c>
      <c r="S11" s="118"/>
      <c r="T11" s="118">
        <v>0.435</v>
      </c>
      <c r="U11" s="118">
        <v>10</v>
      </c>
      <c r="V11" s="118">
        <v>0</v>
      </c>
      <c r="W11" s="118">
        <v>7.7</v>
      </c>
      <c r="X11" s="118">
        <v>0</v>
      </c>
      <c r="Y11" s="118">
        <v>3.33</v>
      </c>
      <c r="Z11" s="118">
        <v>5.4</v>
      </c>
      <c r="AA11" s="118">
        <v>0</v>
      </c>
      <c r="AB11" s="118">
        <v>64</v>
      </c>
      <c r="AC11" s="118">
        <v>0</v>
      </c>
      <c r="AD11" s="118">
        <v>762</v>
      </c>
      <c r="AE11" s="118"/>
      <c r="AF11" s="118">
        <v>0</v>
      </c>
      <c r="AG11" s="118">
        <v>0</v>
      </c>
      <c r="AH11" s="118"/>
      <c r="AI11" s="118">
        <v>931</v>
      </c>
      <c r="AJ11" s="118">
        <v>0.86699999999999999</v>
      </c>
      <c r="AK11" s="118">
        <v>66.400000000000006</v>
      </c>
      <c r="AL11" s="118">
        <v>366</v>
      </c>
      <c r="AM11" s="118">
        <v>3.33</v>
      </c>
      <c r="AN11" s="118">
        <v>499</v>
      </c>
      <c r="AO11" s="118">
        <v>1790</v>
      </c>
      <c r="AP11" s="118">
        <v>5.2</v>
      </c>
      <c r="AQ11" s="118">
        <v>4.8</v>
      </c>
      <c r="AR11" s="118">
        <v>1.54</v>
      </c>
      <c r="AS11" s="118">
        <v>14</v>
      </c>
      <c r="AT11" s="118">
        <v>3.28</v>
      </c>
      <c r="AU11" s="118">
        <v>0</v>
      </c>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205"/>
      <c r="BT11" s="205"/>
      <c r="BU11" s="205"/>
      <c r="BV11" s="205"/>
      <c r="BW11" s="205"/>
      <c r="BX11" s="205"/>
      <c r="BY11" s="205"/>
      <c r="BZ11" s="205"/>
      <c r="CA11" s="205"/>
      <c r="CB11" s="205"/>
      <c r="CC11" s="205"/>
      <c r="CD11" s="205"/>
      <c r="CE11" s="205"/>
      <c r="CF11" s="205"/>
    </row>
    <row r="12" spans="1:84">
      <c r="A12" s="122">
        <v>90812</v>
      </c>
      <c r="B12" s="122" t="s">
        <v>109</v>
      </c>
      <c r="C12" s="122"/>
      <c r="D12" s="122"/>
      <c r="E12" s="122" t="s">
        <v>76</v>
      </c>
      <c r="F12" s="122" t="s">
        <v>1085</v>
      </c>
      <c r="G12" s="163" t="s">
        <v>1086</v>
      </c>
      <c r="H12" s="122">
        <v>21</v>
      </c>
      <c r="I12" s="122" t="s">
        <v>78</v>
      </c>
      <c r="J12" s="118">
        <v>336</v>
      </c>
      <c r="K12" s="118">
        <v>11.2</v>
      </c>
      <c r="L12" s="118">
        <v>14.1</v>
      </c>
      <c r="M12" s="118">
        <v>16.100000000000001</v>
      </c>
      <c r="N12" s="118">
        <v>13.38</v>
      </c>
      <c r="O12" s="118">
        <v>40.82</v>
      </c>
      <c r="P12" s="118">
        <v>0.22</v>
      </c>
      <c r="Q12" s="118">
        <v>0.35</v>
      </c>
      <c r="R12" s="118">
        <v>2.13</v>
      </c>
      <c r="S12" s="118">
        <v>0.28000000000000003</v>
      </c>
      <c r="T12" s="118">
        <v>0.04</v>
      </c>
      <c r="U12" s="118">
        <v>22.07</v>
      </c>
      <c r="V12" s="118">
        <v>0</v>
      </c>
      <c r="W12" s="118">
        <v>0</v>
      </c>
      <c r="X12" s="118">
        <v>1.31</v>
      </c>
      <c r="Y12" s="118">
        <v>1.01</v>
      </c>
      <c r="Z12" s="118"/>
      <c r="AA12" s="118">
        <v>0</v>
      </c>
      <c r="AB12" s="118">
        <v>0</v>
      </c>
      <c r="AC12" s="118">
        <v>0</v>
      </c>
      <c r="AD12" s="118">
        <v>122</v>
      </c>
      <c r="AE12" s="118">
        <v>225</v>
      </c>
      <c r="AF12" s="118"/>
      <c r="AG12" s="118"/>
      <c r="AH12" s="118">
        <v>10.96</v>
      </c>
      <c r="AI12" s="118">
        <v>630</v>
      </c>
      <c r="AJ12" s="118">
        <v>0.95</v>
      </c>
      <c r="AK12" s="118">
        <v>17.899999999999999</v>
      </c>
      <c r="AL12" s="118">
        <v>321.52999999999997</v>
      </c>
      <c r="AM12" s="118">
        <v>1.9</v>
      </c>
      <c r="AN12" s="118">
        <v>398.5</v>
      </c>
      <c r="AO12" s="118">
        <v>1230</v>
      </c>
      <c r="AP12" s="118">
        <v>26.2</v>
      </c>
      <c r="AQ12" s="118">
        <v>4.58</v>
      </c>
      <c r="AR12" s="118">
        <v>0.93</v>
      </c>
      <c r="AS12" s="118">
        <v>10.77</v>
      </c>
      <c r="AT12" s="118">
        <v>2.25</v>
      </c>
      <c r="AU12" s="118"/>
      <c r="AV12" s="124">
        <v>0.30381000000000002</v>
      </c>
      <c r="AW12" s="124">
        <v>0.48182999999999998</v>
      </c>
      <c r="AX12" s="124">
        <v>0.71741999999999995</v>
      </c>
      <c r="AY12" s="124">
        <v>0.59909000000000001</v>
      </c>
      <c r="AZ12" s="124">
        <v>0.21746000000000001</v>
      </c>
      <c r="BA12" s="124">
        <v>0.10553</v>
      </c>
      <c r="BB12" s="124">
        <v>0.43598999999999999</v>
      </c>
      <c r="BC12" s="124">
        <v>0.42852999999999997</v>
      </c>
      <c r="BD12" s="124">
        <v>0.12579000000000001</v>
      </c>
      <c r="BE12" s="124">
        <v>0.66517999999999999</v>
      </c>
      <c r="BF12" s="124">
        <v>0.52979999999999994</v>
      </c>
      <c r="BG12" s="124">
        <v>0.64066999999999996</v>
      </c>
      <c r="BH12" s="124">
        <v>1.1427499999999999</v>
      </c>
      <c r="BI12" s="124">
        <v>1.66509</v>
      </c>
      <c r="BJ12" s="124">
        <v>0.67050999999999994</v>
      </c>
      <c r="BK12" s="124">
        <v>0.52340999999999993</v>
      </c>
      <c r="BL12" s="124">
        <v>0.50102000000000002</v>
      </c>
      <c r="BM12" s="124">
        <v>0.32512999999999997</v>
      </c>
      <c r="BN12" s="118"/>
      <c r="BO12" s="118">
        <v>1008</v>
      </c>
      <c r="BP12" s="118"/>
      <c r="BQ12" s="118"/>
      <c r="BR12" s="118"/>
      <c r="BS12" s="205"/>
      <c r="BT12" s="205"/>
      <c r="BU12" s="205"/>
      <c r="BV12" s="205"/>
      <c r="BW12" s="205"/>
      <c r="BX12" s="205"/>
      <c r="BY12" s="205"/>
      <c r="BZ12" s="205"/>
      <c r="CA12" s="205"/>
      <c r="CB12" s="205"/>
      <c r="CC12" s="205"/>
      <c r="CD12" s="205"/>
      <c r="CE12" s="205"/>
      <c r="CF12" s="205"/>
    </row>
    <row r="13" spans="1:84">
      <c r="A13" s="122">
        <v>90809</v>
      </c>
      <c r="B13" s="122" t="s">
        <v>111</v>
      </c>
      <c r="C13" s="122" t="s">
        <v>112</v>
      </c>
      <c r="D13" s="122" t="s">
        <v>113</v>
      </c>
      <c r="E13" s="122" t="s">
        <v>76</v>
      </c>
      <c r="F13" s="122" t="s">
        <v>1087</v>
      </c>
      <c r="G13" s="163" t="s">
        <v>1088</v>
      </c>
      <c r="H13" s="122">
        <v>21</v>
      </c>
      <c r="I13" s="122" t="s">
        <v>78</v>
      </c>
      <c r="J13" s="118">
        <v>243</v>
      </c>
      <c r="K13" s="125">
        <v>10.58</v>
      </c>
      <c r="L13" s="125">
        <v>3.99</v>
      </c>
      <c r="M13" s="125">
        <v>1.24</v>
      </c>
      <c r="N13" s="125">
        <v>27.49</v>
      </c>
      <c r="O13" s="125">
        <v>53.1</v>
      </c>
      <c r="P13" s="125">
        <v>0.02</v>
      </c>
      <c r="Q13" s="125">
        <v>0.04</v>
      </c>
      <c r="R13" s="125">
        <v>1.33</v>
      </c>
      <c r="S13" s="125"/>
      <c r="T13" s="125">
        <v>0.16</v>
      </c>
      <c r="U13" s="125">
        <v>6</v>
      </c>
      <c r="V13" s="125">
        <v>0</v>
      </c>
      <c r="W13" s="125">
        <v>3.8</v>
      </c>
      <c r="X13" s="125">
        <v>0</v>
      </c>
      <c r="Y13" s="125">
        <v>2.3199999999999998</v>
      </c>
      <c r="Z13" s="118">
        <v>31.2</v>
      </c>
      <c r="AA13" s="125">
        <v>0</v>
      </c>
      <c r="AB13" s="125">
        <v>14.75</v>
      </c>
      <c r="AC13" s="125">
        <v>1</v>
      </c>
      <c r="AD13" s="125">
        <v>112</v>
      </c>
      <c r="AE13" s="125"/>
      <c r="AF13" s="125"/>
      <c r="AG13" s="125"/>
      <c r="AH13" s="125"/>
      <c r="AI13" s="125">
        <v>1000</v>
      </c>
      <c r="AJ13" s="125">
        <v>0.34</v>
      </c>
      <c r="AK13" s="125">
        <v>8.32</v>
      </c>
      <c r="AL13" s="125">
        <v>60</v>
      </c>
      <c r="AM13" s="118">
        <v>17.5</v>
      </c>
      <c r="AN13" s="118">
        <v>64</v>
      </c>
      <c r="AO13" s="118">
        <v>431</v>
      </c>
      <c r="AP13" s="118">
        <v>3.1</v>
      </c>
      <c r="AQ13" s="118">
        <v>1.83</v>
      </c>
      <c r="AR13" s="118"/>
      <c r="AS13" s="118"/>
      <c r="AT13" s="118"/>
      <c r="AU13" s="118"/>
      <c r="AV13" s="124"/>
      <c r="AW13" s="124"/>
      <c r="AX13" s="124"/>
      <c r="AY13" s="124"/>
      <c r="AZ13" s="124"/>
      <c r="BA13" s="124"/>
      <c r="BB13" s="124"/>
      <c r="BC13" s="124"/>
      <c r="BD13" s="124"/>
      <c r="BE13" s="124"/>
      <c r="BF13" s="124"/>
      <c r="BG13" s="124"/>
      <c r="BH13" s="124"/>
      <c r="BI13" s="124"/>
      <c r="BJ13" s="124"/>
      <c r="BK13" s="124"/>
      <c r="BL13" s="124"/>
      <c r="BM13" s="124"/>
      <c r="BN13" s="118"/>
      <c r="BO13" s="118"/>
      <c r="BP13" s="118"/>
      <c r="BQ13" s="118"/>
      <c r="BR13" s="118"/>
      <c r="BS13" s="205"/>
      <c r="BT13" s="205"/>
      <c r="BU13" s="205"/>
      <c r="BV13" s="205"/>
      <c r="BW13" s="205"/>
      <c r="BX13" s="205"/>
      <c r="BY13" s="205"/>
      <c r="BZ13" s="205"/>
      <c r="CA13" s="205"/>
      <c r="CB13" s="205"/>
      <c r="CC13" s="205"/>
      <c r="CD13" s="205"/>
      <c r="CE13" s="205"/>
      <c r="CF13" s="205"/>
    </row>
    <row r="14" spans="1:84">
      <c r="A14" s="122">
        <v>90810</v>
      </c>
      <c r="B14" s="122" t="s">
        <v>115</v>
      </c>
      <c r="C14" s="122" t="s">
        <v>116</v>
      </c>
      <c r="D14" s="122" t="s">
        <v>117</v>
      </c>
      <c r="E14" s="122" t="s">
        <v>76</v>
      </c>
      <c r="F14" s="122" t="s">
        <v>1089</v>
      </c>
      <c r="G14" s="163" t="s">
        <v>1090</v>
      </c>
      <c r="H14" s="122">
        <v>21</v>
      </c>
      <c r="I14" s="122" t="s">
        <v>78</v>
      </c>
      <c r="J14" s="118">
        <v>330</v>
      </c>
      <c r="K14" s="118">
        <v>10.68</v>
      </c>
      <c r="L14" s="118">
        <v>21.8</v>
      </c>
      <c r="M14" s="118">
        <v>6.91</v>
      </c>
      <c r="N14" s="118">
        <v>32.81</v>
      </c>
      <c r="O14" s="118">
        <v>24.6</v>
      </c>
      <c r="P14" s="118">
        <v>0.33</v>
      </c>
      <c r="Q14" s="118">
        <v>0.34</v>
      </c>
      <c r="R14" s="118">
        <v>1.47</v>
      </c>
      <c r="S14" s="118">
        <v>0.27</v>
      </c>
      <c r="T14" s="118">
        <v>0.6</v>
      </c>
      <c r="U14" s="118">
        <v>64</v>
      </c>
      <c r="V14" s="118">
        <v>0</v>
      </c>
      <c r="W14" s="118"/>
      <c r="X14" s="118">
        <v>0.3</v>
      </c>
      <c r="Y14" s="118"/>
      <c r="Z14" s="118">
        <v>1.5</v>
      </c>
      <c r="AA14" s="118">
        <v>0</v>
      </c>
      <c r="AB14" s="118">
        <v>8.33</v>
      </c>
      <c r="AC14" s="118">
        <v>0</v>
      </c>
      <c r="AD14" s="118">
        <v>11</v>
      </c>
      <c r="AE14" s="118">
        <v>585</v>
      </c>
      <c r="AF14" s="118"/>
      <c r="AG14" s="118"/>
      <c r="AH14" s="118">
        <v>201</v>
      </c>
      <c r="AI14" s="118">
        <v>155.33000000000001</v>
      </c>
      <c r="AJ14" s="118">
        <v>1.46</v>
      </c>
      <c r="AK14" s="118">
        <v>23.64</v>
      </c>
      <c r="AL14" s="118">
        <v>180.5</v>
      </c>
      <c r="AM14" s="118">
        <v>1.6</v>
      </c>
      <c r="AN14" s="118">
        <v>318</v>
      </c>
      <c r="AO14" s="118">
        <v>710</v>
      </c>
      <c r="AP14" s="118">
        <v>9.98</v>
      </c>
      <c r="AQ14" s="118">
        <v>4.7</v>
      </c>
      <c r="AR14" s="118">
        <v>0.77</v>
      </c>
      <c r="AS14" s="118">
        <v>0.68</v>
      </c>
      <c r="AT14" s="118">
        <v>3.13</v>
      </c>
      <c r="AU14" s="118"/>
      <c r="AV14" s="124">
        <v>0.57935000000000003</v>
      </c>
      <c r="AW14" s="124">
        <v>1.16124</v>
      </c>
      <c r="AX14" s="124">
        <v>1.5246</v>
      </c>
      <c r="AY14" s="124">
        <v>1.67706</v>
      </c>
      <c r="AZ14" s="124">
        <v>0.31</v>
      </c>
      <c r="BA14" s="124">
        <v>0.35066000000000003</v>
      </c>
      <c r="BB14" s="124">
        <v>1.0418099999999999</v>
      </c>
      <c r="BC14" s="124">
        <v>0.72419</v>
      </c>
      <c r="BD14" s="124">
        <v>0.30237999999999998</v>
      </c>
      <c r="BE14" s="124">
        <v>1.1256600000000001</v>
      </c>
      <c r="BF14" s="124">
        <v>1.09517</v>
      </c>
      <c r="BG14" s="124">
        <v>2.1293600000000001</v>
      </c>
      <c r="BH14" s="124">
        <v>2.7976399999999999</v>
      </c>
      <c r="BI14" s="124">
        <v>4.6932299999999998</v>
      </c>
      <c r="BJ14" s="124">
        <v>1.25017</v>
      </c>
      <c r="BK14" s="124">
        <v>0.99099000000000004</v>
      </c>
      <c r="BL14" s="124">
        <v>1.35181</v>
      </c>
      <c r="BM14" s="124">
        <v>0.65303999999999995</v>
      </c>
      <c r="BN14" s="118">
        <v>94.73</v>
      </c>
      <c r="BO14" s="118">
        <v>570</v>
      </c>
      <c r="BP14" s="118"/>
      <c r="BQ14" s="118"/>
      <c r="BR14" s="118"/>
      <c r="BS14" s="205"/>
      <c r="BT14" s="205"/>
      <c r="BU14" s="205"/>
      <c r="BV14" s="205"/>
      <c r="BW14" s="205"/>
      <c r="BX14" s="205"/>
      <c r="BY14" s="205"/>
      <c r="BZ14" s="205"/>
      <c r="CA14" s="205"/>
      <c r="CB14" s="205"/>
      <c r="CC14" s="205"/>
      <c r="CD14" s="205"/>
      <c r="CE14" s="205"/>
      <c r="CF14" s="205"/>
    </row>
    <row r="15" spans="1:84">
      <c r="A15" s="122">
        <v>90404</v>
      </c>
      <c r="B15" s="122" t="s">
        <v>119</v>
      </c>
      <c r="C15" s="122" t="s">
        <v>120</v>
      </c>
      <c r="D15" s="122" t="s">
        <v>121</v>
      </c>
      <c r="E15" s="122" t="s">
        <v>122</v>
      </c>
      <c r="F15" s="122">
        <v>2284215</v>
      </c>
      <c r="G15" s="163" t="s">
        <v>123</v>
      </c>
      <c r="H15" s="122">
        <v>17</v>
      </c>
      <c r="I15" s="122" t="s">
        <v>124</v>
      </c>
      <c r="J15" s="118">
        <v>900</v>
      </c>
      <c r="K15" s="118"/>
      <c r="L15" s="118">
        <v>0</v>
      </c>
      <c r="M15" s="118">
        <v>100</v>
      </c>
      <c r="N15" s="118">
        <v>0</v>
      </c>
      <c r="O15" s="118"/>
      <c r="P15" s="118"/>
      <c r="Q15" s="118"/>
      <c r="R15" s="118"/>
      <c r="S15" s="118"/>
      <c r="T15" s="118"/>
      <c r="U15" s="118"/>
      <c r="V15" s="118"/>
      <c r="W15" s="118"/>
      <c r="X15" s="118"/>
      <c r="Y15" s="118"/>
      <c r="Z15" s="118"/>
      <c r="AA15" s="118">
        <v>0</v>
      </c>
      <c r="AB15" s="118"/>
      <c r="AC15" s="118"/>
      <c r="AD15" s="118"/>
      <c r="AE15" s="118"/>
      <c r="AF15" s="118"/>
      <c r="AG15" s="118"/>
      <c r="AH15" s="118"/>
      <c r="AI15" s="118"/>
      <c r="AJ15" s="118"/>
      <c r="AK15" s="118">
        <v>0</v>
      </c>
      <c r="AL15" s="118"/>
      <c r="AM15" s="118"/>
      <c r="AN15" s="118"/>
      <c r="AO15" s="118"/>
      <c r="AP15" s="118"/>
      <c r="AQ15" s="118"/>
      <c r="AR15" s="118">
        <v>20</v>
      </c>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205"/>
      <c r="BT15" s="205"/>
      <c r="BU15" s="205"/>
      <c r="BV15" s="205"/>
      <c r="BW15" s="205"/>
      <c r="BX15" s="205"/>
      <c r="BY15" s="205"/>
      <c r="BZ15" s="205"/>
      <c r="CA15" s="205"/>
      <c r="CB15" s="205"/>
      <c r="CC15" s="205"/>
      <c r="CD15" s="205"/>
      <c r="CE15" s="205"/>
      <c r="CF15" s="205"/>
    </row>
    <row r="16" spans="1:84">
      <c r="A16" s="122">
        <v>90811</v>
      </c>
      <c r="B16" s="122" t="s">
        <v>125</v>
      </c>
      <c r="C16" s="122" t="s">
        <v>126</v>
      </c>
      <c r="D16" s="122" t="s">
        <v>127</v>
      </c>
      <c r="E16" s="122" t="s">
        <v>76</v>
      </c>
      <c r="F16" s="122" t="s">
        <v>1091</v>
      </c>
      <c r="G16" s="163" t="s">
        <v>1092</v>
      </c>
      <c r="H16" s="122">
        <v>21</v>
      </c>
      <c r="I16" s="122" t="s">
        <v>78</v>
      </c>
      <c r="J16" s="118">
        <v>329</v>
      </c>
      <c r="K16" s="118">
        <v>8.27</v>
      </c>
      <c r="L16" s="118">
        <v>15.8</v>
      </c>
      <c r="M16" s="118">
        <v>14.89</v>
      </c>
      <c r="N16" s="118">
        <v>13.03</v>
      </c>
      <c r="O16" s="118">
        <v>39.799999999999997</v>
      </c>
      <c r="P16" s="118">
        <v>0.41</v>
      </c>
      <c r="Q16" s="118">
        <v>0.35</v>
      </c>
      <c r="R16" s="118">
        <v>7.47</v>
      </c>
      <c r="S16" s="118"/>
      <c r="T16" s="118">
        <v>0.47</v>
      </c>
      <c r="U16" s="118"/>
      <c r="V16" s="118">
        <v>0</v>
      </c>
      <c r="W16" s="118">
        <v>0</v>
      </c>
      <c r="X16" s="118">
        <v>0</v>
      </c>
      <c r="Y16" s="118"/>
      <c r="Z16" s="118"/>
      <c r="AA16" s="118">
        <v>0</v>
      </c>
      <c r="AB16" s="118">
        <v>7</v>
      </c>
      <c r="AC16" s="118"/>
      <c r="AD16" s="118"/>
      <c r="AE16" s="118"/>
      <c r="AF16" s="118"/>
      <c r="AG16" s="118"/>
      <c r="AH16" s="118"/>
      <c r="AI16" s="118">
        <v>1200</v>
      </c>
      <c r="AJ16" s="118">
        <v>1.07</v>
      </c>
      <c r="AK16" s="118">
        <v>16.45</v>
      </c>
      <c r="AL16" s="118">
        <v>386.67</v>
      </c>
      <c r="AM16" s="118"/>
      <c r="AN16" s="118">
        <v>494.67</v>
      </c>
      <c r="AO16" s="118">
        <v>1680</v>
      </c>
      <c r="AP16" s="118"/>
      <c r="AQ16" s="118">
        <v>3.7</v>
      </c>
      <c r="AR16" s="118"/>
      <c r="AS16" s="118"/>
      <c r="AT16" s="118"/>
      <c r="AU16" s="118"/>
      <c r="AV16" s="124"/>
      <c r="AW16" s="124"/>
      <c r="AX16" s="124"/>
      <c r="AY16" s="124"/>
      <c r="AZ16" s="124"/>
      <c r="BA16" s="124"/>
      <c r="BB16" s="124"/>
      <c r="BC16" s="124"/>
      <c r="BD16" s="124"/>
      <c r="BE16" s="124"/>
      <c r="BF16" s="124"/>
      <c r="BG16" s="124"/>
      <c r="BH16" s="124"/>
      <c r="BI16" s="124"/>
      <c r="BJ16" s="124"/>
      <c r="BK16" s="124"/>
      <c r="BL16" s="124"/>
      <c r="BM16" s="124"/>
      <c r="BN16" s="118"/>
      <c r="BO16" s="118"/>
      <c r="BP16" s="118"/>
      <c r="BQ16" s="118"/>
      <c r="BR16" s="118"/>
      <c r="BS16" s="205"/>
      <c r="BT16" s="205"/>
      <c r="BU16" s="205"/>
      <c r="BV16" s="205"/>
      <c r="BW16" s="205"/>
      <c r="BX16" s="205"/>
      <c r="BY16" s="205"/>
      <c r="BZ16" s="205"/>
      <c r="CA16" s="205"/>
      <c r="CB16" s="205"/>
      <c r="CC16" s="205"/>
      <c r="CD16" s="205"/>
      <c r="CE16" s="205"/>
      <c r="CF16" s="205"/>
    </row>
    <row r="17" spans="1:70">
      <c r="A17" s="122">
        <v>90806</v>
      </c>
      <c r="B17" s="122" t="s">
        <v>129</v>
      </c>
      <c r="C17" s="122" t="s">
        <v>130</v>
      </c>
      <c r="D17" s="122" t="s">
        <v>88</v>
      </c>
      <c r="E17" s="122" t="s">
        <v>76</v>
      </c>
      <c r="F17" s="122" t="s">
        <v>1093</v>
      </c>
      <c r="G17" s="163" t="s">
        <v>1094</v>
      </c>
      <c r="H17" s="122">
        <v>21</v>
      </c>
      <c r="I17" s="122" t="s">
        <v>78</v>
      </c>
      <c r="J17" s="118">
        <v>402</v>
      </c>
      <c r="K17" s="118">
        <v>9.99</v>
      </c>
      <c r="L17" s="118">
        <v>18.25</v>
      </c>
      <c r="M17" s="118">
        <v>17.62</v>
      </c>
      <c r="N17" s="118">
        <v>37.229999999999997</v>
      </c>
      <c r="O17" s="118">
        <v>10.5</v>
      </c>
      <c r="P17" s="118">
        <v>0.57999999999999996</v>
      </c>
      <c r="Q17" s="118">
        <v>0.35</v>
      </c>
      <c r="R17" s="118">
        <v>3.59</v>
      </c>
      <c r="S17" s="118">
        <v>0.22</v>
      </c>
      <c r="T17" s="118">
        <v>0.44</v>
      </c>
      <c r="U17" s="118">
        <v>10</v>
      </c>
      <c r="V17" s="118">
        <v>0</v>
      </c>
      <c r="W17" s="118">
        <v>7.7</v>
      </c>
      <c r="X17" s="118">
        <v>12.1</v>
      </c>
      <c r="Y17" s="118">
        <v>3.33</v>
      </c>
      <c r="Z17" s="118">
        <v>146</v>
      </c>
      <c r="AA17" s="118">
        <v>0</v>
      </c>
      <c r="AB17" s="118">
        <v>63.5</v>
      </c>
      <c r="AC17" s="118">
        <v>0</v>
      </c>
      <c r="AD17" s="118">
        <v>762</v>
      </c>
      <c r="AE17" s="118">
        <v>170</v>
      </c>
      <c r="AF17" s="118"/>
      <c r="AG17" s="118"/>
      <c r="AH17" s="118">
        <v>42.6</v>
      </c>
      <c r="AI17" s="118">
        <v>1020</v>
      </c>
      <c r="AJ17" s="118">
        <v>0.96</v>
      </c>
      <c r="AK17" s="118">
        <v>44.52</v>
      </c>
      <c r="AL17" s="118">
        <v>403.67</v>
      </c>
      <c r="AM17" s="118">
        <v>4.21</v>
      </c>
      <c r="AN17" s="118">
        <v>506.67</v>
      </c>
      <c r="AO17" s="118">
        <v>1380</v>
      </c>
      <c r="AP17" s="118">
        <v>4.01</v>
      </c>
      <c r="AQ17" s="118">
        <v>3.89</v>
      </c>
      <c r="AR17" s="118">
        <v>0.62</v>
      </c>
      <c r="AS17" s="118">
        <v>8.3800000000000008</v>
      </c>
      <c r="AT17" s="118">
        <v>4.3099999999999996</v>
      </c>
      <c r="AU17" s="118"/>
      <c r="AV17" s="124">
        <v>0.39922000000000002</v>
      </c>
      <c r="AW17" s="124">
        <v>0.61621000000000004</v>
      </c>
      <c r="AX17" s="124">
        <v>0.86659000000000008</v>
      </c>
      <c r="AY17" s="124">
        <v>0.67464000000000002</v>
      </c>
      <c r="AZ17" s="124">
        <v>0.17388000000000001</v>
      </c>
      <c r="BA17" s="124">
        <v>0.14188000000000001</v>
      </c>
      <c r="BB17" s="124">
        <v>0.62039</v>
      </c>
      <c r="BC17" s="124">
        <v>0.54388000000000003</v>
      </c>
      <c r="BD17" s="124">
        <v>0.13215000000000002</v>
      </c>
      <c r="BE17" s="124">
        <v>0.71357999999999999</v>
      </c>
      <c r="BF17" s="124">
        <v>0.72609999999999997</v>
      </c>
      <c r="BG17" s="124">
        <v>0.94865999999999995</v>
      </c>
      <c r="BH17" s="124">
        <v>1.24634</v>
      </c>
      <c r="BI17" s="124">
        <v>2.9085799999999997</v>
      </c>
      <c r="BJ17" s="124">
        <v>1.0043</v>
      </c>
      <c r="BK17" s="124">
        <v>0.60229999999999995</v>
      </c>
      <c r="BL17" s="124">
        <v>0.70523999999999998</v>
      </c>
      <c r="BM17" s="124">
        <v>0.45485999999999999</v>
      </c>
      <c r="BN17" s="118">
        <v>165</v>
      </c>
      <c r="BO17" s="118">
        <v>445</v>
      </c>
      <c r="BP17" s="118"/>
      <c r="BQ17" s="118"/>
      <c r="BR17" s="118"/>
    </row>
    <row r="18" spans="1:70">
      <c r="A18" s="122">
        <v>86003</v>
      </c>
      <c r="B18" s="122" t="s">
        <v>134</v>
      </c>
      <c r="C18" s="122" t="s">
        <v>135</v>
      </c>
      <c r="D18" s="122" t="s">
        <v>136</v>
      </c>
      <c r="E18" s="122" t="s">
        <v>122</v>
      </c>
      <c r="F18" s="122">
        <v>2396268</v>
      </c>
      <c r="G18" s="163" t="s">
        <v>137</v>
      </c>
      <c r="H18" s="122">
        <v>19</v>
      </c>
      <c r="I18" s="122" t="s">
        <v>138</v>
      </c>
      <c r="J18" s="118">
        <v>305</v>
      </c>
      <c r="K18" s="118"/>
      <c r="L18" s="118">
        <v>0</v>
      </c>
      <c r="M18" s="118">
        <v>0</v>
      </c>
      <c r="N18" s="118">
        <v>75</v>
      </c>
      <c r="O18" s="118">
        <v>5</v>
      </c>
      <c r="P18" s="118"/>
      <c r="Q18" s="118"/>
      <c r="R18" s="118"/>
      <c r="S18" s="118"/>
      <c r="T18" s="118"/>
      <c r="U18" s="118"/>
      <c r="V18" s="118"/>
      <c r="W18" s="118"/>
      <c r="X18" s="118"/>
      <c r="Y18" s="118"/>
      <c r="Z18" s="118"/>
      <c r="AA18" s="118"/>
      <c r="AB18" s="118"/>
      <c r="AC18" s="118"/>
      <c r="AD18" s="118"/>
      <c r="AE18" s="118"/>
      <c r="AF18" s="118"/>
      <c r="AG18" s="118"/>
      <c r="AH18" s="118"/>
      <c r="AI18" s="118">
        <v>75</v>
      </c>
      <c r="AJ18" s="118"/>
      <c r="AK18" s="118">
        <v>1</v>
      </c>
      <c r="AL18" s="118"/>
      <c r="AM18" s="118"/>
      <c r="AN18" s="118"/>
      <c r="AO18" s="118">
        <v>835</v>
      </c>
      <c r="AP18" s="118"/>
      <c r="AQ18" s="118"/>
      <c r="AR18" s="118">
        <v>0</v>
      </c>
      <c r="AS18" s="118"/>
      <c r="AT18" s="118"/>
      <c r="AU18" s="118">
        <v>0</v>
      </c>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row>
    <row r="19" spans="1:70">
      <c r="A19" s="122">
        <v>90813</v>
      </c>
      <c r="B19" s="122" t="s">
        <v>139</v>
      </c>
      <c r="C19" s="122" t="s">
        <v>140</v>
      </c>
      <c r="D19" s="122"/>
      <c r="E19" s="122" t="s">
        <v>1095</v>
      </c>
      <c r="F19" s="141" t="s">
        <v>1096</v>
      </c>
      <c r="G19" s="209" t="s">
        <v>1097</v>
      </c>
      <c r="H19" s="122">
        <v>21</v>
      </c>
      <c r="I19" s="122" t="s">
        <v>78</v>
      </c>
      <c r="J19" s="118">
        <v>280</v>
      </c>
      <c r="K19" s="118"/>
      <c r="L19" s="118">
        <v>10</v>
      </c>
      <c r="M19" s="118">
        <v>10</v>
      </c>
      <c r="N19" s="118">
        <v>60</v>
      </c>
      <c r="O19" s="118">
        <v>10</v>
      </c>
      <c r="P19" s="118"/>
      <c r="Q19" s="118"/>
      <c r="R19" s="118"/>
      <c r="S19" s="118"/>
      <c r="T19" s="118"/>
      <c r="U19" s="118"/>
      <c r="V19" s="118"/>
      <c r="W19" s="118">
        <v>0</v>
      </c>
      <c r="X19" s="118"/>
      <c r="Y19" s="118"/>
      <c r="Z19" s="118"/>
      <c r="AA19" s="118">
        <v>0</v>
      </c>
      <c r="AB19" s="118">
        <v>0</v>
      </c>
      <c r="AC19" s="118"/>
      <c r="AD19" s="118"/>
      <c r="AE19" s="118"/>
      <c r="AF19" s="118"/>
      <c r="AG19" s="118"/>
      <c r="AH19" s="118"/>
      <c r="AI19" s="118">
        <v>520</v>
      </c>
      <c r="AJ19" s="118"/>
      <c r="AK19" s="118">
        <v>25.2</v>
      </c>
      <c r="AL19" s="118"/>
      <c r="AM19" s="118"/>
      <c r="AN19" s="118"/>
      <c r="AO19" s="118"/>
      <c r="AP19" s="118"/>
      <c r="AQ19" s="118"/>
      <c r="AR19" s="118">
        <v>0</v>
      </c>
      <c r="AS19" s="118"/>
      <c r="AT19" s="118"/>
      <c r="AU19" s="118"/>
      <c r="AV19" s="118" t="s">
        <v>1098</v>
      </c>
      <c r="AW19" s="118" t="s">
        <v>1098</v>
      </c>
      <c r="AX19" s="118" t="s">
        <v>1098</v>
      </c>
      <c r="AY19" s="118" t="s">
        <v>1098</v>
      </c>
      <c r="AZ19" s="118" t="s">
        <v>1098</v>
      </c>
      <c r="BA19" s="118" t="s">
        <v>1098</v>
      </c>
      <c r="BB19" s="118" t="s">
        <v>1098</v>
      </c>
      <c r="BC19" s="118" t="s">
        <v>1098</v>
      </c>
      <c r="BD19" s="118" t="s">
        <v>1098</v>
      </c>
      <c r="BE19" s="118" t="s">
        <v>1098</v>
      </c>
      <c r="BF19" s="118" t="s">
        <v>1098</v>
      </c>
      <c r="BG19" s="118" t="s">
        <v>1098</v>
      </c>
      <c r="BH19" s="118" t="s">
        <v>1098</v>
      </c>
      <c r="BI19" s="118" t="s">
        <v>1098</v>
      </c>
      <c r="BJ19" s="118" t="s">
        <v>1098</v>
      </c>
      <c r="BK19" s="118" t="s">
        <v>1098</v>
      </c>
      <c r="BL19" s="118" t="s">
        <v>1098</v>
      </c>
      <c r="BM19" s="118" t="s">
        <v>1098</v>
      </c>
      <c r="BN19" s="118"/>
      <c r="BO19" s="118"/>
      <c r="BP19" s="118"/>
      <c r="BQ19" s="118"/>
      <c r="BR19" s="118"/>
    </row>
    <row r="20" spans="1:70">
      <c r="A20" s="122">
        <v>13004</v>
      </c>
      <c r="B20" s="122" t="s">
        <v>141</v>
      </c>
      <c r="C20" s="122" t="s">
        <v>142</v>
      </c>
      <c r="D20" s="122" t="s">
        <v>143</v>
      </c>
      <c r="E20" s="122" t="s">
        <v>76</v>
      </c>
      <c r="F20" s="122" t="s">
        <v>1823</v>
      </c>
      <c r="G20" s="163" t="s">
        <v>1101</v>
      </c>
      <c r="H20" s="122">
        <v>3</v>
      </c>
      <c r="I20" s="123" t="s">
        <v>72</v>
      </c>
      <c r="J20" s="118">
        <v>317</v>
      </c>
      <c r="K20" s="118">
        <v>11.3</v>
      </c>
      <c r="L20" s="118">
        <v>22.31</v>
      </c>
      <c r="M20" s="118">
        <v>1.68</v>
      </c>
      <c r="N20" s="118">
        <v>45.09</v>
      </c>
      <c r="O20" s="118">
        <v>16.3</v>
      </c>
      <c r="P20" s="118">
        <v>0.42</v>
      </c>
      <c r="Q20" s="118">
        <v>0.26</v>
      </c>
      <c r="R20" s="118">
        <v>2.1</v>
      </c>
      <c r="S20" s="118">
        <v>3.98</v>
      </c>
      <c r="T20" s="118">
        <v>0.28000000000000003</v>
      </c>
      <c r="U20" s="118">
        <v>140</v>
      </c>
      <c r="V20" s="118">
        <v>0</v>
      </c>
      <c r="W20" s="118"/>
      <c r="X20" s="118">
        <v>16.84</v>
      </c>
      <c r="Y20" s="118">
        <v>1.9</v>
      </c>
      <c r="Z20" s="118">
        <v>5.6</v>
      </c>
      <c r="AA20" s="118">
        <v>0</v>
      </c>
      <c r="AB20" s="118">
        <v>2</v>
      </c>
      <c r="AC20" s="118">
        <v>0</v>
      </c>
      <c r="AD20" s="118">
        <v>24</v>
      </c>
      <c r="AE20" s="118"/>
      <c r="AF20" s="118"/>
      <c r="AG20" s="118"/>
      <c r="AH20" s="118"/>
      <c r="AI20" s="118">
        <v>184.35</v>
      </c>
      <c r="AJ20" s="118">
        <v>1.07</v>
      </c>
      <c r="AK20" s="118">
        <v>5.91</v>
      </c>
      <c r="AL20" s="118">
        <v>189</v>
      </c>
      <c r="AM20" s="118">
        <v>1.06</v>
      </c>
      <c r="AN20" s="118">
        <v>337</v>
      </c>
      <c r="AO20" s="118">
        <v>1121.1500000000001</v>
      </c>
      <c r="AP20" s="118">
        <v>3.2</v>
      </c>
      <c r="AQ20" s="118">
        <v>2.31</v>
      </c>
      <c r="AR20" s="118">
        <v>0.26</v>
      </c>
      <c r="AS20" s="118">
        <v>0.16</v>
      </c>
      <c r="AT20" s="118">
        <v>0.72</v>
      </c>
      <c r="AU20" s="118"/>
      <c r="AV20" s="124">
        <v>0.62614999999999998</v>
      </c>
      <c r="AW20" s="124">
        <v>0.75136999999999998</v>
      </c>
      <c r="AX20" s="124">
        <v>1.66533</v>
      </c>
      <c r="AY20" s="124">
        <v>1.3951</v>
      </c>
      <c r="AZ20" s="124">
        <v>0.25705</v>
      </c>
      <c r="BA20" s="124">
        <v>0.12743000000000002</v>
      </c>
      <c r="BB20" s="124">
        <v>1.29623</v>
      </c>
      <c r="BC20" s="124">
        <v>0.63053999999999999</v>
      </c>
      <c r="BD20" s="124">
        <v>0.21531</v>
      </c>
      <c r="BE20" s="124">
        <v>0.90297000000000005</v>
      </c>
      <c r="BF20" s="124">
        <v>1.0194099999999999</v>
      </c>
      <c r="BG20" s="124">
        <v>1.33138</v>
      </c>
      <c r="BH20" s="124">
        <v>2.88246</v>
      </c>
      <c r="BI20" s="124">
        <v>4.1743000000000006</v>
      </c>
      <c r="BJ20" s="124">
        <v>0.83486000000000005</v>
      </c>
      <c r="BK20" s="124">
        <v>0.88539000000000001</v>
      </c>
      <c r="BL20" s="124">
        <v>1.16221</v>
      </c>
      <c r="BM20" s="124">
        <v>0.67227999999999999</v>
      </c>
      <c r="BN20" s="118"/>
      <c r="BO20" s="118">
        <v>675</v>
      </c>
      <c r="BP20" s="118"/>
      <c r="BQ20" s="118"/>
      <c r="BR20" s="118"/>
    </row>
    <row r="21" spans="1:70">
      <c r="A21" s="122">
        <v>11201</v>
      </c>
      <c r="B21" s="122" t="s">
        <v>146</v>
      </c>
      <c r="C21" s="122" t="s">
        <v>147</v>
      </c>
      <c r="D21" s="122" t="s">
        <v>148</v>
      </c>
      <c r="E21" s="122" t="s">
        <v>76</v>
      </c>
      <c r="F21" s="122" t="s">
        <v>1824</v>
      </c>
      <c r="G21" s="163" t="s">
        <v>1103</v>
      </c>
      <c r="H21" s="122">
        <v>1</v>
      </c>
      <c r="I21" s="122" t="s">
        <v>150</v>
      </c>
      <c r="J21" s="118">
        <v>109</v>
      </c>
      <c r="K21" s="118">
        <v>71.17</v>
      </c>
      <c r="L21" s="118">
        <v>2.14</v>
      </c>
      <c r="M21" s="118">
        <v>0.14000000000000001</v>
      </c>
      <c r="N21" s="118">
        <v>24.3</v>
      </c>
      <c r="O21" s="118">
        <v>1.1000000000000001</v>
      </c>
      <c r="P21" s="118">
        <v>0.03</v>
      </c>
      <c r="Q21" s="118">
        <v>0.01</v>
      </c>
      <c r="R21" s="118">
        <v>0.9</v>
      </c>
      <c r="S21" s="118"/>
      <c r="T21" s="118">
        <v>0.03</v>
      </c>
      <c r="U21" s="118">
        <v>2.5299999999999998</v>
      </c>
      <c r="V21" s="118"/>
      <c r="W21" s="118">
        <v>0</v>
      </c>
      <c r="X21" s="118">
        <v>0</v>
      </c>
      <c r="Y21" s="118">
        <v>0.04</v>
      </c>
      <c r="Z21" s="118">
        <v>1.5</v>
      </c>
      <c r="AA21" s="118">
        <v>0</v>
      </c>
      <c r="AB21" s="118">
        <v>0</v>
      </c>
      <c r="AC21" s="118">
        <v>0</v>
      </c>
      <c r="AD21" s="118">
        <v>0</v>
      </c>
      <c r="AE21" s="118"/>
      <c r="AF21" s="118"/>
      <c r="AG21" s="118"/>
      <c r="AH21" s="118"/>
      <c r="AI21" s="118">
        <v>6.09</v>
      </c>
      <c r="AJ21" s="118">
        <v>7.0000000000000007E-2</v>
      </c>
      <c r="AK21" s="118">
        <v>0.32</v>
      </c>
      <c r="AL21" s="118">
        <v>15.65</v>
      </c>
      <c r="AM21" s="118">
        <v>0.79</v>
      </c>
      <c r="AN21" s="118">
        <v>39.4</v>
      </c>
      <c r="AO21" s="118">
        <v>38.6</v>
      </c>
      <c r="AP21" s="118">
        <v>1.19</v>
      </c>
      <c r="AQ21" s="118">
        <v>0.41</v>
      </c>
      <c r="AR21" s="118"/>
      <c r="AS21" s="118"/>
      <c r="AT21" s="118"/>
      <c r="AU21" s="118"/>
      <c r="AV21" s="124"/>
      <c r="AW21" s="124"/>
      <c r="AX21" s="124"/>
      <c r="AY21" s="124"/>
      <c r="AZ21" s="124"/>
      <c r="BA21" s="124"/>
      <c r="BB21" s="124"/>
      <c r="BC21" s="124"/>
      <c r="BD21" s="124"/>
      <c r="BE21" s="124"/>
      <c r="BF21" s="124"/>
      <c r="BG21" s="124"/>
      <c r="BH21" s="124"/>
      <c r="BI21" s="124"/>
      <c r="BJ21" s="124"/>
      <c r="BK21" s="124"/>
      <c r="BL21" s="124"/>
      <c r="BM21" s="124"/>
      <c r="BN21" s="118">
        <v>6.93</v>
      </c>
      <c r="BO21" s="118"/>
      <c r="BP21" s="118"/>
      <c r="BQ21" s="118"/>
      <c r="BR21" s="118"/>
    </row>
    <row r="22" spans="1:70">
      <c r="A22" s="122">
        <v>11303</v>
      </c>
      <c r="B22" s="122" t="s">
        <v>151</v>
      </c>
      <c r="C22" s="122" t="s">
        <v>152</v>
      </c>
      <c r="D22" s="122" t="s">
        <v>148</v>
      </c>
      <c r="E22" s="122" t="s">
        <v>76</v>
      </c>
      <c r="F22" s="122" t="s">
        <v>1104</v>
      </c>
      <c r="G22" s="163" t="s">
        <v>1105</v>
      </c>
      <c r="H22" s="122">
        <v>1</v>
      </c>
      <c r="I22" s="122" t="s">
        <v>150</v>
      </c>
      <c r="J22" s="118">
        <v>361</v>
      </c>
      <c r="K22" s="118">
        <v>7.3</v>
      </c>
      <c r="L22" s="118">
        <v>6.71</v>
      </c>
      <c r="M22" s="118">
        <v>0.1</v>
      </c>
      <c r="N22" s="118">
        <v>82.74</v>
      </c>
      <c r="O22" s="118">
        <v>1.35</v>
      </c>
      <c r="P22" s="118">
        <v>0.21</v>
      </c>
      <c r="Q22" s="118">
        <v>0.12</v>
      </c>
      <c r="R22" s="118">
        <v>3.52</v>
      </c>
      <c r="S22" s="118">
        <v>0.38</v>
      </c>
      <c r="T22" s="118"/>
      <c r="U22" s="118">
        <v>11.63</v>
      </c>
      <c r="V22" s="118"/>
      <c r="W22" s="118">
        <v>0</v>
      </c>
      <c r="X22" s="118">
        <v>0</v>
      </c>
      <c r="Y22" s="118">
        <v>0.1</v>
      </c>
      <c r="Z22" s="118">
        <v>1</v>
      </c>
      <c r="AA22" s="118">
        <v>0</v>
      </c>
      <c r="AB22" s="118">
        <v>0</v>
      </c>
      <c r="AC22" s="118">
        <v>0</v>
      </c>
      <c r="AD22" s="118">
        <v>0</v>
      </c>
      <c r="AE22" s="118">
        <v>1.51</v>
      </c>
      <c r="AF22" s="118"/>
      <c r="AG22" s="118"/>
      <c r="AH22" s="118"/>
      <c r="AI22" s="118">
        <v>9.19</v>
      </c>
      <c r="AJ22" s="118">
        <v>0.2</v>
      </c>
      <c r="AK22" s="118">
        <v>0.69</v>
      </c>
      <c r="AL22" s="118">
        <v>45.48</v>
      </c>
      <c r="AM22" s="118">
        <v>0.9</v>
      </c>
      <c r="AN22" s="118">
        <v>133.26</v>
      </c>
      <c r="AO22" s="118">
        <v>153.99</v>
      </c>
      <c r="AP22" s="118"/>
      <c r="AQ22" s="118">
        <v>0.84</v>
      </c>
      <c r="AR22" s="118">
        <v>0.05</v>
      </c>
      <c r="AS22" s="118">
        <v>0.04</v>
      </c>
      <c r="AT22" s="118">
        <v>0.45</v>
      </c>
      <c r="AU22" s="118"/>
      <c r="AV22" s="124">
        <v>0.15762000000000001</v>
      </c>
      <c r="AW22" s="124">
        <v>0.27489999999999998</v>
      </c>
      <c r="AX22" s="124">
        <v>0.57892999999999994</v>
      </c>
      <c r="AY22" s="124">
        <v>0.23455999999999999</v>
      </c>
      <c r="AZ22" s="124">
        <v>0.14940000000000001</v>
      </c>
      <c r="BA22" s="124">
        <v>0.10009999999999999</v>
      </c>
      <c r="BB22" s="124">
        <v>0.39815</v>
      </c>
      <c r="BC22" s="124">
        <v>0.22634000000000001</v>
      </c>
      <c r="BD22" s="124">
        <v>7.9930000000000001E-2</v>
      </c>
      <c r="BE22" s="124">
        <v>0.40114</v>
      </c>
      <c r="BF22" s="124">
        <v>0.46238999999999997</v>
      </c>
      <c r="BG22" s="124">
        <v>0.52588999999999997</v>
      </c>
      <c r="BH22" s="124">
        <v>0.65661000000000003</v>
      </c>
      <c r="BI22" s="124">
        <v>1.34161</v>
      </c>
      <c r="BJ22" s="124">
        <v>0.30104000000000003</v>
      </c>
      <c r="BK22" s="124">
        <v>0.30179</v>
      </c>
      <c r="BL22" s="124">
        <v>0.34511000000000003</v>
      </c>
      <c r="BM22" s="124">
        <v>0.30851000000000001</v>
      </c>
      <c r="BN22" s="118">
        <v>2.76</v>
      </c>
      <c r="BO22" s="118">
        <v>656</v>
      </c>
      <c r="BP22" s="118"/>
      <c r="BQ22" s="118"/>
      <c r="BR22" s="118"/>
    </row>
    <row r="23" spans="1:70">
      <c r="A23" s="122">
        <v>11001</v>
      </c>
      <c r="B23" s="122" t="s">
        <v>154</v>
      </c>
      <c r="C23" s="122" t="s">
        <v>155</v>
      </c>
      <c r="D23" s="122" t="s">
        <v>148</v>
      </c>
      <c r="E23" s="122" t="s">
        <v>156</v>
      </c>
      <c r="F23" s="122">
        <v>33</v>
      </c>
      <c r="G23" s="163" t="s">
        <v>157</v>
      </c>
      <c r="H23" s="122">
        <v>1</v>
      </c>
      <c r="I23" s="122" t="s">
        <v>150</v>
      </c>
      <c r="J23" s="118">
        <v>360</v>
      </c>
      <c r="K23" s="118">
        <v>10.89</v>
      </c>
      <c r="L23" s="118">
        <v>7.68</v>
      </c>
      <c r="M23" s="118">
        <v>1.94</v>
      </c>
      <c r="N23" s="118">
        <v>77.900000000000006</v>
      </c>
      <c r="O23" s="118">
        <v>0.56000000000000005</v>
      </c>
      <c r="P23" s="118"/>
      <c r="Q23" s="118"/>
      <c r="R23" s="118"/>
      <c r="S23" s="118"/>
      <c r="T23" s="118"/>
      <c r="U23" s="118"/>
      <c r="V23" s="118"/>
      <c r="W23" s="118"/>
      <c r="X23" s="118"/>
      <c r="Y23" s="118"/>
      <c r="Z23" s="118"/>
      <c r="AA23" s="118"/>
      <c r="AB23" s="118"/>
      <c r="AC23" s="118"/>
      <c r="AD23" s="118"/>
      <c r="AE23" s="118"/>
      <c r="AF23" s="118"/>
      <c r="AG23" s="118"/>
      <c r="AH23" s="118"/>
      <c r="AI23" s="118">
        <v>19.11</v>
      </c>
      <c r="AJ23" s="118"/>
      <c r="AK23" s="118"/>
      <c r="AL23" s="118"/>
      <c r="AM23" s="118"/>
      <c r="AN23" s="118">
        <v>109.3</v>
      </c>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row>
    <row r="24" spans="1:70">
      <c r="A24" s="122">
        <v>11011</v>
      </c>
      <c r="B24" s="122" t="s">
        <v>158</v>
      </c>
      <c r="C24" s="122" t="s">
        <v>159</v>
      </c>
      <c r="D24" s="122" t="s">
        <v>148</v>
      </c>
      <c r="E24" s="122" t="s">
        <v>76</v>
      </c>
      <c r="F24" s="122" t="s">
        <v>1106</v>
      </c>
      <c r="G24" s="163" t="s">
        <v>1107</v>
      </c>
      <c r="H24" s="122">
        <v>1</v>
      </c>
      <c r="I24" s="122" t="s">
        <v>150</v>
      </c>
      <c r="J24" s="118">
        <v>360</v>
      </c>
      <c r="K24" s="118">
        <v>10.9</v>
      </c>
      <c r="L24" s="118">
        <v>7.6</v>
      </c>
      <c r="M24" s="118">
        <v>1.3</v>
      </c>
      <c r="N24" s="118">
        <v>79.099999999999994</v>
      </c>
      <c r="O24" s="118">
        <v>0.6</v>
      </c>
      <c r="P24" s="118">
        <v>0.04</v>
      </c>
      <c r="Q24" s="118">
        <v>0.08</v>
      </c>
      <c r="R24" s="118">
        <v>2.5</v>
      </c>
      <c r="S24" s="118">
        <v>0.5</v>
      </c>
      <c r="T24" s="118"/>
      <c r="U24" s="118"/>
      <c r="V24" s="118">
        <v>0</v>
      </c>
      <c r="W24" s="118">
        <v>0</v>
      </c>
      <c r="X24" s="118"/>
      <c r="Y24" s="118"/>
      <c r="Z24" s="118">
        <v>0</v>
      </c>
      <c r="AA24" s="118">
        <v>22</v>
      </c>
      <c r="AB24" s="118">
        <v>22</v>
      </c>
      <c r="AC24" s="118"/>
      <c r="AD24" s="118">
        <v>0</v>
      </c>
      <c r="AE24" s="118"/>
      <c r="AF24" s="118"/>
      <c r="AG24" s="118"/>
      <c r="AH24" s="118"/>
      <c r="AI24" s="118">
        <v>17</v>
      </c>
      <c r="AJ24" s="118">
        <v>0</v>
      </c>
      <c r="AK24" s="118">
        <v>1.1000000000000001</v>
      </c>
      <c r="AL24" s="118">
        <v>0</v>
      </c>
      <c r="AM24" s="118">
        <v>1.2</v>
      </c>
      <c r="AN24" s="118">
        <v>60</v>
      </c>
      <c r="AO24" s="118">
        <v>32</v>
      </c>
      <c r="AP24" s="118">
        <v>15.1</v>
      </c>
      <c r="AQ24" s="118">
        <v>0</v>
      </c>
      <c r="AR24" s="118"/>
      <c r="AS24" s="118"/>
      <c r="AT24" s="118"/>
      <c r="AU24" s="118"/>
      <c r="AV24" s="124"/>
      <c r="AW24" s="124"/>
      <c r="AX24" s="124"/>
      <c r="AY24" s="124"/>
      <c r="AZ24" s="124"/>
      <c r="BA24" s="124"/>
      <c r="BB24" s="124"/>
      <c r="BC24" s="124"/>
      <c r="BD24" s="124"/>
      <c r="BE24" s="124"/>
      <c r="BF24" s="124"/>
      <c r="BG24" s="124"/>
      <c r="BH24" s="124"/>
      <c r="BI24" s="124"/>
      <c r="BJ24" s="124"/>
      <c r="BK24" s="124"/>
      <c r="BL24" s="124"/>
      <c r="BM24" s="124"/>
      <c r="BN24" s="118"/>
      <c r="BO24" s="118"/>
      <c r="BP24" s="118"/>
      <c r="BQ24" s="118"/>
      <c r="BR24" s="118"/>
    </row>
    <row r="25" spans="1:70">
      <c r="A25" s="122">
        <v>12011</v>
      </c>
      <c r="B25" s="122" t="s">
        <v>161</v>
      </c>
      <c r="C25" s="122" t="s">
        <v>162</v>
      </c>
      <c r="D25" s="122" t="s">
        <v>163</v>
      </c>
      <c r="E25" s="122" t="s">
        <v>76</v>
      </c>
      <c r="F25" s="122" t="s">
        <v>1825</v>
      </c>
      <c r="G25" s="163" t="s">
        <v>1110</v>
      </c>
      <c r="H25" s="122">
        <v>1</v>
      </c>
      <c r="I25" s="122" t="s">
        <v>150</v>
      </c>
      <c r="J25" s="118">
        <v>347</v>
      </c>
      <c r="K25" s="118">
        <v>12.21</v>
      </c>
      <c r="L25" s="118">
        <v>10.61</v>
      </c>
      <c r="M25" s="118">
        <v>1.64</v>
      </c>
      <c r="N25" s="118">
        <v>70.34</v>
      </c>
      <c r="O25" s="118">
        <v>4.42</v>
      </c>
      <c r="P25" s="118">
        <v>0.13</v>
      </c>
      <c r="Q25" s="118">
        <v>0.05</v>
      </c>
      <c r="R25" s="118">
        <v>1.9</v>
      </c>
      <c r="S25" s="118">
        <v>0.72</v>
      </c>
      <c r="T25" s="118">
        <v>0.1</v>
      </c>
      <c r="U25" s="118">
        <v>20</v>
      </c>
      <c r="V25" s="118"/>
      <c r="W25" s="118">
        <v>0</v>
      </c>
      <c r="X25" s="118">
        <v>6.62</v>
      </c>
      <c r="Y25" s="118">
        <v>0.43</v>
      </c>
      <c r="Z25" s="118">
        <v>0.3</v>
      </c>
      <c r="AA25" s="118">
        <v>0</v>
      </c>
      <c r="AB25" s="118">
        <v>0</v>
      </c>
      <c r="AC25" s="118"/>
      <c r="AD25" s="118">
        <v>2.67</v>
      </c>
      <c r="AE25" s="118"/>
      <c r="AF25" s="118"/>
      <c r="AG25" s="118"/>
      <c r="AH25" s="118"/>
      <c r="AI25" s="118">
        <v>12.79</v>
      </c>
      <c r="AJ25" s="118">
        <v>0.19</v>
      </c>
      <c r="AK25" s="118">
        <v>3.8</v>
      </c>
      <c r="AL25" s="118">
        <v>57.89</v>
      </c>
      <c r="AM25" s="118">
        <v>0.68200000000000005</v>
      </c>
      <c r="AN25" s="118">
        <v>140</v>
      </c>
      <c r="AO25" s="118">
        <v>210.27</v>
      </c>
      <c r="AP25" s="118">
        <v>33.9</v>
      </c>
      <c r="AQ25" s="118">
        <v>1.55</v>
      </c>
      <c r="AR25" s="118">
        <v>0.22</v>
      </c>
      <c r="AS25" s="118">
        <v>0.15</v>
      </c>
      <c r="AT25" s="118">
        <v>0.73</v>
      </c>
      <c r="AU25" s="118">
        <v>0</v>
      </c>
      <c r="AV25" s="124">
        <v>0.22900000000000001</v>
      </c>
      <c r="AW25" s="124">
        <v>0.307</v>
      </c>
      <c r="AX25" s="124">
        <v>0.69099999999999995</v>
      </c>
      <c r="AY25" s="124">
        <v>0.27600000000000002</v>
      </c>
      <c r="AZ25" s="124">
        <v>0.22</v>
      </c>
      <c r="BA25" s="124">
        <v>0.218</v>
      </c>
      <c r="BB25" s="124">
        <v>0.47499999999999998</v>
      </c>
      <c r="BC25" s="124">
        <v>0.3</v>
      </c>
      <c r="BD25" s="124">
        <v>0.124</v>
      </c>
      <c r="BE25" s="124">
        <v>0.45</v>
      </c>
      <c r="BF25" s="124">
        <v>0.55600000000000005</v>
      </c>
      <c r="BG25" s="124">
        <v>0.44</v>
      </c>
      <c r="BH25" s="124">
        <v>0.505</v>
      </c>
      <c r="BI25" s="124">
        <v>3.5369999999999999</v>
      </c>
      <c r="BJ25" s="124">
        <v>0.41199999999999998</v>
      </c>
      <c r="BK25" s="124">
        <v>1.0649999999999999</v>
      </c>
      <c r="BL25" s="124">
        <v>0.505</v>
      </c>
      <c r="BM25" s="124">
        <v>0.27</v>
      </c>
      <c r="BN25" s="118"/>
      <c r="BO25" s="118">
        <v>228</v>
      </c>
      <c r="BP25" s="118"/>
      <c r="BQ25" s="118"/>
      <c r="BR25" s="118"/>
    </row>
    <row r="26" spans="1:70">
      <c r="A26" s="122">
        <v>12012</v>
      </c>
      <c r="B26" s="122" t="s">
        <v>165</v>
      </c>
      <c r="C26" s="122" t="s">
        <v>166</v>
      </c>
      <c r="D26" s="122" t="s">
        <v>163</v>
      </c>
      <c r="E26" s="122" t="s">
        <v>76</v>
      </c>
      <c r="F26" s="122" t="s">
        <v>1111</v>
      </c>
      <c r="G26" s="163" t="s">
        <v>1112</v>
      </c>
      <c r="H26" s="122">
        <v>1</v>
      </c>
      <c r="I26" s="122" t="s">
        <v>150</v>
      </c>
      <c r="J26" s="118">
        <v>334</v>
      </c>
      <c r="K26" s="118">
        <v>12.28</v>
      </c>
      <c r="L26" s="118">
        <v>11.29</v>
      </c>
      <c r="M26" s="118">
        <v>2.09</v>
      </c>
      <c r="N26" s="118">
        <v>62.18</v>
      </c>
      <c r="O26" s="118">
        <v>10.7</v>
      </c>
      <c r="P26" s="118">
        <v>0.49</v>
      </c>
      <c r="Q26" s="118">
        <v>0.17</v>
      </c>
      <c r="R26" s="118">
        <v>3.8</v>
      </c>
      <c r="S26" s="118">
        <v>0.87</v>
      </c>
      <c r="T26" s="118">
        <v>0.41</v>
      </c>
      <c r="U26" s="118">
        <v>29</v>
      </c>
      <c r="V26" s="118"/>
      <c r="W26" s="118">
        <v>0</v>
      </c>
      <c r="X26" s="118">
        <v>17.38</v>
      </c>
      <c r="Y26" s="118">
        <v>0.72</v>
      </c>
      <c r="Z26" s="118">
        <v>1.75</v>
      </c>
      <c r="AA26" s="118">
        <v>0</v>
      </c>
      <c r="AB26" s="118">
        <v>0.42</v>
      </c>
      <c r="AC26" s="118">
        <v>0</v>
      </c>
      <c r="AD26" s="118">
        <v>5</v>
      </c>
      <c r="AE26" s="118">
        <v>42.12</v>
      </c>
      <c r="AF26" s="118"/>
      <c r="AG26" s="118"/>
      <c r="AH26" s="118">
        <v>1.31</v>
      </c>
      <c r="AI26" s="118">
        <v>52.21</v>
      </c>
      <c r="AJ26" s="118">
        <v>0.53</v>
      </c>
      <c r="AK26" s="118">
        <v>4.9000000000000004</v>
      </c>
      <c r="AL26" s="118">
        <v>150.97</v>
      </c>
      <c r="AM26" s="118">
        <v>3.19</v>
      </c>
      <c r="AN26" s="118">
        <v>306</v>
      </c>
      <c r="AO26" s="118">
        <v>284</v>
      </c>
      <c r="AP26" s="118">
        <v>47.76</v>
      </c>
      <c r="AQ26" s="118">
        <v>3.02</v>
      </c>
      <c r="AR26" s="118">
        <v>0.21</v>
      </c>
      <c r="AS26" s="118">
        <v>0.15</v>
      </c>
      <c r="AT26" s="118">
        <v>0.74</v>
      </c>
      <c r="AU26" s="118"/>
      <c r="AV26" s="118">
        <v>0.27</v>
      </c>
      <c r="AW26" s="118">
        <v>0.4</v>
      </c>
      <c r="AX26" s="118">
        <v>0.65</v>
      </c>
      <c r="AY26" s="118">
        <v>0.26</v>
      </c>
      <c r="AZ26" s="118">
        <v>0.19</v>
      </c>
      <c r="BA26" s="118">
        <v>0.24</v>
      </c>
      <c r="BB26" s="118">
        <v>0.53</v>
      </c>
      <c r="BC26" s="118">
        <v>0.27</v>
      </c>
      <c r="BD26" s="118">
        <v>0.1</v>
      </c>
      <c r="BE26" s="118">
        <v>0.54</v>
      </c>
      <c r="BF26" s="118">
        <v>0.41</v>
      </c>
      <c r="BG26" s="118">
        <v>0.5</v>
      </c>
      <c r="BH26" s="118">
        <v>0.53</v>
      </c>
      <c r="BI26" s="118">
        <v>3.13</v>
      </c>
      <c r="BJ26" s="118">
        <v>0.4</v>
      </c>
      <c r="BK26" s="118">
        <v>1.0900000000000001</v>
      </c>
      <c r="BL26" s="118">
        <v>0.5</v>
      </c>
      <c r="BM26" s="118">
        <v>0</v>
      </c>
      <c r="BN26" s="118">
        <v>14.33</v>
      </c>
      <c r="BO26" s="118">
        <v>632</v>
      </c>
      <c r="BP26" s="118">
        <v>8</v>
      </c>
      <c r="BQ26" s="118"/>
      <c r="BR26" s="118"/>
    </row>
    <row r="27" spans="1:70">
      <c r="A27" s="122">
        <v>15011</v>
      </c>
      <c r="B27" s="122" t="s">
        <v>168</v>
      </c>
      <c r="C27" s="122" t="s">
        <v>169</v>
      </c>
      <c r="D27" s="122" t="s">
        <v>170</v>
      </c>
      <c r="E27" s="122" t="s">
        <v>76</v>
      </c>
      <c r="F27" s="122" t="s">
        <v>1113</v>
      </c>
      <c r="G27" s="163" t="s">
        <v>1114</v>
      </c>
      <c r="H27" s="122">
        <v>1</v>
      </c>
      <c r="I27" s="122" t="s">
        <v>150</v>
      </c>
      <c r="J27" s="118">
        <v>355</v>
      </c>
      <c r="K27" s="118">
        <v>10.91</v>
      </c>
      <c r="L27" s="118">
        <v>6.93</v>
      </c>
      <c r="M27" s="118">
        <v>3.86</v>
      </c>
      <c r="N27" s="118">
        <v>69.55</v>
      </c>
      <c r="O27" s="118">
        <v>7.3</v>
      </c>
      <c r="P27" s="118">
        <v>0.25</v>
      </c>
      <c r="Q27" s="118">
        <v>0.08</v>
      </c>
      <c r="R27" s="118">
        <v>1.9</v>
      </c>
      <c r="S27" s="118"/>
      <c r="T27" s="118">
        <v>0.37</v>
      </c>
      <c r="U27" s="118">
        <v>25</v>
      </c>
      <c r="V27" s="118">
        <v>0</v>
      </c>
      <c r="W27" s="118">
        <v>0</v>
      </c>
      <c r="X27" s="118">
        <v>0</v>
      </c>
      <c r="Y27" s="118">
        <v>0.42</v>
      </c>
      <c r="Z27" s="118">
        <v>0</v>
      </c>
      <c r="AA27" s="118">
        <v>0</v>
      </c>
      <c r="AB27" s="118">
        <v>27.99</v>
      </c>
      <c r="AC27" s="118">
        <v>0</v>
      </c>
      <c r="AD27" s="118">
        <v>335.91</v>
      </c>
      <c r="AE27" s="118"/>
      <c r="AF27" s="118"/>
      <c r="AG27" s="118"/>
      <c r="AH27" s="118"/>
      <c r="AI27" s="118">
        <v>7</v>
      </c>
      <c r="AJ27" s="118">
        <v>0.23</v>
      </c>
      <c r="AK27" s="118">
        <v>2.38</v>
      </c>
      <c r="AL27" s="118">
        <v>93</v>
      </c>
      <c r="AM27" s="118">
        <v>0.376</v>
      </c>
      <c r="AN27" s="118">
        <v>272</v>
      </c>
      <c r="AO27" s="118">
        <v>315</v>
      </c>
      <c r="AP27" s="118">
        <v>10.5</v>
      </c>
      <c r="AQ27" s="118">
        <v>1.73</v>
      </c>
      <c r="AR27" s="118">
        <v>0.54</v>
      </c>
      <c r="AS27" s="118">
        <v>1.02</v>
      </c>
      <c r="AT27" s="118">
        <v>1.76</v>
      </c>
      <c r="AU27" s="118">
        <v>0</v>
      </c>
      <c r="AV27" s="124">
        <v>0.19400000000000001</v>
      </c>
      <c r="AW27" s="124">
        <v>0.255</v>
      </c>
      <c r="AX27" s="124">
        <v>0.876</v>
      </c>
      <c r="AY27" s="124">
        <v>0.19400000000000001</v>
      </c>
      <c r="AZ27" s="124">
        <v>0.13200000000000001</v>
      </c>
      <c r="BA27" s="124">
        <v>0.112</v>
      </c>
      <c r="BB27" s="124">
        <v>0.35699999999999998</v>
      </c>
      <c r="BC27" s="124">
        <v>0.255</v>
      </c>
      <c r="BD27" s="124">
        <v>4.4999999999999998E-2</v>
      </c>
      <c r="BE27" s="124">
        <v>0.33600000000000002</v>
      </c>
      <c r="BF27" s="124">
        <v>0.52</v>
      </c>
      <c r="BG27" s="124">
        <v>0.28499999999999998</v>
      </c>
      <c r="BH27" s="124">
        <v>0.44800000000000001</v>
      </c>
      <c r="BI27" s="124">
        <v>1.427</v>
      </c>
      <c r="BJ27" s="124">
        <v>0.255</v>
      </c>
      <c r="BK27" s="124">
        <v>0.622</v>
      </c>
      <c r="BL27" s="124">
        <v>0.35699999999999998</v>
      </c>
      <c r="BM27" s="124">
        <v>0.26500000000000001</v>
      </c>
      <c r="BN27" s="118"/>
      <c r="BO27" s="118"/>
      <c r="BP27" s="118"/>
      <c r="BQ27" s="118"/>
      <c r="BR27" s="118"/>
    </row>
    <row r="28" spans="1:70">
      <c r="A28" s="122">
        <v>13002</v>
      </c>
      <c r="B28" s="122" t="s">
        <v>172</v>
      </c>
      <c r="C28" s="122" t="s">
        <v>173</v>
      </c>
      <c r="D28" s="122" t="s">
        <v>70</v>
      </c>
      <c r="E28" s="122" t="s">
        <v>76</v>
      </c>
      <c r="F28" s="122" t="s">
        <v>1826</v>
      </c>
      <c r="G28" s="163" t="s">
        <v>1117</v>
      </c>
      <c r="H28" s="122">
        <v>3</v>
      </c>
      <c r="I28" s="123" t="s">
        <v>72</v>
      </c>
      <c r="J28" s="118">
        <v>350</v>
      </c>
      <c r="K28" s="118">
        <v>8.86</v>
      </c>
      <c r="L28" s="118">
        <v>20.36</v>
      </c>
      <c r="M28" s="118">
        <v>6.04</v>
      </c>
      <c r="N28" s="118">
        <v>44.78</v>
      </c>
      <c r="O28" s="118">
        <v>17.399999999999999</v>
      </c>
      <c r="P28" s="118">
        <v>0.3</v>
      </c>
      <c r="Q28" s="118">
        <v>0.27</v>
      </c>
      <c r="R28" s="118">
        <v>1.9</v>
      </c>
      <c r="S28" s="118">
        <v>2.38</v>
      </c>
      <c r="T28" s="118">
        <v>0.54</v>
      </c>
      <c r="U28" s="118">
        <v>186</v>
      </c>
      <c r="V28" s="118">
        <v>0</v>
      </c>
      <c r="W28" s="118"/>
      <c r="X28" s="118">
        <v>0</v>
      </c>
      <c r="Y28" s="118">
        <v>2.88</v>
      </c>
      <c r="Z28" s="118">
        <v>2.1</v>
      </c>
      <c r="AA28" s="118">
        <v>0</v>
      </c>
      <c r="AB28" s="118">
        <v>3.33</v>
      </c>
      <c r="AC28" s="118">
        <v>0</v>
      </c>
      <c r="AD28" s="118">
        <v>40</v>
      </c>
      <c r="AE28" s="118"/>
      <c r="AF28" s="118"/>
      <c r="AG28" s="118"/>
      <c r="AH28" s="118"/>
      <c r="AI28" s="118">
        <v>203.08</v>
      </c>
      <c r="AJ28" s="118">
        <v>1.23</v>
      </c>
      <c r="AK28" s="118">
        <v>8.84</v>
      </c>
      <c r="AL28" s="118">
        <v>130</v>
      </c>
      <c r="AM28" s="118">
        <v>2.71</v>
      </c>
      <c r="AN28" s="118">
        <v>367.63</v>
      </c>
      <c r="AO28" s="118">
        <v>715.95</v>
      </c>
      <c r="AP28" s="118">
        <v>41.23</v>
      </c>
      <c r="AQ28" s="118">
        <v>2.68</v>
      </c>
      <c r="AR28" s="118">
        <v>0.45</v>
      </c>
      <c r="AS28" s="118">
        <v>0.89</v>
      </c>
      <c r="AT28" s="118">
        <v>2.34</v>
      </c>
      <c r="AU28" s="118"/>
      <c r="AV28" s="124">
        <v>0.56000000000000005</v>
      </c>
      <c r="AW28" s="124">
        <v>0.874</v>
      </c>
      <c r="AX28" s="124">
        <v>1.45</v>
      </c>
      <c r="AY28" s="124">
        <v>1.3620000000000001</v>
      </c>
      <c r="AZ28" s="124">
        <v>0.26700000000000002</v>
      </c>
      <c r="BA28" s="124">
        <v>0.27300000000000002</v>
      </c>
      <c r="BB28" s="124">
        <v>1.091</v>
      </c>
      <c r="BC28" s="124">
        <v>0.755</v>
      </c>
      <c r="BD28" s="124">
        <v>0.19500000000000001</v>
      </c>
      <c r="BE28" s="124">
        <v>0.85399999999999998</v>
      </c>
      <c r="BF28" s="124">
        <v>0.874</v>
      </c>
      <c r="BG28" s="124">
        <v>1.919</v>
      </c>
      <c r="BH28" s="124">
        <v>2.395</v>
      </c>
      <c r="BI28" s="124">
        <v>3.5609999999999999</v>
      </c>
      <c r="BJ28" s="124">
        <v>0.84699999999999998</v>
      </c>
      <c r="BK28" s="124">
        <v>0.84099999999999997</v>
      </c>
      <c r="BL28" s="124">
        <v>1.0269999999999999</v>
      </c>
      <c r="BM28" s="124">
        <v>0.505</v>
      </c>
      <c r="BN28" s="118">
        <v>64.28</v>
      </c>
      <c r="BO28" s="118">
        <v>687</v>
      </c>
      <c r="BP28" s="118"/>
      <c r="BQ28" s="118"/>
      <c r="BR28" s="118"/>
    </row>
    <row r="29" spans="1:70">
      <c r="A29" s="122">
        <v>13001</v>
      </c>
      <c r="B29" s="122" t="s">
        <v>176</v>
      </c>
      <c r="C29" s="122" t="s">
        <v>177</v>
      </c>
      <c r="D29" s="122" t="s">
        <v>178</v>
      </c>
      <c r="E29" s="122" t="s">
        <v>76</v>
      </c>
      <c r="F29" s="122" t="s">
        <v>1827</v>
      </c>
      <c r="G29" s="163" t="s">
        <v>1120</v>
      </c>
      <c r="H29" s="122">
        <v>3</v>
      </c>
      <c r="I29" s="123" t="s">
        <v>72</v>
      </c>
      <c r="J29" s="118">
        <v>317</v>
      </c>
      <c r="K29" s="118">
        <v>12.16</v>
      </c>
      <c r="L29" s="118">
        <v>27.7</v>
      </c>
      <c r="M29" s="118">
        <v>0.8</v>
      </c>
      <c r="N29" s="118">
        <v>43.2</v>
      </c>
      <c r="O29" s="118">
        <v>13.2</v>
      </c>
      <c r="P29" s="118">
        <v>0.77</v>
      </c>
      <c r="Q29" s="118">
        <v>0.13</v>
      </c>
      <c r="R29" s="118">
        <v>2</v>
      </c>
      <c r="S29" s="118">
        <v>1.61</v>
      </c>
      <c r="T29" s="118">
        <v>0.34</v>
      </c>
      <c r="U29" s="118">
        <v>35</v>
      </c>
      <c r="V29" s="118"/>
      <c r="W29" s="118">
        <v>4.5</v>
      </c>
      <c r="X29" s="118">
        <v>1.31</v>
      </c>
      <c r="Y29" s="118">
        <v>0.16</v>
      </c>
      <c r="Z29" s="118"/>
      <c r="AA29" s="118">
        <v>0</v>
      </c>
      <c r="AB29" s="118">
        <v>3</v>
      </c>
      <c r="AC29" s="118">
        <v>0</v>
      </c>
      <c r="AD29" s="118">
        <v>34</v>
      </c>
      <c r="AE29" s="118"/>
      <c r="AF29" s="118"/>
      <c r="AG29" s="118"/>
      <c r="AH29" s="118"/>
      <c r="AI29" s="118">
        <v>23</v>
      </c>
      <c r="AJ29" s="118">
        <v>0.79</v>
      </c>
      <c r="AK29" s="118">
        <v>5.0999999999999996</v>
      </c>
      <c r="AL29" s="118">
        <v>72</v>
      </c>
      <c r="AM29" s="118">
        <v>1.72</v>
      </c>
      <c r="AN29" s="118">
        <v>261</v>
      </c>
      <c r="AO29" s="118">
        <v>635</v>
      </c>
      <c r="AP29" s="118">
        <v>0</v>
      </c>
      <c r="AQ29" s="118">
        <v>3.89</v>
      </c>
      <c r="AR29" s="118">
        <v>0.14000000000000001</v>
      </c>
      <c r="AS29" s="118">
        <v>0.17</v>
      </c>
      <c r="AT29" s="118">
        <v>0.42</v>
      </c>
      <c r="AU29" s="118">
        <v>0</v>
      </c>
      <c r="AV29" s="124">
        <v>0.63300000000000001</v>
      </c>
      <c r="AW29" s="124">
        <v>1.048</v>
      </c>
      <c r="AX29" s="124">
        <v>2.0169999999999999</v>
      </c>
      <c r="AY29" s="124">
        <v>2.1179999999999999</v>
      </c>
      <c r="AZ29" s="124">
        <v>0.14699999999999999</v>
      </c>
      <c r="BA29" s="124">
        <v>0.216</v>
      </c>
      <c r="BB29" s="124">
        <v>1.431</v>
      </c>
      <c r="BC29" s="124">
        <v>1.032</v>
      </c>
      <c r="BD29" s="124">
        <v>0.25700000000000001</v>
      </c>
      <c r="BE29" s="124">
        <v>1.3660000000000001</v>
      </c>
      <c r="BF29" s="124">
        <v>1.917</v>
      </c>
      <c r="BG29" s="124">
        <v>2.2650000000000001</v>
      </c>
      <c r="BH29" s="124">
        <v>3.2280000000000002</v>
      </c>
      <c r="BI29" s="124">
        <v>5.4809999999999999</v>
      </c>
      <c r="BJ29" s="124">
        <v>1.1499999999999999</v>
      </c>
      <c r="BK29" s="124">
        <v>1.075</v>
      </c>
      <c r="BL29" s="124">
        <v>1.5149999999999999</v>
      </c>
      <c r="BM29" s="124">
        <v>0.83599999999999997</v>
      </c>
      <c r="BN29" s="118"/>
      <c r="BO29" s="118">
        <v>133</v>
      </c>
      <c r="BP29" s="118"/>
      <c r="BQ29" s="118"/>
      <c r="BR29" s="118"/>
    </row>
    <row r="30" spans="1:70">
      <c r="A30" s="122">
        <v>13003</v>
      </c>
      <c r="B30" s="122" t="s">
        <v>180</v>
      </c>
      <c r="C30" s="122" t="s">
        <v>181</v>
      </c>
      <c r="D30" s="122" t="s">
        <v>182</v>
      </c>
      <c r="E30" s="122" t="s">
        <v>76</v>
      </c>
      <c r="F30" s="122" t="s">
        <v>1121</v>
      </c>
      <c r="G30" s="163" t="s">
        <v>1122</v>
      </c>
      <c r="H30" s="122">
        <v>3</v>
      </c>
      <c r="I30" s="123" t="s">
        <v>72</v>
      </c>
      <c r="J30" s="118">
        <v>332</v>
      </c>
      <c r="K30" s="118">
        <v>10.16</v>
      </c>
      <c r="L30" s="118">
        <v>24.8</v>
      </c>
      <c r="M30" s="118">
        <v>1.2</v>
      </c>
      <c r="N30" s="118">
        <v>50.8</v>
      </c>
      <c r="O30" s="118">
        <v>9.4</v>
      </c>
      <c r="P30" s="118">
        <v>0.41</v>
      </c>
      <c r="Q30" s="118">
        <v>0.11</v>
      </c>
      <c r="R30" s="118">
        <v>1.84</v>
      </c>
      <c r="S30" s="118">
        <v>1.68</v>
      </c>
      <c r="T30" s="118">
        <v>0.19</v>
      </c>
      <c r="U30" s="118">
        <v>140</v>
      </c>
      <c r="V30" s="118">
        <v>0</v>
      </c>
      <c r="W30" s="118">
        <v>0</v>
      </c>
      <c r="X30" s="118">
        <v>2.0499999999999998</v>
      </c>
      <c r="Y30" s="118">
        <v>0.23</v>
      </c>
      <c r="Z30" s="118">
        <v>8.3000000000000007</v>
      </c>
      <c r="AA30" s="118">
        <v>0</v>
      </c>
      <c r="AB30" s="118">
        <v>4</v>
      </c>
      <c r="AC30" s="118"/>
      <c r="AD30" s="118">
        <v>44</v>
      </c>
      <c r="AE30" s="118"/>
      <c r="AF30" s="118"/>
      <c r="AG30" s="118"/>
      <c r="AH30" s="118"/>
      <c r="AI30" s="118">
        <v>59</v>
      </c>
      <c r="AJ30" s="118">
        <v>1.34</v>
      </c>
      <c r="AK30" s="118">
        <v>6.5</v>
      </c>
      <c r="AL30" s="118">
        <v>151</v>
      </c>
      <c r="AM30" s="118">
        <v>0.98</v>
      </c>
      <c r="AN30" s="118">
        <v>320</v>
      </c>
      <c r="AO30" s="118">
        <v>1369</v>
      </c>
      <c r="AP30" s="118">
        <v>50.14</v>
      </c>
      <c r="AQ30" s="118">
        <v>2.81</v>
      </c>
      <c r="AR30" s="118">
        <v>0.25</v>
      </c>
      <c r="AS30" s="118">
        <v>0.04</v>
      </c>
      <c r="AT30" s="118">
        <v>0.53</v>
      </c>
      <c r="AU30" s="118"/>
      <c r="AV30" s="124">
        <v>0.69</v>
      </c>
      <c r="AW30" s="124">
        <v>0.99</v>
      </c>
      <c r="AX30" s="124">
        <v>1.8</v>
      </c>
      <c r="AY30" s="124">
        <v>1.7</v>
      </c>
      <c r="AZ30" s="124">
        <v>0.28999999999999998</v>
      </c>
      <c r="BA30" s="124">
        <v>0.21</v>
      </c>
      <c r="BB30" s="124">
        <v>1.5</v>
      </c>
      <c r="BC30" s="124">
        <v>0.76</v>
      </c>
      <c r="BD30" s="124">
        <v>0.26</v>
      </c>
      <c r="BE30" s="124">
        <v>1.2</v>
      </c>
      <c r="BF30" s="124">
        <v>1.1000000000000001</v>
      </c>
      <c r="BG30" s="124">
        <v>1.7</v>
      </c>
      <c r="BH30" s="124">
        <v>2.7</v>
      </c>
      <c r="BI30" s="124">
        <v>4.2</v>
      </c>
      <c r="BJ30" s="124">
        <v>0.96</v>
      </c>
      <c r="BK30" s="124">
        <v>1.1000000000000001</v>
      </c>
      <c r="BL30" s="124">
        <v>1.2</v>
      </c>
      <c r="BM30" s="124">
        <v>0.73</v>
      </c>
      <c r="BN30" s="118">
        <v>6.44</v>
      </c>
      <c r="BO30" s="118">
        <v>580</v>
      </c>
      <c r="BP30" s="118"/>
      <c r="BQ30" s="118"/>
      <c r="BR30" s="118"/>
    </row>
    <row r="31" spans="1:70">
      <c r="A31" s="122">
        <v>13005</v>
      </c>
      <c r="B31" s="122" t="s">
        <v>189</v>
      </c>
      <c r="C31" s="122" t="s">
        <v>190</v>
      </c>
      <c r="D31" s="122" t="s">
        <v>191</v>
      </c>
      <c r="E31" s="122" t="s">
        <v>76</v>
      </c>
      <c r="F31" s="122">
        <v>20006</v>
      </c>
      <c r="G31" s="163" t="s">
        <v>1123</v>
      </c>
      <c r="H31" s="122">
        <v>3</v>
      </c>
      <c r="I31" s="123" t="s">
        <v>72</v>
      </c>
      <c r="J31" s="118">
        <v>352</v>
      </c>
      <c r="K31" s="118">
        <v>9.43</v>
      </c>
      <c r="L31" s="118">
        <v>28.38</v>
      </c>
      <c r="M31" s="118">
        <v>0.89</v>
      </c>
      <c r="N31" s="118">
        <v>56.51</v>
      </c>
      <c r="O31" s="118">
        <v>2.2000000000000002</v>
      </c>
      <c r="P31" s="118">
        <v>0.37</v>
      </c>
      <c r="Q31" s="118">
        <v>0.21</v>
      </c>
      <c r="R31" s="118">
        <v>2.9</v>
      </c>
      <c r="S31" s="118"/>
      <c r="T31" s="118">
        <v>0.35</v>
      </c>
      <c r="U31" s="118">
        <v>206.7</v>
      </c>
      <c r="V31" s="118"/>
      <c r="W31" s="118"/>
      <c r="X31" s="118">
        <v>0</v>
      </c>
      <c r="Y31" s="118">
        <v>0.5</v>
      </c>
      <c r="Z31" s="118"/>
      <c r="AA31" s="118">
        <v>0</v>
      </c>
      <c r="AB31" s="118">
        <v>5.03</v>
      </c>
      <c r="AC31" s="118"/>
      <c r="AD31" s="118">
        <v>60.4</v>
      </c>
      <c r="AE31" s="118"/>
      <c r="AF31" s="118"/>
      <c r="AG31" s="118"/>
      <c r="AH31" s="118"/>
      <c r="AI31" s="118">
        <v>60.84</v>
      </c>
      <c r="AJ31" s="118">
        <v>1.08</v>
      </c>
      <c r="AK31" s="118">
        <v>5.31</v>
      </c>
      <c r="AL31" s="118">
        <v>100.55</v>
      </c>
      <c r="AM31" s="118"/>
      <c r="AN31" s="118">
        <v>374.15</v>
      </c>
      <c r="AO31" s="118">
        <v>812.8</v>
      </c>
      <c r="AP31" s="118"/>
      <c r="AQ31" s="118">
        <v>3.38</v>
      </c>
      <c r="AR31" s="118"/>
      <c r="AS31" s="118"/>
      <c r="AT31" s="118"/>
      <c r="AU31" s="118"/>
      <c r="AV31" s="124"/>
      <c r="AW31" s="124"/>
      <c r="AX31" s="124"/>
      <c r="AY31" s="124"/>
      <c r="AZ31" s="124"/>
      <c r="BA31" s="124"/>
      <c r="BB31" s="124"/>
      <c r="BC31" s="124"/>
      <c r="BD31" s="124"/>
      <c r="BE31" s="124"/>
      <c r="BF31" s="124"/>
      <c r="BG31" s="124"/>
      <c r="BH31" s="124"/>
      <c r="BI31" s="124"/>
      <c r="BJ31" s="124"/>
      <c r="BK31" s="124"/>
      <c r="BL31" s="124"/>
      <c r="BM31" s="124"/>
      <c r="BN31" s="118"/>
      <c r="BO31" s="118">
        <v>560</v>
      </c>
      <c r="BP31" s="118"/>
      <c r="BQ31" s="118"/>
      <c r="BR31" s="118"/>
    </row>
    <row r="32" spans="1:70">
      <c r="A32" s="122">
        <v>14001</v>
      </c>
      <c r="B32" s="122" t="s">
        <v>193</v>
      </c>
      <c r="C32" s="122" t="s">
        <v>194</v>
      </c>
      <c r="D32" s="122" t="s">
        <v>195</v>
      </c>
      <c r="E32" s="122" t="s">
        <v>76</v>
      </c>
      <c r="F32" s="122" t="s">
        <v>1828</v>
      </c>
      <c r="G32" s="163" t="s">
        <v>1126</v>
      </c>
      <c r="H32" s="122">
        <v>2</v>
      </c>
      <c r="I32" s="122" t="s">
        <v>197</v>
      </c>
      <c r="J32" s="118">
        <v>66</v>
      </c>
      <c r="K32" s="118">
        <v>81.709999999999994</v>
      </c>
      <c r="L32" s="118">
        <v>1.19</v>
      </c>
      <c r="M32" s="118">
        <v>0.16</v>
      </c>
      <c r="N32" s="118">
        <v>14.01</v>
      </c>
      <c r="O32" s="118">
        <v>2.0699999999999998</v>
      </c>
      <c r="P32" s="118">
        <v>0.08</v>
      </c>
      <c r="Q32" s="118">
        <v>0.09</v>
      </c>
      <c r="R32" s="118">
        <v>0.4</v>
      </c>
      <c r="S32" s="118">
        <v>0.42</v>
      </c>
      <c r="T32" s="118">
        <v>0.28000000000000003</v>
      </c>
      <c r="U32" s="118">
        <v>18</v>
      </c>
      <c r="V32" s="118">
        <v>0</v>
      </c>
      <c r="W32" s="118">
        <v>19.07</v>
      </c>
      <c r="X32" s="118">
        <v>0.2</v>
      </c>
      <c r="Y32" s="118">
        <v>0.02</v>
      </c>
      <c r="Z32" s="118">
        <v>2.12</v>
      </c>
      <c r="AA32" s="118">
        <v>0</v>
      </c>
      <c r="AB32" s="118">
        <v>2.2599999999999998</v>
      </c>
      <c r="AC32" s="118">
        <v>0</v>
      </c>
      <c r="AD32" s="118">
        <v>27.15</v>
      </c>
      <c r="AE32" s="118">
        <v>8.02</v>
      </c>
      <c r="AF32" s="118"/>
      <c r="AG32" s="118"/>
      <c r="AH32" s="118">
        <v>123.33</v>
      </c>
      <c r="AI32" s="118">
        <v>11.46</v>
      </c>
      <c r="AJ32" s="118">
        <v>0.43</v>
      </c>
      <c r="AK32" s="118">
        <v>0.51</v>
      </c>
      <c r="AL32" s="118">
        <v>20.56</v>
      </c>
      <c r="AM32" s="118">
        <v>0.14000000000000001</v>
      </c>
      <c r="AN32" s="118">
        <v>40</v>
      </c>
      <c r="AO32" s="118">
        <v>286.27999999999997</v>
      </c>
      <c r="AP32" s="118">
        <v>0.75</v>
      </c>
      <c r="AQ32" s="118">
        <v>0.79</v>
      </c>
      <c r="AR32" s="118">
        <v>0.04</v>
      </c>
      <c r="AS32" s="118">
        <v>0.01</v>
      </c>
      <c r="AT32" s="118">
        <v>0.13</v>
      </c>
      <c r="AU32" s="118"/>
      <c r="AV32" s="124">
        <v>1.427E-2</v>
      </c>
      <c r="AW32" s="124">
        <v>3.5159999999999997E-2</v>
      </c>
      <c r="AX32" s="124">
        <v>6.6360000000000002E-2</v>
      </c>
      <c r="AY32" s="124">
        <v>5.7169999999999999E-2</v>
      </c>
      <c r="AZ32" s="124">
        <v>1.068E-2</v>
      </c>
      <c r="BA32" s="124">
        <v>8.0600000000000012E-3</v>
      </c>
      <c r="BB32" s="124">
        <v>4.8840000000000001E-2</v>
      </c>
      <c r="BC32" s="124">
        <v>3.9729999999999994E-2</v>
      </c>
      <c r="BD32" s="124">
        <v>1.167E-2</v>
      </c>
      <c r="BE32" s="124">
        <v>4.0210000000000003E-2</v>
      </c>
      <c r="BF32" s="124">
        <v>6.472E-2</v>
      </c>
      <c r="BG32" s="124">
        <v>3.6760000000000001E-2</v>
      </c>
      <c r="BH32" s="124">
        <v>0.12847999999999998</v>
      </c>
      <c r="BI32" s="124">
        <v>0.19791</v>
      </c>
      <c r="BJ32" s="124">
        <v>3.1100000000000003E-2</v>
      </c>
      <c r="BK32" s="124">
        <v>3.465E-2</v>
      </c>
      <c r="BL32" s="124">
        <v>4.471E-2</v>
      </c>
      <c r="BM32" s="124">
        <v>3.4439999999999998E-2</v>
      </c>
      <c r="BN32" s="118">
        <v>24.61</v>
      </c>
      <c r="BO32" s="118">
        <v>59.36</v>
      </c>
      <c r="BP32" s="118">
        <v>12</v>
      </c>
      <c r="BQ32" s="118"/>
      <c r="BR32" s="118"/>
    </row>
    <row r="33" spans="1:70">
      <c r="A33" s="122">
        <v>32102</v>
      </c>
      <c r="B33" s="122" t="s">
        <v>198</v>
      </c>
      <c r="C33" s="122" t="s">
        <v>199</v>
      </c>
      <c r="D33" s="122" t="s">
        <v>200</v>
      </c>
      <c r="E33" s="122" t="s">
        <v>76</v>
      </c>
      <c r="F33" s="122" t="s">
        <v>1127</v>
      </c>
      <c r="G33" s="163" t="s">
        <v>1128</v>
      </c>
      <c r="H33" s="122">
        <v>4</v>
      </c>
      <c r="I33" s="122" t="s">
        <v>202</v>
      </c>
      <c r="J33" s="118">
        <v>151</v>
      </c>
      <c r="K33" s="118">
        <v>60.13</v>
      </c>
      <c r="L33" s="118">
        <v>5.6</v>
      </c>
      <c r="M33" s="118">
        <v>0.41</v>
      </c>
      <c r="N33" s="118">
        <v>30.39</v>
      </c>
      <c r="O33" s="118">
        <v>1.5</v>
      </c>
      <c r="P33" s="118">
        <v>0.21</v>
      </c>
      <c r="Q33" s="118">
        <v>0.11</v>
      </c>
      <c r="R33" s="118">
        <v>3.1</v>
      </c>
      <c r="S33" s="118">
        <v>0.36</v>
      </c>
      <c r="T33" s="118">
        <v>0.08</v>
      </c>
      <c r="U33" s="118">
        <v>54.58</v>
      </c>
      <c r="V33" s="118"/>
      <c r="W33" s="118">
        <v>8.6</v>
      </c>
      <c r="X33" s="118">
        <v>1.4</v>
      </c>
      <c r="Y33" s="118">
        <v>0.06</v>
      </c>
      <c r="Z33" s="118">
        <v>13.56</v>
      </c>
      <c r="AA33" s="118">
        <v>0</v>
      </c>
      <c r="AB33" s="118">
        <v>0</v>
      </c>
      <c r="AC33" s="118">
        <v>0</v>
      </c>
      <c r="AD33" s="118">
        <v>0</v>
      </c>
      <c r="AE33" s="118">
        <v>2.13</v>
      </c>
      <c r="AF33" s="118"/>
      <c r="AG33" s="118"/>
      <c r="AH33" s="118">
        <v>1.56</v>
      </c>
      <c r="AI33" s="118">
        <v>39.85</v>
      </c>
      <c r="AJ33" s="118">
        <v>0.19</v>
      </c>
      <c r="AK33" s="118">
        <v>1.5</v>
      </c>
      <c r="AL33" s="118">
        <v>54</v>
      </c>
      <c r="AM33" s="118">
        <v>0.27</v>
      </c>
      <c r="AN33" s="118">
        <v>97</v>
      </c>
      <c r="AO33" s="118">
        <v>246</v>
      </c>
      <c r="AP33" s="118">
        <v>0.33</v>
      </c>
      <c r="AQ33" s="118">
        <v>0.28999999999999998</v>
      </c>
      <c r="AR33" s="118">
        <v>0.15</v>
      </c>
      <c r="AS33" s="118">
        <v>0.02</v>
      </c>
      <c r="AT33" s="118">
        <v>0.18</v>
      </c>
      <c r="AU33" s="118"/>
      <c r="AV33" s="124">
        <v>3.3460000000000004E-2</v>
      </c>
      <c r="AW33" s="124">
        <v>0.10890000000000001</v>
      </c>
      <c r="AX33" s="124">
        <v>0.14236000000000001</v>
      </c>
      <c r="AY33" s="124">
        <v>7.3849999999999999E-2</v>
      </c>
      <c r="AZ33" s="124">
        <v>1.8609999999999998E-2</v>
      </c>
      <c r="BA33" s="124">
        <v>1.089E-2</v>
      </c>
      <c r="BB33" s="124">
        <v>0.12315999999999999</v>
      </c>
      <c r="BC33" s="124">
        <v>0.10811</v>
      </c>
      <c r="BD33" s="124">
        <v>1.8609999999999998E-2</v>
      </c>
      <c r="BE33" s="124">
        <v>0.13583000000000001</v>
      </c>
      <c r="BF33" s="124">
        <v>9.6819999999999989E-2</v>
      </c>
      <c r="BG33" s="124">
        <v>5.9799999999999999E-2</v>
      </c>
      <c r="BH33" s="124">
        <v>0.30352999999999997</v>
      </c>
      <c r="BI33" s="124">
        <v>0.22670999999999999</v>
      </c>
      <c r="BJ33" s="124">
        <v>0.1186</v>
      </c>
      <c r="BK33" s="124">
        <v>9.5239999999999991E-2</v>
      </c>
      <c r="BL33" s="124">
        <v>0.10514</v>
      </c>
      <c r="BM33" s="124">
        <v>0.11108</v>
      </c>
      <c r="BN33" s="118">
        <v>15.53</v>
      </c>
      <c r="BO33" s="118">
        <v>141</v>
      </c>
      <c r="BP33" s="118"/>
      <c r="BQ33" s="118"/>
      <c r="BR33" s="118"/>
    </row>
    <row r="34" spans="1:70" ht="14.25" customHeight="1">
      <c r="A34" s="122">
        <v>21001</v>
      </c>
      <c r="B34" s="122" t="s">
        <v>203</v>
      </c>
      <c r="C34" s="122" t="s">
        <v>204</v>
      </c>
      <c r="D34" s="122" t="s">
        <v>205</v>
      </c>
      <c r="E34" s="122" t="s">
        <v>76</v>
      </c>
      <c r="F34" s="122" t="s">
        <v>1829</v>
      </c>
      <c r="G34" s="163" t="s">
        <v>1131</v>
      </c>
      <c r="H34" s="122">
        <v>10</v>
      </c>
      <c r="I34" s="122" t="s">
        <v>207</v>
      </c>
      <c r="J34" s="118">
        <v>27</v>
      </c>
      <c r="K34" s="118">
        <v>90.5</v>
      </c>
      <c r="L34" s="118">
        <v>3.1</v>
      </c>
      <c r="M34" s="118">
        <v>0.2</v>
      </c>
      <c r="N34" s="118">
        <v>1.7</v>
      </c>
      <c r="O34" s="118">
        <v>2.9</v>
      </c>
      <c r="P34" s="118">
        <v>0.01</v>
      </c>
      <c r="Q34" s="118">
        <v>0.27</v>
      </c>
      <c r="R34" s="118">
        <v>0.7</v>
      </c>
      <c r="S34" s="118">
        <v>0.37</v>
      </c>
      <c r="T34" s="118">
        <v>0.19</v>
      </c>
      <c r="U34" s="118">
        <v>85</v>
      </c>
      <c r="V34" s="118">
        <v>0</v>
      </c>
      <c r="W34" s="118">
        <v>42</v>
      </c>
      <c r="X34" s="118">
        <v>15.17</v>
      </c>
      <c r="Y34" s="118">
        <v>0.46</v>
      </c>
      <c r="Z34" s="118">
        <v>312</v>
      </c>
      <c r="AA34" s="118">
        <v>0</v>
      </c>
      <c r="AB34" s="118">
        <v>716</v>
      </c>
      <c r="AC34" s="118">
        <v>185</v>
      </c>
      <c r="AD34" s="118">
        <v>8457</v>
      </c>
      <c r="AE34" s="118">
        <v>7439</v>
      </c>
      <c r="AF34" s="118"/>
      <c r="AG34" s="118"/>
      <c r="AH34" s="118">
        <v>118</v>
      </c>
      <c r="AI34" s="118">
        <v>245</v>
      </c>
      <c r="AJ34" s="118">
        <v>0.09</v>
      </c>
      <c r="AK34" s="118">
        <v>1.6</v>
      </c>
      <c r="AL34" s="118">
        <v>138</v>
      </c>
      <c r="AM34" s="118">
        <v>2.15</v>
      </c>
      <c r="AN34" s="118">
        <v>76</v>
      </c>
      <c r="AO34" s="118">
        <v>186</v>
      </c>
      <c r="AP34" s="118">
        <v>22.55</v>
      </c>
      <c r="AQ34" s="118">
        <v>1.21</v>
      </c>
      <c r="AR34" s="118">
        <v>0.21</v>
      </c>
      <c r="AS34" s="118">
        <v>0.05</v>
      </c>
      <c r="AT34" s="118">
        <v>0.33</v>
      </c>
      <c r="AU34" s="118"/>
      <c r="AV34" s="124">
        <v>7.8989999999999991E-2</v>
      </c>
      <c r="AW34" s="124">
        <v>0.16938</v>
      </c>
      <c r="AX34" s="124">
        <v>0.32225999999999999</v>
      </c>
      <c r="AY34" s="124">
        <v>0.21928999999999998</v>
      </c>
      <c r="AZ34" s="124">
        <v>6.4060000000000006E-2</v>
      </c>
      <c r="BA34" s="124">
        <v>3.773E-2</v>
      </c>
      <c r="BB34" s="124">
        <v>0.18746000000000002</v>
      </c>
      <c r="BC34" s="124">
        <v>0.15877000000000002</v>
      </c>
      <c r="BD34" s="124">
        <v>4.7159999999999994E-2</v>
      </c>
      <c r="BE34" s="124">
        <v>0.20593</v>
      </c>
      <c r="BF34" s="124">
        <v>0.25780999999999998</v>
      </c>
      <c r="BG34" s="124">
        <v>0.22912000000000002</v>
      </c>
      <c r="BH34" s="124">
        <v>0.35919999999999996</v>
      </c>
      <c r="BI34" s="124">
        <v>0.49831999999999999</v>
      </c>
      <c r="BJ34" s="124">
        <v>0.20122000000000001</v>
      </c>
      <c r="BK34" s="124">
        <v>0.15994999999999998</v>
      </c>
      <c r="BL34" s="124">
        <v>0.17685000000000001</v>
      </c>
      <c r="BM34" s="124">
        <v>0.11829000000000001</v>
      </c>
      <c r="BN34" s="118">
        <v>27.63</v>
      </c>
      <c r="BO34" s="118">
        <v>10</v>
      </c>
      <c r="BP34" s="118"/>
      <c r="BQ34" s="118"/>
      <c r="BR34" s="118"/>
    </row>
    <row r="35" spans="1:70">
      <c r="A35" s="122">
        <v>21002</v>
      </c>
      <c r="B35" s="122" t="s">
        <v>1132</v>
      </c>
      <c r="C35" s="122" t="s">
        <v>209</v>
      </c>
      <c r="D35" s="122" t="s">
        <v>210</v>
      </c>
      <c r="E35" s="122" t="s">
        <v>76</v>
      </c>
      <c r="F35" s="122" t="s">
        <v>1830</v>
      </c>
      <c r="G35" s="163" t="s">
        <v>1135</v>
      </c>
      <c r="H35" s="122">
        <v>10</v>
      </c>
      <c r="I35" s="122" t="s">
        <v>207</v>
      </c>
      <c r="J35" s="118">
        <v>51</v>
      </c>
      <c r="K35" s="118">
        <v>84.71</v>
      </c>
      <c r="L35" s="118">
        <v>4.04</v>
      </c>
      <c r="M35" s="118">
        <v>1.06</v>
      </c>
      <c r="N35" s="118">
        <v>4.37</v>
      </c>
      <c r="O35" s="118">
        <v>3.7</v>
      </c>
      <c r="P35" s="118">
        <v>0.22</v>
      </c>
      <c r="Q35" s="118">
        <v>0.26</v>
      </c>
      <c r="R35" s="118">
        <v>1.9</v>
      </c>
      <c r="S35" s="118">
        <v>0.27</v>
      </c>
      <c r="T35" s="118">
        <v>0.15</v>
      </c>
      <c r="U35" s="118">
        <v>126</v>
      </c>
      <c r="V35" s="118">
        <v>0</v>
      </c>
      <c r="W35" s="118">
        <v>48.11</v>
      </c>
      <c r="X35" s="118">
        <v>1.59</v>
      </c>
      <c r="Y35" s="118">
        <v>2.02</v>
      </c>
      <c r="Z35" s="118">
        <v>109</v>
      </c>
      <c r="AA35" s="118">
        <v>0</v>
      </c>
      <c r="AB35" s="118">
        <v>595.54999999999995</v>
      </c>
      <c r="AC35" s="118">
        <v>0</v>
      </c>
      <c r="AD35" s="118">
        <v>7150</v>
      </c>
      <c r="AE35" s="118">
        <v>5222</v>
      </c>
      <c r="AF35" s="118"/>
      <c r="AG35" s="118"/>
      <c r="AH35" s="118">
        <v>136</v>
      </c>
      <c r="AI35" s="118">
        <v>234.67</v>
      </c>
      <c r="AJ35" s="118">
        <v>0.19</v>
      </c>
      <c r="AK35" s="118">
        <v>4.9400000000000004</v>
      </c>
      <c r="AL35" s="118">
        <v>61.35</v>
      </c>
      <c r="AM35" s="118">
        <v>0.71399999999999997</v>
      </c>
      <c r="AN35" s="118">
        <v>39.89</v>
      </c>
      <c r="AO35" s="118">
        <v>764</v>
      </c>
      <c r="AP35" s="118">
        <v>0.9</v>
      </c>
      <c r="AQ35" s="118">
        <v>0.68</v>
      </c>
      <c r="AR35" s="118">
        <v>0.43</v>
      </c>
      <c r="AS35" s="118">
        <v>0.05</v>
      </c>
      <c r="AT35" s="118">
        <v>0.69</v>
      </c>
      <c r="AU35" s="118"/>
      <c r="AV35" s="124">
        <v>0.11627999999999999</v>
      </c>
      <c r="AW35" s="124">
        <v>0.12004000000000001</v>
      </c>
      <c r="AX35" s="124">
        <v>0.25479000000000002</v>
      </c>
      <c r="AY35" s="124">
        <v>0.14568999999999999</v>
      </c>
      <c r="AZ35" s="124">
        <v>6.1219999999999997E-2</v>
      </c>
      <c r="BA35" s="124">
        <v>3.6590000000000004E-2</v>
      </c>
      <c r="BB35" s="124">
        <v>0.15150999999999998</v>
      </c>
      <c r="BC35" s="124">
        <v>0.15493000000000001</v>
      </c>
      <c r="BD35" s="124">
        <v>3.4540000000000001E-2</v>
      </c>
      <c r="BE35" s="124">
        <v>0.15869</v>
      </c>
      <c r="BF35" s="124">
        <v>0.32148000000000004</v>
      </c>
      <c r="BG35" s="124">
        <v>0.19972999999999999</v>
      </c>
      <c r="BH35" s="124">
        <v>0.29241</v>
      </c>
      <c r="BI35" s="124">
        <v>0.52154999999999996</v>
      </c>
      <c r="BJ35" s="124">
        <v>0.15937000000000001</v>
      </c>
      <c r="BK35" s="124">
        <v>0.17133999999999999</v>
      </c>
      <c r="BL35" s="124">
        <v>0.15458000000000002</v>
      </c>
      <c r="BM35" s="124">
        <v>0.12928000000000001</v>
      </c>
      <c r="BN35" s="118"/>
      <c r="BO35" s="118">
        <v>10</v>
      </c>
      <c r="BP35" s="118"/>
      <c r="BQ35" s="118"/>
      <c r="BR35" s="118"/>
    </row>
    <row r="36" spans="1:70">
      <c r="A36" s="122">
        <v>21027</v>
      </c>
      <c r="B36" s="122" t="s">
        <v>1136</v>
      </c>
      <c r="C36" s="122" t="s">
        <v>209</v>
      </c>
      <c r="D36" s="122" t="s">
        <v>210</v>
      </c>
      <c r="E36" s="122" t="s">
        <v>76</v>
      </c>
      <c r="F36" s="122" t="s">
        <v>1831</v>
      </c>
      <c r="G36" s="163" t="s">
        <v>1138</v>
      </c>
      <c r="H36" s="122">
        <v>10</v>
      </c>
      <c r="I36" s="122" t="s">
        <v>207</v>
      </c>
      <c r="J36" s="118">
        <v>62</v>
      </c>
      <c r="K36" s="118">
        <v>81.8</v>
      </c>
      <c r="L36" s="118">
        <v>5.59</v>
      </c>
      <c r="M36" s="118">
        <v>1.23</v>
      </c>
      <c r="N36" s="118">
        <v>5.33</v>
      </c>
      <c r="O36" s="118">
        <v>3.7</v>
      </c>
      <c r="P36" s="118">
        <v>0.06</v>
      </c>
      <c r="Q36" s="118">
        <v>0.45</v>
      </c>
      <c r="R36" s="118">
        <v>1.9</v>
      </c>
      <c r="S36" s="118"/>
      <c r="T36" s="118">
        <v>0.15</v>
      </c>
      <c r="U36" s="118">
        <v>126</v>
      </c>
      <c r="V36" s="118">
        <v>0</v>
      </c>
      <c r="W36" s="118">
        <v>63</v>
      </c>
      <c r="X36" s="118">
        <v>0</v>
      </c>
      <c r="Y36" s="118">
        <v>3.36</v>
      </c>
      <c r="Z36" s="118">
        <v>109</v>
      </c>
      <c r="AA36" s="118">
        <v>0</v>
      </c>
      <c r="AB36" s="118">
        <v>699.17</v>
      </c>
      <c r="AC36" s="118">
        <v>0</v>
      </c>
      <c r="AD36" s="118">
        <v>8390</v>
      </c>
      <c r="AE36" s="118"/>
      <c r="AF36" s="118"/>
      <c r="AG36" s="118"/>
      <c r="AH36" s="118"/>
      <c r="AI36" s="118">
        <v>391.67</v>
      </c>
      <c r="AJ36" s="118">
        <v>0.25</v>
      </c>
      <c r="AK36" s="118">
        <v>2.13</v>
      </c>
      <c r="AL36" s="118">
        <v>130</v>
      </c>
      <c r="AM36" s="118">
        <v>0.71399999999999997</v>
      </c>
      <c r="AN36" s="118">
        <v>39</v>
      </c>
      <c r="AO36" s="118">
        <v>763</v>
      </c>
      <c r="AP36" s="118">
        <v>0.9</v>
      </c>
      <c r="AQ36" s="118">
        <v>0.98</v>
      </c>
      <c r="AR36" s="118"/>
      <c r="AS36" s="118"/>
      <c r="AT36" s="118"/>
      <c r="AU36" s="118"/>
      <c r="AV36" s="124"/>
      <c r="AW36" s="124"/>
      <c r="AX36" s="124"/>
      <c r="AY36" s="124"/>
      <c r="AZ36" s="124"/>
      <c r="BA36" s="124"/>
      <c r="BB36" s="124"/>
      <c r="BC36" s="124"/>
      <c r="BD36" s="124"/>
      <c r="BE36" s="124"/>
      <c r="BF36" s="124"/>
      <c r="BG36" s="124"/>
      <c r="BH36" s="124"/>
      <c r="BI36" s="124"/>
      <c r="BJ36" s="124"/>
      <c r="BK36" s="124"/>
      <c r="BL36" s="124"/>
      <c r="BM36" s="124"/>
      <c r="BN36" s="118"/>
      <c r="BO36" s="118"/>
      <c r="BP36" s="118"/>
      <c r="BQ36" s="118"/>
      <c r="BR36" s="118"/>
    </row>
    <row r="37" spans="1:70" ht="15" customHeight="1">
      <c r="A37" s="122">
        <v>21003</v>
      </c>
      <c r="B37" s="122" t="s">
        <v>213</v>
      </c>
      <c r="C37" s="122" t="s">
        <v>214</v>
      </c>
      <c r="D37" s="122" t="s">
        <v>215</v>
      </c>
      <c r="E37" s="122" t="s">
        <v>76</v>
      </c>
      <c r="F37" s="122" t="s">
        <v>1832</v>
      </c>
      <c r="G37" s="163" t="s">
        <v>1141</v>
      </c>
      <c r="H37" s="122">
        <v>10</v>
      </c>
      <c r="I37" s="122" t="s">
        <v>207</v>
      </c>
      <c r="J37" s="118">
        <v>24</v>
      </c>
      <c r="K37" s="118">
        <v>91.4</v>
      </c>
      <c r="L37" s="118">
        <v>3.1</v>
      </c>
      <c r="M37" s="118">
        <v>0.5</v>
      </c>
      <c r="N37" s="118">
        <v>0.6</v>
      </c>
      <c r="O37" s="118">
        <v>2.6</v>
      </c>
      <c r="P37" s="118">
        <v>0.03</v>
      </c>
      <c r="Q37" s="118">
        <v>0.09</v>
      </c>
      <c r="R37" s="118">
        <v>1.2</v>
      </c>
      <c r="S37" s="118">
        <v>0.22</v>
      </c>
      <c r="T37" s="118">
        <v>0.2</v>
      </c>
      <c r="U37" s="118">
        <v>194</v>
      </c>
      <c r="V37" s="118">
        <v>0</v>
      </c>
      <c r="W37" s="118">
        <v>30.46</v>
      </c>
      <c r="X37" s="118">
        <v>0.23</v>
      </c>
      <c r="Y37" s="118">
        <v>1.29</v>
      </c>
      <c r="Z37" s="118">
        <v>325</v>
      </c>
      <c r="AA37" s="118">
        <v>0</v>
      </c>
      <c r="AB37" s="118">
        <v>535</v>
      </c>
      <c r="AC37" s="118">
        <v>0</v>
      </c>
      <c r="AD37" s="118">
        <v>6423.33</v>
      </c>
      <c r="AE37" s="118">
        <v>3850</v>
      </c>
      <c r="AF37" s="118"/>
      <c r="AG37" s="118"/>
      <c r="AH37" s="118">
        <v>17.23</v>
      </c>
      <c r="AI37" s="118">
        <v>84</v>
      </c>
      <c r="AJ37" s="118">
        <v>0.1</v>
      </c>
      <c r="AK37" s="118">
        <v>2.1</v>
      </c>
      <c r="AL37" s="118">
        <v>37</v>
      </c>
      <c r="AM37" s="118">
        <v>1.1200000000000001</v>
      </c>
      <c r="AN37" s="118">
        <v>49</v>
      </c>
      <c r="AO37" s="118">
        <v>615</v>
      </c>
      <c r="AP37" s="118">
        <v>2.09</v>
      </c>
      <c r="AQ37" s="118">
        <v>0.85</v>
      </c>
      <c r="AR37" s="118">
        <v>0.18</v>
      </c>
      <c r="AS37" s="118">
        <v>0.04</v>
      </c>
      <c r="AT37" s="118">
        <v>0.3</v>
      </c>
      <c r="AU37" s="118"/>
      <c r="AV37" s="124">
        <v>4.6649999999999997E-2</v>
      </c>
      <c r="AW37" s="124">
        <v>9.2230000000000006E-2</v>
      </c>
      <c r="AX37" s="124">
        <v>0.18618000000000001</v>
      </c>
      <c r="AY37" s="124">
        <v>0.10015</v>
      </c>
      <c r="AZ37" s="124">
        <v>2.8459999999999999E-2</v>
      </c>
      <c r="BA37" s="124">
        <v>1.7979999999999999E-2</v>
      </c>
      <c r="BB37" s="124">
        <v>0.11513</v>
      </c>
      <c r="BC37" s="124">
        <v>0.10058</v>
      </c>
      <c r="BD37" s="124">
        <v>3.2740000000000005E-2</v>
      </c>
      <c r="BE37" s="124">
        <v>0.12476000000000001</v>
      </c>
      <c r="BF37" s="124">
        <v>0.14509</v>
      </c>
      <c r="BG37" s="124">
        <v>0.11577</v>
      </c>
      <c r="BH37" s="124">
        <v>0.19774</v>
      </c>
      <c r="BI37" s="124">
        <v>0.31607999999999997</v>
      </c>
      <c r="BJ37" s="124">
        <v>0.12198000000000001</v>
      </c>
      <c r="BK37" s="124">
        <v>0.10058</v>
      </c>
      <c r="BL37" s="124">
        <v>9.4159999999999994E-2</v>
      </c>
      <c r="BM37" s="124">
        <v>8.4530000000000008E-2</v>
      </c>
      <c r="BN37" s="118">
        <v>233</v>
      </c>
      <c r="BO37" s="118">
        <v>12.01</v>
      </c>
      <c r="BP37" s="118"/>
      <c r="BQ37" s="118"/>
      <c r="BR37" s="118"/>
    </row>
    <row r="38" spans="1:70" ht="18" customHeight="1">
      <c r="A38" s="122">
        <v>21004</v>
      </c>
      <c r="B38" s="122" t="s">
        <v>217</v>
      </c>
      <c r="C38" s="122" t="s">
        <v>218</v>
      </c>
      <c r="D38" s="122" t="s">
        <v>219</v>
      </c>
      <c r="E38" s="122" t="s">
        <v>76</v>
      </c>
      <c r="F38" s="122" t="s">
        <v>1142</v>
      </c>
      <c r="G38" s="163" t="s">
        <v>1143</v>
      </c>
      <c r="H38" s="122">
        <v>10</v>
      </c>
      <c r="I38" s="122" t="s">
        <v>207</v>
      </c>
      <c r="J38" s="118">
        <v>25</v>
      </c>
      <c r="K38" s="118">
        <v>91.82</v>
      </c>
      <c r="L38" s="118">
        <v>2.37</v>
      </c>
      <c r="M38" s="118">
        <v>0.31</v>
      </c>
      <c r="N38" s="118">
        <v>2.11</v>
      </c>
      <c r="O38" s="118">
        <v>2.1800000000000002</v>
      </c>
      <c r="P38" s="118">
        <v>0.02</v>
      </c>
      <c r="Q38" s="118">
        <v>0.36</v>
      </c>
      <c r="R38" s="118">
        <v>0.5</v>
      </c>
      <c r="S38" s="118">
        <v>0.48</v>
      </c>
      <c r="T38" s="118">
        <v>0.24</v>
      </c>
      <c r="U38" s="118">
        <v>140</v>
      </c>
      <c r="V38" s="118"/>
      <c r="W38" s="118">
        <v>51.82</v>
      </c>
      <c r="X38" s="118">
        <v>1.1299999999999999</v>
      </c>
      <c r="Y38" s="118"/>
      <c r="Z38" s="118">
        <v>236</v>
      </c>
      <c r="AA38" s="118">
        <v>0</v>
      </c>
      <c r="AB38" s="118">
        <v>169.5</v>
      </c>
      <c r="AC38" s="118"/>
      <c r="AD38" s="118">
        <v>2030</v>
      </c>
      <c r="AE38" s="118">
        <v>2962</v>
      </c>
      <c r="AF38" s="118"/>
      <c r="AG38" s="118"/>
      <c r="AH38" s="118">
        <v>241</v>
      </c>
      <c r="AI38" s="118">
        <v>111.17</v>
      </c>
      <c r="AJ38" s="118">
        <v>0.06</v>
      </c>
      <c r="AK38" s="118">
        <v>2.2000000000000002</v>
      </c>
      <c r="AL38" s="118">
        <v>179</v>
      </c>
      <c r="AM38" s="118">
        <v>1.29</v>
      </c>
      <c r="AN38" s="118">
        <v>31</v>
      </c>
      <c r="AO38" s="118">
        <v>186.96</v>
      </c>
      <c r="AP38" s="118">
        <v>6.17</v>
      </c>
      <c r="AQ38" s="118">
        <v>0.35</v>
      </c>
      <c r="AR38" s="118">
        <v>0.1</v>
      </c>
      <c r="AS38" s="118">
        <v>0.05</v>
      </c>
      <c r="AT38" s="118">
        <v>0.2</v>
      </c>
      <c r="AU38" s="118"/>
      <c r="AV38" s="124">
        <v>3.4540000000000001E-2</v>
      </c>
      <c r="AW38" s="124">
        <v>5.1810000000000002E-2</v>
      </c>
      <c r="AX38" s="124">
        <v>0.12057999999999999</v>
      </c>
      <c r="AY38" s="124">
        <v>8.1009999999999999E-2</v>
      </c>
      <c r="AZ38" s="124">
        <v>1.413E-2</v>
      </c>
      <c r="BA38" s="124">
        <v>1.24E-2</v>
      </c>
      <c r="BB38" s="124">
        <v>6.547E-2</v>
      </c>
      <c r="BC38" s="124">
        <v>6.2960000000000002E-2</v>
      </c>
      <c r="BD38" s="124">
        <v>2.9520000000000001E-2</v>
      </c>
      <c r="BE38" s="124">
        <v>6.0920000000000002E-2</v>
      </c>
      <c r="BF38" s="124">
        <v>0.11649</v>
      </c>
      <c r="BG38" s="124">
        <v>8.133E-2</v>
      </c>
      <c r="BH38" s="124">
        <v>0.14474999999999999</v>
      </c>
      <c r="BI38" s="124">
        <v>0.20363000000000001</v>
      </c>
      <c r="BJ38" s="124">
        <v>8.9650000000000007E-2</v>
      </c>
      <c r="BK38" s="124">
        <v>7.5829999999999995E-2</v>
      </c>
      <c r="BL38" s="124">
        <v>7.238E-2</v>
      </c>
      <c r="BM38" s="124">
        <v>5.4009999999999996E-2</v>
      </c>
      <c r="BN38" s="118">
        <v>23.98</v>
      </c>
      <c r="BO38" s="118">
        <v>49.57</v>
      </c>
      <c r="BP38" s="118"/>
      <c r="BQ38" s="118"/>
      <c r="BR38" s="118"/>
    </row>
    <row r="39" spans="1:70">
      <c r="A39" s="122">
        <v>21005</v>
      </c>
      <c r="B39" s="122" t="s">
        <v>221</v>
      </c>
      <c r="C39" s="122" t="s">
        <v>222</v>
      </c>
      <c r="D39" s="122" t="s">
        <v>223</v>
      </c>
      <c r="E39" s="122" t="s">
        <v>76</v>
      </c>
      <c r="F39" s="122" t="s">
        <v>1144</v>
      </c>
      <c r="G39" s="163" t="s">
        <v>1145</v>
      </c>
      <c r="H39" s="122">
        <v>10</v>
      </c>
      <c r="I39" s="122" t="s">
        <v>207</v>
      </c>
      <c r="J39" s="118">
        <v>43</v>
      </c>
      <c r="K39" s="118">
        <v>87.1</v>
      </c>
      <c r="L39" s="118">
        <v>1.92</v>
      </c>
      <c r="M39" s="118">
        <v>0.38</v>
      </c>
      <c r="N39" s="118">
        <v>6.02</v>
      </c>
      <c r="O39" s="118">
        <v>3.71</v>
      </c>
      <c r="P39" s="118">
        <v>0.14000000000000001</v>
      </c>
      <c r="Q39" s="118">
        <v>0.4</v>
      </c>
      <c r="R39" s="118">
        <v>0.9</v>
      </c>
      <c r="S39" s="118"/>
      <c r="T39" s="118">
        <v>0.1</v>
      </c>
      <c r="U39" s="118">
        <v>57</v>
      </c>
      <c r="V39" s="118">
        <v>0</v>
      </c>
      <c r="W39" s="118">
        <v>30.39</v>
      </c>
      <c r="X39" s="118">
        <v>0</v>
      </c>
      <c r="Y39" s="118"/>
      <c r="Z39" s="118"/>
      <c r="AA39" s="118">
        <v>0</v>
      </c>
      <c r="AB39" s="118">
        <v>198.64</v>
      </c>
      <c r="AC39" s="118"/>
      <c r="AD39" s="118">
        <v>2380</v>
      </c>
      <c r="AE39" s="118"/>
      <c r="AF39" s="118"/>
      <c r="AG39" s="118"/>
      <c r="AH39" s="118"/>
      <c r="AI39" s="118">
        <v>107</v>
      </c>
      <c r="AJ39" s="118">
        <v>0.06</v>
      </c>
      <c r="AK39" s="118">
        <v>2.2000000000000002</v>
      </c>
      <c r="AL39" s="118">
        <v>19.420000000000002</v>
      </c>
      <c r="AM39" s="118">
        <v>0.16</v>
      </c>
      <c r="AN39" s="118">
        <v>36.450000000000003</v>
      </c>
      <c r="AO39" s="118">
        <v>207.21</v>
      </c>
      <c r="AP39" s="118">
        <v>0.9</v>
      </c>
      <c r="AQ39" s="118">
        <v>0.51</v>
      </c>
      <c r="AR39" s="118"/>
      <c r="AS39" s="118"/>
      <c r="AT39" s="118"/>
      <c r="AU39" s="118"/>
      <c r="AV39" s="124"/>
      <c r="AW39" s="124"/>
      <c r="AX39" s="124"/>
      <c r="AY39" s="124"/>
      <c r="AZ39" s="124"/>
      <c r="BA39" s="124"/>
      <c r="BB39" s="124"/>
      <c r="BC39" s="124"/>
      <c r="BD39" s="124"/>
      <c r="BE39" s="124"/>
      <c r="BF39" s="124"/>
      <c r="BG39" s="124"/>
      <c r="BH39" s="124"/>
      <c r="BI39" s="124"/>
      <c r="BJ39" s="124"/>
      <c r="BK39" s="124"/>
      <c r="BL39" s="124"/>
      <c r="BM39" s="124"/>
      <c r="BN39" s="118"/>
      <c r="BO39" s="118">
        <v>2</v>
      </c>
      <c r="BP39" s="118"/>
      <c r="BQ39" s="118"/>
      <c r="BR39" s="118"/>
    </row>
    <row r="40" spans="1:70">
      <c r="A40" s="122">
        <v>21006</v>
      </c>
      <c r="B40" s="122" t="s">
        <v>225</v>
      </c>
      <c r="C40" s="122" t="s">
        <v>226</v>
      </c>
      <c r="D40" s="122" t="s">
        <v>227</v>
      </c>
      <c r="E40" s="122" t="s">
        <v>76</v>
      </c>
      <c r="F40" s="122">
        <v>40009</v>
      </c>
      <c r="G40" s="163" t="s">
        <v>228</v>
      </c>
      <c r="H40" s="122">
        <v>10</v>
      </c>
      <c r="I40" s="122" t="s">
        <v>207</v>
      </c>
      <c r="J40" s="118">
        <v>26</v>
      </c>
      <c r="K40" s="118">
        <v>90.23</v>
      </c>
      <c r="L40" s="118">
        <v>2.5</v>
      </c>
      <c r="M40" s="118">
        <v>0.57999999999999996</v>
      </c>
      <c r="N40" s="118">
        <v>0.56999999999999995</v>
      </c>
      <c r="O40" s="118">
        <v>4.38</v>
      </c>
      <c r="P40" s="118">
        <v>7.0000000000000007E-2</v>
      </c>
      <c r="Q40" s="118">
        <v>0.17</v>
      </c>
      <c r="R40" s="118">
        <v>0.81</v>
      </c>
      <c r="S40" s="118"/>
      <c r="T40" s="118">
        <v>0.19</v>
      </c>
      <c r="U40" s="118">
        <v>73.290000000000006</v>
      </c>
      <c r="V40" s="118"/>
      <c r="W40" s="118">
        <v>47.68</v>
      </c>
      <c r="X40" s="118">
        <v>0</v>
      </c>
      <c r="Y40" s="118"/>
      <c r="Z40" s="118"/>
      <c r="AA40" s="118">
        <v>0</v>
      </c>
      <c r="AB40" s="118">
        <v>197.55</v>
      </c>
      <c r="AC40" s="118"/>
      <c r="AD40" s="118">
        <v>2370.64</v>
      </c>
      <c r="AE40" s="118"/>
      <c r="AF40" s="118"/>
      <c r="AG40" s="118"/>
      <c r="AH40" s="118"/>
      <c r="AI40" s="118">
        <v>93.92</v>
      </c>
      <c r="AJ40" s="118">
        <v>0.15</v>
      </c>
      <c r="AK40" s="118">
        <v>3.12</v>
      </c>
      <c r="AL40" s="118">
        <v>68.7</v>
      </c>
      <c r="AM40" s="118"/>
      <c r="AN40" s="118">
        <v>28.45</v>
      </c>
      <c r="AO40" s="118">
        <v>276.11</v>
      </c>
      <c r="AP40" s="118"/>
      <c r="AQ40" s="118">
        <v>0.49</v>
      </c>
      <c r="AR40" s="118"/>
      <c r="AS40" s="118"/>
      <c r="AT40" s="118"/>
      <c r="AU40" s="118"/>
      <c r="AV40" s="124"/>
      <c r="AW40" s="124"/>
      <c r="AX40" s="124"/>
      <c r="AY40" s="124"/>
      <c r="AZ40" s="124"/>
      <c r="BA40" s="124"/>
      <c r="BB40" s="124"/>
      <c r="BC40" s="124"/>
      <c r="BD40" s="124"/>
      <c r="BE40" s="124"/>
      <c r="BF40" s="124"/>
      <c r="BG40" s="124"/>
      <c r="BH40" s="124"/>
      <c r="BI40" s="124"/>
      <c r="BJ40" s="124"/>
      <c r="BK40" s="124"/>
      <c r="BL40" s="124"/>
      <c r="BM40" s="124"/>
      <c r="BN40" s="118"/>
      <c r="BO40" s="118">
        <v>3</v>
      </c>
      <c r="BP40" s="118"/>
      <c r="BQ40" s="118"/>
      <c r="BR40" s="118"/>
    </row>
    <row r="41" spans="1:70">
      <c r="A41" s="122">
        <v>21007</v>
      </c>
      <c r="B41" s="122" t="s">
        <v>229</v>
      </c>
      <c r="C41" s="122" t="s">
        <v>230</v>
      </c>
      <c r="D41" s="122" t="s">
        <v>231</v>
      </c>
      <c r="E41" s="122" t="s">
        <v>76</v>
      </c>
      <c r="F41" s="122" t="s">
        <v>1146</v>
      </c>
      <c r="G41" s="163" t="s">
        <v>1147</v>
      </c>
      <c r="H41" s="122">
        <v>10</v>
      </c>
      <c r="I41" s="122" t="s">
        <v>207</v>
      </c>
      <c r="J41" s="118">
        <v>29</v>
      </c>
      <c r="K41" s="118">
        <v>90.83</v>
      </c>
      <c r="L41" s="118">
        <v>2.44</v>
      </c>
      <c r="M41" s="118">
        <v>0.44</v>
      </c>
      <c r="N41" s="118">
        <v>2.79</v>
      </c>
      <c r="O41" s="118">
        <v>2.1</v>
      </c>
      <c r="P41" s="118">
        <v>0.12</v>
      </c>
      <c r="Q41" s="118">
        <v>0.24</v>
      </c>
      <c r="R41" s="118">
        <v>0.92</v>
      </c>
      <c r="S41" s="118">
        <v>0.36</v>
      </c>
      <c r="T41" s="118">
        <v>0.21</v>
      </c>
      <c r="U41" s="118">
        <v>36</v>
      </c>
      <c r="V41" s="118">
        <v>0</v>
      </c>
      <c r="W41" s="118">
        <v>37.200000000000003</v>
      </c>
      <c r="X41" s="118">
        <v>2.06</v>
      </c>
      <c r="Y41" s="118"/>
      <c r="Z41" s="118">
        <v>243</v>
      </c>
      <c r="AA41" s="118">
        <v>0</v>
      </c>
      <c r="AB41" s="118">
        <v>161.66999999999999</v>
      </c>
      <c r="AC41" s="118"/>
      <c r="AD41" s="118">
        <v>1940</v>
      </c>
      <c r="AE41" s="118">
        <v>6139</v>
      </c>
      <c r="AF41" s="118"/>
      <c r="AG41" s="118"/>
      <c r="AH41" s="118">
        <v>45.28</v>
      </c>
      <c r="AI41" s="118">
        <v>40</v>
      </c>
      <c r="AJ41" s="118">
        <v>0.13</v>
      </c>
      <c r="AK41" s="118">
        <v>2.2200000000000002</v>
      </c>
      <c r="AL41" s="118">
        <v>38</v>
      </c>
      <c r="AM41" s="118">
        <v>1.1399999999999999</v>
      </c>
      <c r="AN41" s="118">
        <v>104</v>
      </c>
      <c r="AO41" s="118">
        <v>436</v>
      </c>
      <c r="AP41" s="118">
        <v>1.38</v>
      </c>
      <c r="AQ41" s="118">
        <v>0.2</v>
      </c>
      <c r="AR41" s="118">
        <v>0.27</v>
      </c>
      <c r="AS41" s="118">
        <v>0.02</v>
      </c>
      <c r="AT41" s="118">
        <v>0.31</v>
      </c>
      <c r="AU41" s="118"/>
      <c r="AV41" s="124">
        <v>6.862E-2</v>
      </c>
      <c r="AW41" s="124">
        <v>0.22187000000000001</v>
      </c>
      <c r="AX41" s="124">
        <v>0.37258999999999998</v>
      </c>
      <c r="AY41" s="124">
        <v>0.20629</v>
      </c>
      <c r="AZ41" s="124">
        <v>4.1680000000000002E-2</v>
      </c>
      <c r="BA41" s="124">
        <v>3.5790000000000002E-2</v>
      </c>
      <c r="BB41" s="124">
        <v>0.26944000000000001</v>
      </c>
      <c r="BC41" s="124">
        <v>0.19028999999999999</v>
      </c>
      <c r="BD41" s="124">
        <v>7.4099999999999999E-2</v>
      </c>
      <c r="BE41" s="124">
        <v>0.24502000000000002</v>
      </c>
      <c r="BF41" s="124">
        <v>0.2366</v>
      </c>
      <c r="BG41" s="124">
        <v>0.25344</v>
      </c>
      <c r="BH41" s="124">
        <v>0.49636000000000002</v>
      </c>
      <c r="BI41" s="124">
        <v>0.60455999999999999</v>
      </c>
      <c r="BJ41" s="124">
        <v>0.23155000000000001</v>
      </c>
      <c r="BK41" s="124">
        <v>0.22103</v>
      </c>
      <c r="BL41" s="124">
        <v>0.19577</v>
      </c>
      <c r="BM41" s="124">
        <v>0.14566999999999999</v>
      </c>
      <c r="BN41" s="118">
        <v>20.329999999999998</v>
      </c>
      <c r="BO41" s="118">
        <v>38.270000000000003</v>
      </c>
      <c r="BP41" s="118"/>
      <c r="BQ41" s="118"/>
      <c r="BR41" s="118"/>
    </row>
    <row r="42" spans="1:70" ht="15.75" customHeight="1">
      <c r="A42" s="122">
        <v>21008</v>
      </c>
      <c r="B42" s="122" t="s">
        <v>233</v>
      </c>
      <c r="C42" s="122" t="s">
        <v>234</v>
      </c>
      <c r="D42" s="122" t="s">
        <v>235</v>
      </c>
      <c r="E42" s="122" t="s">
        <v>76</v>
      </c>
      <c r="F42" s="122" t="s">
        <v>1148</v>
      </c>
      <c r="G42" s="163" t="s">
        <v>1149</v>
      </c>
      <c r="H42" s="122">
        <v>10</v>
      </c>
      <c r="I42" s="122" t="s">
        <v>207</v>
      </c>
      <c r="J42" s="118">
        <v>51</v>
      </c>
      <c r="K42" s="118">
        <v>81.819999999999993</v>
      </c>
      <c r="L42" s="118">
        <v>4.8</v>
      </c>
      <c r="M42" s="118">
        <v>0.25</v>
      </c>
      <c r="N42" s="118">
        <v>5.21</v>
      </c>
      <c r="O42" s="118">
        <v>4.3499999999999996</v>
      </c>
      <c r="P42" s="118">
        <v>0.03</v>
      </c>
      <c r="Q42" s="118">
        <v>0.06</v>
      </c>
      <c r="R42" s="118">
        <v>0.7</v>
      </c>
      <c r="S42" s="118">
        <v>0.33</v>
      </c>
      <c r="T42" s="118">
        <v>0.19</v>
      </c>
      <c r="U42" s="118">
        <v>85</v>
      </c>
      <c r="V42" s="118"/>
      <c r="W42" s="118">
        <v>43.37</v>
      </c>
      <c r="X42" s="118">
        <v>0</v>
      </c>
      <c r="Y42" s="118"/>
      <c r="Z42" s="118">
        <v>448</v>
      </c>
      <c r="AA42" s="118">
        <v>0</v>
      </c>
      <c r="AB42" s="118">
        <v>908</v>
      </c>
      <c r="AC42" s="118"/>
      <c r="AD42" s="118">
        <v>10900</v>
      </c>
      <c r="AE42" s="118">
        <v>1861</v>
      </c>
      <c r="AF42" s="118"/>
      <c r="AG42" s="118"/>
      <c r="AH42" s="118">
        <v>126</v>
      </c>
      <c r="AI42" s="118">
        <v>639.5</v>
      </c>
      <c r="AJ42" s="118">
        <v>0.36</v>
      </c>
      <c r="AK42" s="118">
        <v>14.4</v>
      </c>
      <c r="AL42" s="118">
        <v>265</v>
      </c>
      <c r="AM42" s="118">
        <v>1.84</v>
      </c>
      <c r="AN42" s="118">
        <v>71.8</v>
      </c>
      <c r="AO42" s="118">
        <v>679</v>
      </c>
      <c r="AP42" s="118">
        <v>19.41</v>
      </c>
      <c r="AQ42" s="118">
        <v>0.32</v>
      </c>
      <c r="AR42" s="118">
        <v>0.09</v>
      </c>
      <c r="AS42" s="118">
        <v>0.02</v>
      </c>
      <c r="AT42" s="118">
        <v>0.19</v>
      </c>
      <c r="AU42" s="118"/>
      <c r="AV42" s="124">
        <v>6.9030000000000008E-2</v>
      </c>
      <c r="AW42" s="124">
        <v>0.14337</v>
      </c>
      <c r="AX42" s="124">
        <v>0.27116000000000001</v>
      </c>
      <c r="AY42" s="124">
        <v>0.17665</v>
      </c>
      <c r="AZ42" s="124">
        <v>4.4249999999999998E-2</v>
      </c>
      <c r="BA42" s="124">
        <v>2.513E-2</v>
      </c>
      <c r="BB42" s="124">
        <v>0.17699999999999999</v>
      </c>
      <c r="BC42" s="124">
        <v>0.15575999999999998</v>
      </c>
      <c r="BD42" s="124">
        <v>3.1510000000000003E-2</v>
      </c>
      <c r="BE42" s="124">
        <v>0.14796999999999999</v>
      </c>
      <c r="BF42" s="124">
        <v>0.29807</v>
      </c>
      <c r="BG42" s="124">
        <v>0.20461000000000001</v>
      </c>
      <c r="BH42" s="124">
        <v>0.38480000000000003</v>
      </c>
      <c r="BI42" s="124">
        <v>0.41666000000000003</v>
      </c>
      <c r="BJ42" s="124">
        <v>0.21593999999999999</v>
      </c>
      <c r="BK42" s="124">
        <v>0.19081000000000001</v>
      </c>
      <c r="BL42" s="124">
        <v>0.18727000000000002</v>
      </c>
      <c r="BM42" s="124">
        <v>0.12142</v>
      </c>
      <c r="BN42" s="118">
        <v>26.19</v>
      </c>
      <c r="BO42" s="118">
        <v>7.4</v>
      </c>
      <c r="BP42" s="118"/>
      <c r="BQ42" s="118"/>
      <c r="BR42" s="118"/>
    </row>
    <row r="43" spans="1:70">
      <c r="A43" s="122">
        <v>21009</v>
      </c>
      <c r="B43" s="122" t="s">
        <v>237</v>
      </c>
      <c r="C43" s="122" t="s">
        <v>238</v>
      </c>
      <c r="D43" s="122" t="s">
        <v>239</v>
      </c>
      <c r="E43" s="122" t="s">
        <v>76</v>
      </c>
      <c r="F43" s="122" t="s">
        <v>1150</v>
      </c>
      <c r="G43" s="163" t="s">
        <v>1151</v>
      </c>
      <c r="H43" s="122">
        <v>10</v>
      </c>
      <c r="I43" s="122" t="s">
        <v>207</v>
      </c>
      <c r="J43" s="118">
        <v>32</v>
      </c>
      <c r="K43" s="118">
        <v>87.56</v>
      </c>
      <c r="L43" s="118">
        <v>2.88</v>
      </c>
      <c r="M43" s="118">
        <v>0.27</v>
      </c>
      <c r="N43" s="118">
        <v>1.74</v>
      </c>
      <c r="O43" s="118">
        <v>5.75</v>
      </c>
      <c r="P43" s="118">
        <v>0.1</v>
      </c>
      <c r="Q43" s="118">
        <v>0.55000000000000004</v>
      </c>
      <c r="R43" s="118">
        <v>1.26</v>
      </c>
      <c r="S43" s="118"/>
      <c r="T43" s="118">
        <v>0.6</v>
      </c>
      <c r="U43" s="118">
        <v>123</v>
      </c>
      <c r="V43" s="118"/>
      <c r="W43" s="118">
        <v>54.43</v>
      </c>
      <c r="X43" s="118">
        <v>0</v>
      </c>
      <c r="Y43" s="118"/>
      <c r="Z43" s="118"/>
      <c r="AA43" s="118">
        <v>0</v>
      </c>
      <c r="AB43" s="118">
        <v>305.25</v>
      </c>
      <c r="AC43" s="118"/>
      <c r="AD43" s="118">
        <v>3660</v>
      </c>
      <c r="AE43" s="118"/>
      <c r="AF43" s="118"/>
      <c r="AG43" s="118"/>
      <c r="AH43" s="118"/>
      <c r="AI43" s="118">
        <v>119.66</v>
      </c>
      <c r="AJ43" s="118">
        <v>0.02</v>
      </c>
      <c r="AK43" s="118">
        <v>9.6999999999999993</v>
      </c>
      <c r="AL43" s="118">
        <v>41.83</v>
      </c>
      <c r="AM43" s="118">
        <v>0.123</v>
      </c>
      <c r="AN43" s="118">
        <v>59.97</v>
      </c>
      <c r="AO43" s="118">
        <v>224.89</v>
      </c>
      <c r="AP43" s="118">
        <v>0.9</v>
      </c>
      <c r="AQ43" s="118">
        <v>1.47</v>
      </c>
      <c r="AR43" s="118"/>
      <c r="AS43" s="118"/>
      <c r="AT43" s="118"/>
      <c r="AU43" s="118"/>
      <c r="AV43" s="124"/>
      <c r="AW43" s="124"/>
      <c r="AX43" s="124"/>
      <c r="AY43" s="124"/>
      <c r="AZ43" s="124"/>
      <c r="BA43" s="124"/>
      <c r="BB43" s="124"/>
      <c r="BC43" s="124"/>
      <c r="BD43" s="124"/>
      <c r="BE43" s="124"/>
      <c r="BF43" s="124"/>
      <c r="BG43" s="124"/>
      <c r="BH43" s="124"/>
      <c r="BI43" s="124"/>
      <c r="BJ43" s="124"/>
      <c r="BK43" s="124"/>
      <c r="BL43" s="124"/>
      <c r="BM43" s="124"/>
      <c r="BN43" s="118"/>
      <c r="BO43" s="118">
        <v>14</v>
      </c>
      <c r="BP43" s="118"/>
      <c r="BQ43" s="118"/>
      <c r="BR43" s="118"/>
    </row>
    <row r="44" spans="1:70">
      <c r="A44" s="122">
        <v>21010</v>
      </c>
      <c r="B44" s="122" t="s">
        <v>241</v>
      </c>
      <c r="C44" s="122" t="s">
        <v>242</v>
      </c>
      <c r="D44" s="122" t="s">
        <v>243</v>
      </c>
      <c r="E44" s="122" t="s">
        <v>76</v>
      </c>
      <c r="F44" s="122">
        <v>40018</v>
      </c>
      <c r="G44" s="163" t="s">
        <v>244</v>
      </c>
      <c r="H44" s="122">
        <v>10</v>
      </c>
      <c r="I44" s="122" t="s">
        <v>207</v>
      </c>
      <c r="J44" s="118">
        <v>68</v>
      </c>
      <c r="K44" s="118">
        <v>82.27</v>
      </c>
      <c r="L44" s="118">
        <v>1.31</v>
      </c>
      <c r="M44" s="118">
        <v>0.65</v>
      </c>
      <c r="N44" s="118">
        <v>13.73</v>
      </c>
      <c r="O44" s="118">
        <v>1</v>
      </c>
      <c r="P44" s="118">
        <v>0.34</v>
      </c>
      <c r="Q44" s="118">
        <v>0.17</v>
      </c>
      <c r="R44" s="118">
        <v>0.6</v>
      </c>
      <c r="S44" s="118"/>
      <c r="T44" s="118"/>
      <c r="U44" s="118"/>
      <c r="V44" s="118"/>
      <c r="W44" s="118">
        <v>26</v>
      </c>
      <c r="X44" s="118">
        <v>0</v>
      </c>
      <c r="Y44" s="118"/>
      <c r="Z44" s="118"/>
      <c r="AA44" s="118">
        <v>0</v>
      </c>
      <c r="AB44" s="118">
        <v>155</v>
      </c>
      <c r="AC44" s="118"/>
      <c r="AD44" s="118">
        <v>1859</v>
      </c>
      <c r="AE44" s="118"/>
      <c r="AF44" s="118"/>
      <c r="AG44" s="118"/>
      <c r="AH44" s="118"/>
      <c r="AI44" s="118">
        <v>39</v>
      </c>
      <c r="AJ44" s="118">
        <v>0.23</v>
      </c>
      <c r="AK44" s="118">
        <v>1.1000000000000001</v>
      </c>
      <c r="AL44" s="118"/>
      <c r="AM44" s="118"/>
      <c r="AN44" s="118">
        <v>74</v>
      </c>
      <c r="AO44" s="118">
        <v>231</v>
      </c>
      <c r="AP44" s="118"/>
      <c r="AQ44" s="118">
        <v>0.3</v>
      </c>
      <c r="AR44" s="118"/>
      <c r="AS44" s="118"/>
      <c r="AT44" s="118"/>
      <c r="AU44" s="118"/>
      <c r="AV44" s="124"/>
      <c r="AW44" s="124"/>
      <c r="AX44" s="124"/>
      <c r="AY44" s="124"/>
      <c r="AZ44" s="124"/>
      <c r="BA44" s="124"/>
      <c r="BB44" s="124"/>
      <c r="BC44" s="124"/>
      <c r="BD44" s="124"/>
      <c r="BE44" s="124"/>
      <c r="BF44" s="124"/>
      <c r="BG44" s="124"/>
      <c r="BH44" s="124"/>
      <c r="BI44" s="124"/>
      <c r="BJ44" s="124"/>
      <c r="BK44" s="124"/>
      <c r="BL44" s="124"/>
      <c r="BM44" s="124"/>
      <c r="BN44" s="118"/>
      <c r="BO44" s="118"/>
      <c r="BP44" s="118"/>
      <c r="BQ44" s="118"/>
      <c r="BR44" s="118"/>
    </row>
    <row r="45" spans="1:70" ht="31.5" customHeight="1">
      <c r="A45" s="122">
        <v>21011</v>
      </c>
      <c r="B45" s="122" t="s">
        <v>245</v>
      </c>
      <c r="C45" s="122" t="s">
        <v>246</v>
      </c>
      <c r="D45" s="122" t="s">
        <v>247</v>
      </c>
      <c r="E45" s="122" t="s">
        <v>1152</v>
      </c>
      <c r="F45" s="122" t="s">
        <v>1153</v>
      </c>
      <c r="G45" s="163" t="s">
        <v>1154</v>
      </c>
      <c r="H45" s="122">
        <v>10</v>
      </c>
      <c r="I45" s="122" t="s">
        <v>207</v>
      </c>
      <c r="J45" s="118"/>
      <c r="K45" s="118"/>
      <c r="L45" s="118"/>
      <c r="M45" s="118"/>
      <c r="N45" s="118"/>
      <c r="O45" s="118"/>
      <c r="P45" s="118"/>
      <c r="Q45" s="118"/>
      <c r="R45" s="118"/>
      <c r="S45" s="118"/>
      <c r="T45" s="118"/>
      <c r="U45" s="118"/>
      <c r="V45" s="118"/>
      <c r="W45" s="118">
        <v>83.5</v>
      </c>
      <c r="X45" s="118"/>
      <c r="Y45" s="118"/>
      <c r="Z45" s="118"/>
      <c r="AA45" s="118"/>
      <c r="AB45" s="118"/>
      <c r="AC45" s="118"/>
      <c r="AD45" s="118"/>
      <c r="AE45" s="118"/>
      <c r="AF45" s="118"/>
      <c r="AG45" s="118"/>
      <c r="AH45" s="118"/>
      <c r="AI45" s="118">
        <v>1519.9</v>
      </c>
      <c r="AJ45" s="118">
        <v>8.6</v>
      </c>
      <c r="AK45" s="118">
        <v>19.2</v>
      </c>
      <c r="AL45" s="118">
        <v>408.5</v>
      </c>
      <c r="AM45" s="118">
        <v>3</v>
      </c>
      <c r="AN45" s="118">
        <v>610.79999999999995</v>
      </c>
      <c r="AO45" s="118">
        <v>2828.6</v>
      </c>
      <c r="AP45" s="118"/>
      <c r="AQ45" s="118">
        <v>8.1</v>
      </c>
      <c r="AR45" s="118"/>
      <c r="AS45" s="118"/>
      <c r="AT45" s="118"/>
      <c r="AU45" s="118"/>
      <c r="AV45" s="118" t="s">
        <v>1098</v>
      </c>
      <c r="AW45" s="118" t="s">
        <v>1098</v>
      </c>
      <c r="AX45" s="118" t="s">
        <v>1098</v>
      </c>
      <c r="AY45" s="118" t="s">
        <v>1098</v>
      </c>
      <c r="AZ45" s="118" t="s">
        <v>1098</v>
      </c>
      <c r="BA45" s="118" t="s">
        <v>1098</v>
      </c>
      <c r="BB45" s="118" t="s">
        <v>1098</v>
      </c>
      <c r="BC45" s="118" t="s">
        <v>1098</v>
      </c>
      <c r="BD45" s="118" t="s">
        <v>1098</v>
      </c>
      <c r="BE45" s="118" t="s">
        <v>1098</v>
      </c>
      <c r="BF45" s="118" t="s">
        <v>1098</v>
      </c>
      <c r="BG45" s="118" t="s">
        <v>1098</v>
      </c>
      <c r="BH45" s="118" t="s">
        <v>1098</v>
      </c>
      <c r="BI45" s="118" t="s">
        <v>1098</v>
      </c>
      <c r="BJ45" s="118" t="s">
        <v>1098</v>
      </c>
      <c r="BK45" s="118" t="s">
        <v>1098</v>
      </c>
      <c r="BL45" s="118" t="s">
        <v>1098</v>
      </c>
      <c r="BM45" s="118" t="s">
        <v>1098</v>
      </c>
      <c r="BN45" s="118"/>
      <c r="BO45" s="118"/>
      <c r="BP45" s="118"/>
      <c r="BQ45" s="118"/>
      <c r="BR45" s="118"/>
    </row>
    <row r="46" spans="1:70" ht="16.5" customHeight="1">
      <c r="A46" s="122">
        <v>21012</v>
      </c>
      <c r="B46" s="122" t="s">
        <v>248</v>
      </c>
      <c r="C46" s="122" t="s">
        <v>249</v>
      </c>
      <c r="D46" s="122" t="s">
        <v>250</v>
      </c>
      <c r="E46" s="122" t="s">
        <v>76</v>
      </c>
      <c r="F46" s="122" t="s">
        <v>1155</v>
      </c>
      <c r="G46" s="163" t="s">
        <v>1156</v>
      </c>
      <c r="H46" s="122">
        <v>10</v>
      </c>
      <c r="I46" s="122" t="s">
        <v>207</v>
      </c>
      <c r="J46" s="118">
        <v>27.72</v>
      </c>
      <c r="K46" s="118">
        <v>88.77</v>
      </c>
      <c r="L46" s="118">
        <v>2.5</v>
      </c>
      <c r="M46" s="118">
        <v>0.44</v>
      </c>
      <c r="N46" s="118">
        <v>2.56</v>
      </c>
      <c r="O46" s="118">
        <v>4.01</v>
      </c>
      <c r="P46" s="118">
        <v>0.06</v>
      </c>
      <c r="Q46" s="118">
        <v>0.51</v>
      </c>
      <c r="R46" s="118">
        <v>0.54</v>
      </c>
      <c r="S46" s="118">
        <v>0.41</v>
      </c>
      <c r="T46" s="118">
        <v>0.17</v>
      </c>
      <c r="U46" s="118">
        <v>42.55</v>
      </c>
      <c r="V46" s="118"/>
      <c r="W46" s="118">
        <v>41.03</v>
      </c>
      <c r="X46" s="118">
        <v>1.01</v>
      </c>
      <c r="Y46" s="118">
        <v>0.25</v>
      </c>
      <c r="Z46" s="118">
        <v>224</v>
      </c>
      <c r="AA46" s="118"/>
      <c r="AB46" s="118"/>
      <c r="AC46" s="118"/>
      <c r="AD46" s="118">
        <v>1075</v>
      </c>
      <c r="AE46" s="118"/>
      <c r="AF46" s="118"/>
      <c r="AG46" s="118"/>
      <c r="AH46" s="118"/>
      <c r="AI46" s="118">
        <v>211</v>
      </c>
      <c r="AJ46" s="118">
        <v>0.1</v>
      </c>
      <c r="AK46" s="118">
        <v>2.66</v>
      </c>
      <c r="AL46" s="118">
        <v>48.41</v>
      </c>
      <c r="AM46" s="118">
        <v>1.58</v>
      </c>
      <c r="AN46" s="118">
        <v>37.549999999999997</v>
      </c>
      <c r="AO46" s="118">
        <v>438</v>
      </c>
      <c r="AP46" s="118">
        <v>1.4</v>
      </c>
      <c r="AQ46" s="118">
        <v>0.98</v>
      </c>
      <c r="AR46" s="118">
        <v>0.12</v>
      </c>
      <c r="AS46" s="118">
        <v>0.09</v>
      </c>
      <c r="AT46" s="118">
        <v>0.22</v>
      </c>
      <c r="AU46" s="118"/>
      <c r="AV46" s="124">
        <v>4.3999999999999997E-2</v>
      </c>
      <c r="AW46" s="124">
        <v>0.12075</v>
      </c>
      <c r="AX46" s="124">
        <v>0.22475000000000001</v>
      </c>
      <c r="AY46" s="124">
        <v>9.425E-2</v>
      </c>
      <c r="AZ46" s="124">
        <v>4.4249999999999998E-2</v>
      </c>
      <c r="BA46" s="124">
        <v>2.2249999999999999E-2</v>
      </c>
      <c r="BB46" s="124">
        <v>0.14324999999999999</v>
      </c>
      <c r="BC46" s="124">
        <v>0.12375</v>
      </c>
      <c r="BD46" s="124">
        <v>2.7E-2</v>
      </c>
      <c r="BE46" s="124">
        <v>0.15175</v>
      </c>
      <c r="BF46" s="124">
        <v>0.16300000000000001</v>
      </c>
      <c r="BG46" s="124">
        <v>0.126</v>
      </c>
      <c r="BH46" s="124">
        <v>0.251</v>
      </c>
      <c r="BI46" s="124">
        <v>0.34200000000000003</v>
      </c>
      <c r="BJ46" s="124">
        <v>0.17949999999999999</v>
      </c>
      <c r="BK46" s="124">
        <v>0.11799999999999999</v>
      </c>
      <c r="BL46" s="124">
        <v>0.104</v>
      </c>
      <c r="BM46" s="124">
        <v>9.9500000000000005E-2</v>
      </c>
      <c r="BN46" s="118">
        <v>42.24</v>
      </c>
      <c r="BO46" s="118">
        <v>18.48</v>
      </c>
      <c r="BP46" s="118"/>
      <c r="BQ46" s="118"/>
      <c r="BR46" s="118"/>
    </row>
    <row r="47" spans="1:70" ht="13.5" customHeight="1">
      <c r="A47" s="122">
        <v>21013</v>
      </c>
      <c r="B47" s="122" t="s">
        <v>252</v>
      </c>
      <c r="C47" s="122" t="s">
        <v>253</v>
      </c>
      <c r="D47" s="122" t="s">
        <v>254</v>
      </c>
      <c r="E47" s="122" t="s">
        <v>76</v>
      </c>
      <c r="F47" s="122" t="s">
        <v>1157</v>
      </c>
      <c r="G47" s="163" t="s">
        <v>1158</v>
      </c>
      <c r="H47" s="122">
        <v>10</v>
      </c>
      <c r="I47" s="122" t="s">
        <v>207</v>
      </c>
      <c r="J47" s="118">
        <v>30.35</v>
      </c>
      <c r="K47" s="118">
        <v>88.17</v>
      </c>
      <c r="L47" s="118">
        <v>3.52</v>
      </c>
      <c r="M47" s="118">
        <v>0.51</v>
      </c>
      <c r="N47" s="118">
        <v>2.41</v>
      </c>
      <c r="O47" s="118">
        <v>3.92</v>
      </c>
      <c r="P47" s="118">
        <v>0.08</v>
      </c>
      <c r="Q47" s="118">
        <v>0.18</v>
      </c>
      <c r="R47" s="118">
        <v>0.57999999999999996</v>
      </c>
      <c r="S47" s="118">
        <v>0.26</v>
      </c>
      <c r="T47" s="118">
        <v>0.18</v>
      </c>
      <c r="U47" s="118">
        <v>110</v>
      </c>
      <c r="V47" s="118">
        <v>0</v>
      </c>
      <c r="W47" s="118">
        <v>60.32</v>
      </c>
      <c r="X47" s="118">
        <v>5.4</v>
      </c>
      <c r="Y47" s="118">
        <v>0.56999999999999995</v>
      </c>
      <c r="Z47" s="118">
        <v>192</v>
      </c>
      <c r="AA47" s="118">
        <v>0</v>
      </c>
      <c r="AB47" s="118">
        <v>124</v>
      </c>
      <c r="AC47" s="118"/>
      <c r="AD47" s="118">
        <v>2619</v>
      </c>
      <c r="AE47" s="118"/>
      <c r="AF47" s="118"/>
      <c r="AG47" s="118"/>
      <c r="AH47" s="118"/>
      <c r="AI47" s="118">
        <v>191</v>
      </c>
      <c r="AJ47" s="118">
        <v>0.24</v>
      </c>
      <c r="AK47" s="118">
        <v>2.84</v>
      </c>
      <c r="AL47" s="118">
        <v>51.63</v>
      </c>
      <c r="AM47" s="118">
        <v>0.41</v>
      </c>
      <c r="AN47" s="118">
        <v>71.599999999999994</v>
      </c>
      <c r="AO47" s="118">
        <v>403</v>
      </c>
      <c r="AP47" s="118">
        <v>8.0299999999999994</v>
      </c>
      <c r="AQ47" s="118">
        <v>0.68</v>
      </c>
      <c r="AR47" s="118">
        <v>0.14000000000000001</v>
      </c>
      <c r="AS47" s="118">
        <v>0.03</v>
      </c>
      <c r="AT47" s="118">
        <v>0.32</v>
      </c>
      <c r="AU47" s="118"/>
      <c r="AV47" s="124">
        <v>6.7229999999999998E-2</v>
      </c>
      <c r="AW47" s="124">
        <v>0.11334000000000001</v>
      </c>
      <c r="AX47" s="124">
        <v>0.23125999999999999</v>
      </c>
      <c r="AY47" s="124">
        <v>0.19078000000000001</v>
      </c>
      <c r="AZ47" s="124">
        <v>2.605E-2</v>
      </c>
      <c r="BA47" s="124">
        <v>3.5900000000000001E-2</v>
      </c>
      <c r="BB47" s="124">
        <v>0.12426000000000001</v>
      </c>
      <c r="BC47" s="124">
        <v>0.14362</v>
      </c>
      <c r="BD47" s="124">
        <v>4.6109999999999998E-2</v>
      </c>
      <c r="BE47" s="124">
        <v>0.12390000000000001</v>
      </c>
      <c r="BF47" s="124">
        <v>0.23232</v>
      </c>
      <c r="BG47" s="124">
        <v>0.20205000000000001</v>
      </c>
      <c r="BH47" s="124">
        <v>0.38227</v>
      </c>
      <c r="BI47" s="124">
        <v>0.65717999999999999</v>
      </c>
      <c r="BJ47" s="124">
        <v>0.18690999999999999</v>
      </c>
      <c r="BK47" s="124">
        <v>0.16368000000000002</v>
      </c>
      <c r="BL47" s="124">
        <v>0.17987</v>
      </c>
      <c r="BM47" s="124">
        <v>0.11298999999999999</v>
      </c>
      <c r="BN47" s="118">
        <v>38.020000000000003</v>
      </c>
      <c r="BO47" s="118">
        <v>34.69</v>
      </c>
      <c r="BP47" s="118"/>
      <c r="BQ47" s="118"/>
      <c r="BR47" s="118"/>
    </row>
    <row r="48" spans="1:70">
      <c r="A48" s="122">
        <v>21014</v>
      </c>
      <c r="B48" s="122" t="s">
        <v>255</v>
      </c>
      <c r="C48" s="122" t="s">
        <v>256</v>
      </c>
      <c r="D48" s="122" t="s">
        <v>195</v>
      </c>
      <c r="E48" s="122" t="s">
        <v>76</v>
      </c>
      <c r="F48" s="122" t="s">
        <v>1159</v>
      </c>
      <c r="G48" s="163" t="s">
        <v>1160</v>
      </c>
      <c r="H48" s="122">
        <v>10</v>
      </c>
      <c r="I48" s="122" t="s">
        <v>207</v>
      </c>
      <c r="J48" s="118">
        <v>45</v>
      </c>
      <c r="K48" s="118">
        <v>84.01</v>
      </c>
      <c r="L48" s="118">
        <v>4.0199999999999996</v>
      </c>
      <c r="M48" s="118">
        <v>0.77</v>
      </c>
      <c r="N48" s="118">
        <v>1.77</v>
      </c>
      <c r="O48" s="118">
        <v>7.33</v>
      </c>
      <c r="P48" s="118">
        <v>0.1</v>
      </c>
      <c r="Q48" s="118">
        <v>0.14000000000000001</v>
      </c>
      <c r="R48" s="118">
        <v>1.1299999999999999</v>
      </c>
      <c r="S48" s="118"/>
      <c r="T48" s="118">
        <v>0.14000000000000001</v>
      </c>
      <c r="U48" s="118">
        <v>80</v>
      </c>
      <c r="V48" s="118"/>
      <c r="W48" s="118">
        <v>27</v>
      </c>
      <c r="X48" s="118">
        <v>0</v>
      </c>
      <c r="Y48" s="118"/>
      <c r="Z48" s="118">
        <v>302</v>
      </c>
      <c r="AA48" s="118">
        <v>0</v>
      </c>
      <c r="AB48" s="118">
        <v>307.92</v>
      </c>
      <c r="AC48" s="118">
        <v>41.28</v>
      </c>
      <c r="AD48" s="118">
        <v>3640</v>
      </c>
      <c r="AE48" s="118"/>
      <c r="AF48" s="118"/>
      <c r="AG48" s="118"/>
      <c r="AH48" s="118"/>
      <c r="AI48" s="118">
        <v>194.09</v>
      </c>
      <c r="AJ48" s="118">
        <v>0.19</v>
      </c>
      <c r="AK48" s="118">
        <v>2.67</v>
      </c>
      <c r="AL48" s="118">
        <v>50.05</v>
      </c>
      <c r="AM48" s="118"/>
      <c r="AN48" s="118">
        <v>81</v>
      </c>
      <c r="AO48" s="118">
        <v>496.55</v>
      </c>
      <c r="AP48" s="118">
        <v>0.9</v>
      </c>
      <c r="AQ48" s="118">
        <v>0.32</v>
      </c>
      <c r="AR48" s="118"/>
      <c r="AS48" s="118"/>
      <c r="AT48" s="118"/>
      <c r="AU48" s="118"/>
      <c r="AV48" s="124"/>
      <c r="AW48" s="124"/>
      <c r="AX48" s="124"/>
      <c r="AY48" s="124"/>
      <c r="AZ48" s="124"/>
      <c r="BA48" s="124"/>
      <c r="BB48" s="124"/>
      <c r="BC48" s="124"/>
      <c r="BD48" s="124"/>
      <c r="BE48" s="124"/>
      <c r="BF48" s="124"/>
      <c r="BG48" s="124"/>
      <c r="BH48" s="124"/>
      <c r="BI48" s="124"/>
      <c r="BJ48" s="124"/>
      <c r="BK48" s="124"/>
      <c r="BL48" s="124"/>
      <c r="BM48" s="124"/>
      <c r="BN48" s="118"/>
      <c r="BO48" s="118"/>
      <c r="BP48" s="118"/>
      <c r="BQ48" s="118"/>
      <c r="BR48" s="118"/>
    </row>
    <row r="49" spans="1:70" ht="39.75" customHeight="1">
      <c r="A49" s="122">
        <v>21015</v>
      </c>
      <c r="B49" s="122" t="s">
        <v>258</v>
      </c>
      <c r="C49" s="122" t="s">
        <v>259</v>
      </c>
      <c r="D49" s="122" t="s">
        <v>260</v>
      </c>
      <c r="E49" s="122" t="s">
        <v>76</v>
      </c>
      <c r="F49" s="122" t="s">
        <v>1161</v>
      </c>
      <c r="G49" s="163" t="s">
        <v>1162</v>
      </c>
      <c r="H49" s="122">
        <v>10</v>
      </c>
      <c r="I49" s="122" t="s">
        <v>207</v>
      </c>
      <c r="J49" s="118">
        <v>32</v>
      </c>
      <c r="K49" s="118">
        <v>90.71</v>
      </c>
      <c r="L49" s="118">
        <v>1.85</v>
      </c>
      <c r="M49" s="118">
        <v>0.69</v>
      </c>
      <c r="N49" s="118">
        <v>3.37</v>
      </c>
      <c r="O49" s="118">
        <v>2.58</v>
      </c>
      <c r="P49" s="118">
        <v>0.08</v>
      </c>
      <c r="Q49" s="118">
        <v>0.09</v>
      </c>
      <c r="R49" s="118">
        <v>0.8</v>
      </c>
      <c r="S49" s="118">
        <v>0.14000000000000001</v>
      </c>
      <c r="T49" s="118">
        <v>0.18</v>
      </c>
      <c r="U49" s="118">
        <v>69.66</v>
      </c>
      <c r="V49" s="118"/>
      <c r="W49" s="118">
        <v>68.849999999999994</v>
      </c>
      <c r="X49" s="118">
        <v>1.39</v>
      </c>
      <c r="Y49" s="118"/>
      <c r="Z49" s="118">
        <v>185</v>
      </c>
      <c r="AA49" s="118">
        <v>0</v>
      </c>
      <c r="AB49" s="118">
        <v>155.91999999999999</v>
      </c>
      <c r="AC49" s="118">
        <v>0</v>
      </c>
      <c r="AD49" s="118">
        <v>1870</v>
      </c>
      <c r="AE49" s="118">
        <v>1741</v>
      </c>
      <c r="AF49" s="118"/>
      <c r="AG49" s="118"/>
      <c r="AH49" s="118">
        <v>22.71</v>
      </c>
      <c r="AI49" s="118">
        <v>146.96</v>
      </c>
      <c r="AJ49" s="118">
        <v>7.0000000000000007E-2</v>
      </c>
      <c r="AK49" s="118">
        <v>2.84</v>
      </c>
      <c r="AL49" s="118">
        <v>20.2</v>
      </c>
      <c r="AM49" s="118">
        <v>0.9</v>
      </c>
      <c r="AN49" s="118">
        <v>41.17</v>
      </c>
      <c r="AO49" s="118">
        <v>259.67</v>
      </c>
      <c r="AP49" s="118">
        <v>33.049999999999997</v>
      </c>
      <c r="AQ49" s="118">
        <v>0.48</v>
      </c>
      <c r="AR49" s="118">
        <v>0.15</v>
      </c>
      <c r="AS49" s="118">
        <v>0.03</v>
      </c>
      <c r="AT49" s="118">
        <v>0.25</v>
      </c>
      <c r="AU49" s="118"/>
      <c r="AV49" s="124">
        <v>4.351E-2</v>
      </c>
      <c r="AW49" s="124">
        <v>7.9700000000000007E-2</v>
      </c>
      <c r="AX49" s="124">
        <v>0.15296000000000001</v>
      </c>
      <c r="AY49" s="124">
        <v>0.11855</v>
      </c>
      <c r="AZ49" s="124">
        <v>2.2420000000000002E-2</v>
      </c>
      <c r="BA49" s="124">
        <v>1.9089999999999999E-2</v>
      </c>
      <c r="BB49" s="124">
        <v>0.13319999999999999</v>
      </c>
      <c r="BC49" s="124">
        <v>8.8579999999999992E-2</v>
      </c>
      <c r="BD49" s="124">
        <v>3.0859999999999999E-2</v>
      </c>
      <c r="BE49" s="124">
        <v>9.4569999999999987E-2</v>
      </c>
      <c r="BF49" s="124">
        <v>0.17538000000000001</v>
      </c>
      <c r="BG49" s="124">
        <v>0.10656</v>
      </c>
      <c r="BH49" s="124">
        <v>0.21556</v>
      </c>
      <c r="BI49" s="124">
        <v>0.37962000000000001</v>
      </c>
      <c r="BJ49" s="124">
        <v>0.1221</v>
      </c>
      <c r="BK49" s="124">
        <v>8.9689999999999992E-2</v>
      </c>
      <c r="BL49" s="124">
        <v>0.10501000000000001</v>
      </c>
      <c r="BM49" s="124">
        <v>6.7709999999999992E-2</v>
      </c>
      <c r="BN49" s="118">
        <v>27.57</v>
      </c>
      <c r="BO49" s="118">
        <v>2</v>
      </c>
      <c r="BP49" s="118"/>
      <c r="BQ49" s="118"/>
      <c r="BR49" s="118"/>
    </row>
    <row r="50" spans="1:70" ht="18" customHeight="1">
      <c r="A50" s="122">
        <v>21016</v>
      </c>
      <c r="B50" s="122" t="s">
        <v>262</v>
      </c>
      <c r="C50" s="122" t="s">
        <v>263</v>
      </c>
      <c r="D50" s="122" t="s">
        <v>264</v>
      </c>
      <c r="E50" s="122" t="s">
        <v>76</v>
      </c>
      <c r="F50" s="122" t="s">
        <v>1163</v>
      </c>
      <c r="G50" s="163" t="s">
        <v>1164</v>
      </c>
      <c r="H50" s="122">
        <v>10</v>
      </c>
      <c r="I50" s="122" t="s">
        <v>207</v>
      </c>
      <c r="J50" s="118">
        <v>30</v>
      </c>
      <c r="K50" s="118">
        <v>87.88</v>
      </c>
      <c r="L50" s="118">
        <v>3.34</v>
      </c>
      <c r="M50" s="118">
        <v>0.52</v>
      </c>
      <c r="N50" s="118">
        <v>0.1</v>
      </c>
      <c r="O50" s="118">
        <v>5.92</v>
      </c>
      <c r="P50" s="118">
        <v>0.05</v>
      </c>
      <c r="Q50" s="118">
        <v>0.06</v>
      </c>
      <c r="R50" s="118">
        <v>1.1100000000000001</v>
      </c>
      <c r="S50" s="118">
        <v>0.63</v>
      </c>
      <c r="T50" s="118">
        <v>0.15</v>
      </c>
      <c r="U50" s="118">
        <v>62</v>
      </c>
      <c r="V50" s="118">
        <v>0</v>
      </c>
      <c r="W50" s="118">
        <v>105.69</v>
      </c>
      <c r="X50" s="118">
        <v>3.55</v>
      </c>
      <c r="Y50" s="118">
        <v>2.5</v>
      </c>
      <c r="Z50" s="118">
        <v>274</v>
      </c>
      <c r="AA50" s="118">
        <v>0</v>
      </c>
      <c r="AB50" s="118">
        <v>132.46</v>
      </c>
      <c r="AC50" s="118">
        <v>36</v>
      </c>
      <c r="AD50" s="118">
        <v>1470.54</v>
      </c>
      <c r="AE50" s="118">
        <v>6351</v>
      </c>
      <c r="AF50" s="118"/>
      <c r="AG50" s="118"/>
      <c r="AH50" s="118">
        <v>28.3</v>
      </c>
      <c r="AI50" s="118">
        <v>160.44</v>
      </c>
      <c r="AJ50" s="118">
        <v>0.14000000000000001</v>
      </c>
      <c r="AK50" s="118">
        <v>1.42</v>
      </c>
      <c r="AL50" s="118">
        <v>33.700000000000003</v>
      </c>
      <c r="AM50" s="118">
        <v>0.96</v>
      </c>
      <c r="AN50" s="118">
        <v>30.29</v>
      </c>
      <c r="AO50" s="118">
        <v>396.48</v>
      </c>
      <c r="AP50" s="118">
        <v>0.45</v>
      </c>
      <c r="AQ50" s="118">
        <v>0.32</v>
      </c>
      <c r="AR50" s="118">
        <v>0.23</v>
      </c>
      <c r="AS50" s="118">
        <v>0.01</v>
      </c>
      <c r="AT50" s="118">
        <v>0.32</v>
      </c>
      <c r="AU50" s="118"/>
      <c r="AV50" s="124">
        <v>6.0899999999999996E-2</v>
      </c>
      <c r="AW50" s="124">
        <v>0.13200000000000001</v>
      </c>
      <c r="AX50" s="124">
        <v>0.22914999999999999</v>
      </c>
      <c r="AY50" s="124">
        <v>0.12883</v>
      </c>
      <c r="AZ50" s="124">
        <v>1.7600000000000001E-2</v>
      </c>
      <c r="BA50" s="124">
        <v>2.112E-2</v>
      </c>
      <c r="BB50" s="124">
        <v>0.1232</v>
      </c>
      <c r="BC50" s="124">
        <v>0.13658000000000001</v>
      </c>
      <c r="BD50" s="124">
        <v>5.7729999999999997E-2</v>
      </c>
      <c r="BE50" s="124">
        <v>0.13797999999999999</v>
      </c>
      <c r="BF50" s="124">
        <v>0.19571</v>
      </c>
      <c r="BG50" s="124">
        <v>0.17740999999999998</v>
      </c>
      <c r="BH50" s="124">
        <v>0.51919999999999999</v>
      </c>
      <c r="BI50" s="124">
        <v>0.43331000000000003</v>
      </c>
      <c r="BJ50" s="124">
        <v>0.17846000000000001</v>
      </c>
      <c r="BK50" s="124">
        <v>0.14396999999999999</v>
      </c>
      <c r="BL50" s="124">
        <v>0.13869000000000001</v>
      </c>
      <c r="BM50" s="124">
        <v>0.12038</v>
      </c>
      <c r="BN50" s="118">
        <v>60.28</v>
      </c>
      <c r="BO50" s="118">
        <v>40.99</v>
      </c>
      <c r="BP50" s="118">
        <v>47</v>
      </c>
      <c r="BQ50" s="118"/>
      <c r="BR50" s="118"/>
    </row>
    <row r="51" spans="1:70" ht="15.75" customHeight="1">
      <c r="A51" s="122">
        <v>21017</v>
      </c>
      <c r="B51" s="122" t="s">
        <v>266</v>
      </c>
      <c r="C51" s="122" t="s">
        <v>267</v>
      </c>
      <c r="D51" s="122" t="s">
        <v>268</v>
      </c>
      <c r="E51" s="122" t="s">
        <v>82</v>
      </c>
      <c r="F51" s="122" t="s">
        <v>269</v>
      </c>
      <c r="G51" s="163" t="s">
        <v>270</v>
      </c>
      <c r="H51" s="122">
        <v>10</v>
      </c>
      <c r="I51" s="122" t="s">
        <v>207</v>
      </c>
      <c r="J51" s="118">
        <v>19.12</v>
      </c>
      <c r="K51" s="118">
        <v>92.4</v>
      </c>
      <c r="L51" s="118">
        <v>1.22</v>
      </c>
      <c r="M51" s="118">
        <v>0.24</v>
      </c>
      <c r="N51" s="118">
        <v>2.41</v>
      </c>
      <c r="O51" s="118">
        <v>3.25</v>
      </c>
      <c r="P51" s="118">
        <v>0.04</v>
      </c>
      <c r="Q51" s="118">
        <v>0.02</v>
      </c>
      <c r="R51" s="118">
        <v>0.51</v>
      </c>
      <c r="S51" s="118">
        <v>0.28000000000000003</v>
      </c>
      <c r="T51" s="118">
        <v>0.05</v>
      </c>
      <c r="U51" s="118">
        <v>50.13</v>
      </c>
      <c r="V51" s="118"/>
      <c r="W51" s="118">
        <v>21.08</v>
      </c>
      <c r="X51" s="118">
        <v>6.06</v>
      </c>
      <c r="Y51" s="118">
        <v>0.68</v>
      </c>
      <c r="Z51" s="118">
        <v>19.100000000000001</v>
      </c>
      <c r="AA51" s="118"/>
      <c r="AB51" s="125">
        <f>AA51+1/12*(AD51)+1/24*(AC51)+1/24*(AG51)</f>
        <v>12.25</v>
      </c>
      <c r="AC51" s="118"/>
      <c r="AD51" s="118">
        <v>147</v>
      </c>
      <c r="AE51" s="118">
        <v>157</v>
      </c>
      <c r="AF51" s="118"/>
      <c r="AG51" s="118"/>
      <c r="AH51" s="118">
        <v>4.5</v>
      </c>
      <c r="AI51" s="118">
        <v>37.119999999999997</v>
      </c>
      <c r="AJ51" s="118">
        <v>0.06</v>
      </c>
      <c r="AK51" s="118">
        <v>0.28999999999999998</v>
      </c>
      <c r="AL51" s="118">
        <v>18.87</v>
      </c>
      <c r="AM51" s="118">
        <v>0.12</v>
      </c>
      <c r="AN51" s="118">
        <v>26.29</v>
      </c>
      <c r="AO51" s="118">
        <v>167</v>
      </c>
      <c r="AP51" s="118"/>
      <c r="AQ51" s="118">
        <v>0.13</v>
      </c>
      <c r="AR51" s="118">
        <v>7.5300000000000006E-2</v>
      </c>
      <c r="AS51" s="118">
        <v>4.5100000000000001E-3</v>
      </c>
      <c r="AT51" s="118">
        <v>0.112</v>
      </c>
      <c r="AU51" s="118"/>
      <c r="AV51" s="118">
        <v>1.83</v>
      </c>
      <c r="AW51" s="118">
        <v>3.88</v>
      </c>
      <c r="AX51" s="118">
        <v>7.14</v>
      </c>
      <c r="AY51" s="118">
        <v>6.38</v>
      </c>
      <c r="AZ51" s="118">
        <v>0.9</v>
      </c>
      <c r="BA51" s="118">
        <v>0.69</v>
      </c>
      <c r="BB51" s="118">
        <v>4.16</v>
      </c>
      <c r="BC51" s="118">
        <v>4.2</v>
      </c>
      <c r="BD51" s="118">
        <v>0.85</v>
      </c>
      <c r="BE51" s="118">
        <v>5.05</v>
      </c>
      <c r="BF51" s="118">
        <v>6.57</v>
      </c>
      <c r="BG51" s="118">
        <v>6.45</v>
      </c>
      <c r="BH51" s="118">
        <v>11.71</v>
      </c>
      <c r="BI51" s="118">
        <v>21.11</v>
      </c>
      <c r="BJ51" s="118">
        <v>4.67</v>
      </c>
      <c r="BK51" s="118">
        <v>3.61</v>
      </c>
      <c r="BL51" s="118">
        <v>5.19</v>
      </c>
      <c r="BM51" s="118">
        <v>3.31</v>
      </c>
      <c r="BN51" s="118">
        <v>1.6</v>
      </c>
      <c r="BO51" s="118">
        <v>8.7899999999999991</v>
      </c>
      <c r="BP51" s="118">
        <v>8.15</v>
      </c>
      <c r="BQ51" s="118"/>
      <c r="BR51" s="118"/>
    </row>
    <row r="52" spans="1:70" ht="14.25" customHeight="1">
      <c r="A52" s="122">
        <v>21018</v>
      </c>
      <c r="B52" s="122" t="s">
        <v>271</v>
      </c>
      <c r="C52" s="122" t="s">
        <v>272</v>
      </c>
      <c r="D52" s="122" t="s">
        <v>273</v>
      </c>
      <c r="E52" s="122" t="s">
        <v>76</v>
      </c>
      <c r="F52" s="122" t="s">
        <v>1166</v>
      </c>
      <c r="G52" s="163" t="s">
        <v>1167</v>
      </c>
      <c r="H52" s="122">
        <v>10</v>
      </c>
      <c r="I52" s="122" t="s">
        <v>207</v>
      </c>
      <c r="J52" s="118">
        <v>25</v>
      </c>
      <c r="K52" s="118">
        <v>90.96</v>
      </c>
      <c r="L52" s="118">
        <v>1.99</v>
      </c>
      <c r="M52" s="118">
        <v>0.27</v>
      </c>
      <c r="N52" s="118">
        <v>1.48</v>
      </c>
      <c r="O52" s="118">
        <v>4.3499999999999996</v>
      </c>
      <c r="P52" s="118">
        <v>0.03</v>
      </c>
      <c r="Q52" s="118">
        <v>0.18</v>
      </c>
      <c r="R52" s="118">
        <v>0.7</v>
      </c>
      <c r="S52" s="118">
        <v>0.41</v>
      </c>
      <c r="T52" s="118">
        <v>0.19</v>
      </c>
      <c r="U52" s="118">
        <v>85</v>
      </c>
      <c r="V52" s="118">
        <v>0</v>
      </c>
      <c r="W52" s="118">
        <v>37.08</v>
      </c>
      <c r="X52" s="118">
        <v>11</v>
      </c>
      <c r="Y52" s="118">
        <v>0.44</v>
      </c>
      <c r="Z52" s="118">
        <v>280</v>
      </c>
      <c r="AA52" s="118">
        <v>0</v>
      </c>
      <c r="AB52" s="118">
        <v>743.21</v>
      </c>
      <c r="AC52" s="118">
        <v>184</v>
      </c>
      <c r="AD52" s="118">
        <v>8780</v>
      </c>
      <c r="AE52" s="118">
        <v>8397</v>
      </c>
      <c r="AF52" s="118"/>
      <c r="AG52" s="118"/>
      <c r="AH52" s="118">
        <v>164</v>
      </c>
      <c r="AI52" s="118">
        <v>170.96</v>
      </c>
      <c r="AJ52" s="118">
        <v>0.12</v>
      </c>
      <c r="AK52" s="118">
        <v>8.39</v>
      </c>
      <c r="AL52" s="118">
        <v>181.3</v>
      </c>
      <c r="AM52" s="118">
        <v>1.24</v>
      </c>
      <c r="AN52" s="118">
        <v>46.63</v>
      </c>
      <c r="AO52" s="118">
        <v>321.39</v>
      </c>
      <c r="AP52" s="118">
        <v>20.97</v>
      </c>
      <c r="AQ52" s="118">
        <v>0.98</v>
      </c>
      <c r="AR52" s="118">
        <v>0.19</v>
      </c>
      <c r="AS52" s="118">
        <v>0.05</v>
      </c>
      <c r="AT52" s="118">
        <v>0.36</v>
      </c>
      <c r="AU52" s="118"/>
      <c r="AV52" s="124">
        <v>6.9750000000000006E-2</v>
      </c>
      <c r="AW52" s="124">
        <v>0.14443</v>
      </c>
      <c r="AX52" s="124">
        <v>0.26451999999999998</v>
      </c>
      <c r="AY52" s="124">
        <v>0.18029000000000001</v>
      </c>
      <c r="AZ52" s="124">
        <v>4.5399999999999996E-2</v>
      </c>
      <c r="BA52" s="124">
        <v>2.6980000000000001E-2</v>
      </c>
      <c r="BB52" s="124">
        <v>0.18687000000000001</v>
      </c>
      <c r="BC52" s="124">
        <v>0.13686000000000001</v>
      </c>
      <c r="BD52" s="124">
        <v>3.3229999999999996E-2</v>
      </c>
      <c r="BE52" s="124">
        <v>0.16549</v>
      </c>
      <c r="BF52" s="124">
        <v>0.2155</v>
      </c>
      <c r="BG52" s="124">
        <v>0.20069000000000001</v>
      </c>
      <c r="BH52" s="124">
        <v>0.30334</v>
      </c>
      <c r="BI52" s="124">
        <v>0.41948000000000002</v>
      </c>
      <c r="BJ52" s="124">
        <v>0.18390999999999999</v>
      </c>
      <c r="BK52" s="124">
        <v>0.14640999999999998</v>
      </c>
      <c r="BL52" s="124">
        <v>0.152</v>
      </c>
      <c r="BM52" s="124">
        <v>0.12140000000000001</v>
      </c>
      <c r="BN52" s="118">
        <v>23.81</v>
      </c>
      <c r="BO52" s="118">
        <v>16</v>
      </c>
      <c r="BP52" s="118"/>
      <c r="BQ52" s="118"/>
      <c r="BR52" s="118"/>
    </row>
    <row r="53" spans="1:70">
      <c r="A53" s="122">
        <v>21019</v>
      </c>
      <c r="B53" s="122" t="s">
        <v>275</v>
      </c>
      <c r="C53" s="122" t="s">
        <v>276</v>
      </c>
      <c r="D53" s="122" t="s">
        <v>205</v>
      </c>
      <c r="E53" s="122" t="s">
        <v>76</v>
      </c>
      <c r="F53" s="122">
        <v>30001</v>
      </c>
      <c r="G53" s="163" t="s">
        <v>277</v>
      </c>
      <c r="H53" s="122">
        <v>10</v>
      </c>
      <c r="I53" s="122" t="s">
        <v>207</v>
      </c>
      <c r="J53" s="118">
        <v>21</v>
      </c>
      <c r="K53" s="118">
        <v>92.35</v>
      </c>
      <c r="L53" s="118">
        <v>0.9</v>
      </c>
      <c r="M53" s="118">
        <v>0.1</v>
      </c>
      <c r="N53" s="118">
        <v>3.66</v>
      </c>
      <c r="O53" s="118">
        <v>1.2</v>
      </c>
      <c r="P53" s="118">
        <v>0.01</v>
      </c>
      <c r="Q53" s="118">
        <v>0.18</v>
      </c>
      <c r="R53" s="118"/>
      <c r="S53" s="118"/>
      <c r="T53" s="118"/>
      <c r="U53" s="118"/>
      <c r="V53" s="118">
        <v>0</v>
      </c>
      <c r="W53" s="118">
        <v>35.799999999999997</v>
      </c>
      <c r="X53" s="118">
        <v>0</v>
      </c>
      <c r="Y53" s="118"/>
      <c r="Z53" s="118"/>
      <c r="AA53" s="118">
        <v>0</v>
      </c>
      <c r="AB53" s="118">
        <v>25.5</v>
      </c>
      <c r="AC53" s="118"/>
      <c r="AD53" s="118">
        <v>306</v>
      </c>
      <c r="AE53" s="118"/>
      <c r="AF53" s="118"/>
      <c r="AG53" s="118"/>
      <c r="AH53" s="118"/>
      <c r="AI53" s="118">
        <v>114</v>
      </c>
      <c r="AJ53" s="118"/>
      <c r="AK53" s="118">
        <v>1.8</v>
      </c>
      <c r="AL53" s="118"/>
      <c r="AM53" s="118"/>
      <c r="AN53" s="118">
        <v>30</v>
      </c>
      <c r="AO53" s="118"/>
      <c r="AP53" s="118"/>
      <c r="AQ53" s="118">
        <v>0.52</v>
      </c>
      <c r="AR53" s="118"/>
      <c r="AS53" s="118"/>
      <c r="AT53" s="118"/>
      <c r="AU53" s="118"/>
      <c r="AV53" s="124"/>
      <c r="AW53" s="124"/>
      <c r="AX53" s="124"/>
      <c r="AY53" s="124"/>
      <c r="AZ53" s="124"/>
      <c r="BA53" s="124"/>
      <c r="BB53" s="124"/>
      <c r="BC53" s="124"/>
      <c r="BD53" s="124"/>
      <c r="BE53" s="124"/>
      <c r="BF53" s="124"/>
      <c r="BG53" s="124"/>
      <c r="BH53" s="124"/>
      <c r="BI53" s="124"/>
      <c r="BJ53" s="124"/>
      <c r="BK53" s="124"/>
      <c r="BL53" s="124"/>
      <c r="BM53" s="124"/>
      <c r="BN53" s="118"/>
      <c r="BO53" s="118"/>
      <c r="BP53" s="118"/>
      <c r="BQ53" s="118"/>
      <c r="BR53" s="118"/>
    </row>
    <row r="54" spans="1:70">
      <c r="A54" s="122">
        <v>21020</v>
      </c>
      <c r="B54" s="122" t="s">
        <v>278</v>
      </c>
      <c r="C54" s="122" t="s">
        <v>279</v>
      </c>
      <c r="D54" s="122" t="s">
        <v>280</v>
      </c>
      <c r="E54" s="122" t="s">
        <v>76</v>
      </c>
      <c r="F54" s="122" t="s">
        <v>1833</v>
      </c>
      <c r="G54" s="163" t="s">
        <v>1170</v>
      </c>
      <c r="H54" s="122">
        <v>10</v>
      </c>
      <c r="I54" s="122" t="s">
        <v>207</v>
      </c>
      <c r="J54" s="118">
        <v>49</v>
      </c>
      <c r="K54" s="118">
        <v>87.39</v>
      </c>
      <c r="L54" s="118">
        <v>2.0499999999999998</v>
      </c>
      <c r="M54" s="118">
        <v>0.47</v>
      </c>
      <c r="N54" s="118">
        <v>8.7899999999999991</v>
      </c>
      <c r="O54" s="118">
        <v>0.5</v>
      </c>
      <c r="P54" s="118">
        <v>0.04</v>
      </c>
      <c r="Q54" s="118">
        <v>0.16</v>
      </c>
      <c r="R54" s="118">
        <v>0.6</v>
      </c>
      <c r="S54" s="118"/>
      <c r="T54" s="118">
        <v>0.13</v>
      </c>
      <c r="U54" s="118">
        <v>45</v>
      </c>
      <c r="V54" s="118">
        <v>0</v>
      </c>
      <c r="W54" s="118">
        <v>43</v>
      </c>
      <c r="X54" s="118">
        <v>0</v>
      </c>
      <c r="Y54" s="118">
        <v>1.46</v>
      </c>
      <c r="Z54" s="118">
        <v>250</v>
      </c>
      <c r="AA54" s="118">
        <v>0</v>
      </c>
      <c r="AB54" s="118">
        <v>530</v>
      </c>
      <c r="AC54" s="118">
        <v>0</v>
      </c>
      <c r="AD54" s="118">
        <v>6360</v>
      </c>
      <c r="AE54" s="118"/>
      <c r="AF54" s="118"/>
      <c r="AG54" s="118"/>
      <c r="AH54" s="118"/>
      <c r="AI54" s="118">
        <v>31</v>
      </c>
      <c r="AJ54" s="118">
        <v>0.02</v>
      </c>
      <c r="AK54" s="118">
        <v>1.9</v>
      </c>
      <c r="AL54" s="118">
        <v>26.68</v>
      </c>
      <c r="AM54" s="118">
        <v>0.24399999999999999</v>
      </c>
      <c r="AN54" s="118">
        <v>52</v>
      </c>
      <c r="AO54" s="118">
        <v>230</v>
      </c>
      <c r="AP54" s="118">
        <v>0.9</v>
      </c>
      <c r="AQ54" s="118">
        <v>0.52</v>
      </c>
      <c r="AR54" s="118"/>
      <c r="AS54" s="118"/>
      <c r="AT54" s="118"/>
      <c r="AU54" s="118"/>
      <c r="AV54" s="124"/>
      <c r="AW54" s="124"/>
      <c r="AX54" s="124"/>
      <c r="AY54" s="124"/>
      <c r="AZ54" s="124"/>
      <c r="BA54" s="124"/>
      <c r="BB54" s="124"/>
      <c r="BC54" s="124"/>
      <c r="BD54" s="124"/>
      <c r="BE54" s="124"/>
      <c r="BF54" s="124"/>
      <c r="BG54" s="124"/>
      <c r="BH54" s="124"/>
      <c r="BI54" s="124"/>
      <c r="BJ54" s="124"/>
      <c r="BK54" s="124"/>
      <c r="BL54" s="124"/>
      <c r="BM54" s="124"/>
      <c r="BN54" s="118"/>
      <c r="BO54" s="118"/>
      <c r="BP54" s="118"/>
      <c r="BQ54" s="118"/>
      <c r="BR54" s="118"/>
    </row>
    <row r="55" spans="1:70" ht="10.5" customHeight="1">
      <c r="A55" s="122">
        <v>21021</v>
      </c>
      <c r="B55" s="122" t="s">
        <v>282</v>
      </c>
      <c r="C55" s="122" t="s">
        <v>283</v>
      </c>
      <c r="D55" s="122" t="s">
        <v>284</v>
      </c>
      <c r="E55" s="122" t="s">
        <v>82</v>
      </c>
      <c r="F55" s="122" t="s">
        <v>285</v>
      </c>
      <c r="G55" s="163" t="s">
        <v>286</v>
      </c>
      <c r="H55" s="122">
        <v>14</v>
      </c>
      <c r="I55" s="122" t="s">
        <v>207</v>
      </c>
      <c r="J55" s="118">
        <v>35.369999999999997</v>
      </c>
      <c r="K55" s="118">
        <v>87.64</v>
      </c>
      <c r="L55" s="118">
        <v>3.9</v>
      </c>
      <c r="M55" s="118">
        <v>0.42</v>
      </c>
      <c r="N55" s="118">
        <v>3.39</v>
      </c>
      <c r="O55" s="118">
        <v>3.43</v>
      </c>
      <c r="P55" s="118">
        <v>0.05</v>
      </c>
      <c r="Q55" s="118">
        <v>0.05</v>
      </c>
      <c r="R55" s="118">
        <v>0.21</v>
      </c>
      <c r="S55" s="118">
        <v>0.34</v>
      </c>
      <c r="T55" s="118">
        <v>0.23</v>
      </c>
      <c r="U55" s="118">
        <v>42.99</v>
      </c>
      <c r="V55" s="118"/>
      <c r="W55" s="118">
        <v>52.84</v>
      </c>
      <c r="X55" s="118">
        <v>4.1500000000000004</v>
      </c>
      <c r="Y55" s="118">
        <v>0.08</v>
      </c>
      <c r="Z55" s="118">
        <v>144</v>
      </c>
      <c r="AA55" s="118"/>
      <c r="AB55" s="125">
        <f>AA55+1/12*(AD55)+1/24*(AC55)+1/24*(AG55)</f>
        <v>12.166666666666666</v>
      </c>
      <c r="AC55" s="118"/>
      <c r="AD55" s="118">
        <v>146</v>
      </c>
      <c r="AE55" s="118">
        <v>152</v>
      </c>
      <c r="AF55" s="118"/>
      <c r="AG55" s="118"/>
      <c r="AH55" s="118">
        <v>1.97</v>
      </c>
      <c r="AI55" s="118">
        <v>96.7</v>
      </c>
      <c r="AJ55" s="118">
        <v>0.14000000000000001</v>
      </c>
      <c r="AK55" s="118">
        <v>2.42</v>
      </c>
      <c r="AL55" s="118">
        <v>41.5</v>
      </c>
      <c r="AM55" s="118">
        <v>0.5</v>
      </c>
      <c r="AN55" s="118">
        <v>62.82</v>
      </c>
      <c r="AO55" s="118">
        <v>374</v>
      </c>
      <c r="AP55" s="118">
        <v>1.05</v>
      </c>
      <c r="AQ55" s="118">
        <v>0.31</v>
      </c>
      <c r="AR55" s="118">
        <v>0.115</v>
      </c>
      <c r="AS55" s="118">
        <v>2.0799999999999999E-2</v>
      </c>
      <c r="AT55" s="118">
        <v>0.224</v>
      </c>
      <c r="AU55" s="118"/>
      <c r="AV55" s="118">
        <v>1.88</v>
      </c>
      <c r="AW55" s="118">
        <v>3.37</v>
      </c>
      <c r="AX55" s="118">
        <v>5.36</v>
      </c>
      <c r="AY55" s="118">
        <v>4.01</v>
      </c>
      <c r="AZ55" s="118">
        <v>0.99</v>
      </c>
      <c r="BA55" s="118">
        <v>0.68</v>
      </c>
      <c r="BB55" s="118">
        <v>4.16</v>
      </c>
      <c r="BC55" s="118">
        <v>4.01</v>
      </c>
      <c r="BD55" s="118">
        <v>1.1200000000000001</v>
      </c>
      <c r="BE55" s="118">
        <v>4.93</v>
      </c>
      <c r="BF55" s="118">
        <v>6.82</v>
      </c>
      <c r="BG55" s="118">
        <v>5.89</v>
      </c>
      <c r="BH55" s="118">
        <v>11.76</v>
      </c>
      <c r="BI55" s="118">
        <v>22.09</v>
      </c>
      <c r="BJ55" s="118">
        <v>3.96</v>
      </c>
      <c r="BK55" s="118">
        <v>4.63</v>
      </c>
      <c r="BL55" s="118">
        <v>5.14</v>
      </c>
      <c r="BM55" s="118">
        <v>0.77</v>
      </c>
      <c r="BN55" s="118">
        <v>28.94</v>
      </c>
      <c r="BO55" s="118">
        <v>13.6</v>
      </c>
      <c r="BP55" s="118">
        <v>172</v>
      </c>
      <c r="BQ55" s="118"/>
      <c r="BR55" s="118"/>
    </row>
    <row r="56" spans="1:70">
      <c r="A56" s="122">
        <v>25008</v>
      </c>
      <c r="B56" s="122" t="s">
        <v>296</v>
      </c>
      <c r="C56" s="122" t="s">
        <v>297</v>
      </c>
      <c r="D56" s="122" t="s">
        <v>298</v>
      </c>
      <c r="E56" s="122" t="s">
        <v>76</v>
      </c>
      <c r="F56" s="122" t="s">
        <v>1171</v>
      </c>
      <c r="G56" s="163" t="s">
        <v>299</v>
      </c>
      <c r="H56" s="122">
        <v>13</v>
      </c>
      <c r="I56" s="122" t="s">
        <v>295</v>
      </c>
      <c r="J56" s="118">
        <v>24</v>
      </c>
      <c r="K56" s="118">
        <v>91.35</v>
      </c>
      <c r="L56" s="118">
        <v>1.9</v>
      </c>
      <c r="M56" s="118">
        <v>0.06</v>
      </c>
      <c r="N56" s="118">
        <v>1.97</v>
      </c>
      <c r="O56" s="118">
        <v>4.0599999999999996</v>
      </c>
      <c r="P56" s="118">
        <v>0.03</v>
      </c>
      <c r="Q56" s="118">
        <v>7.0000000000000007E-2</v>
      </c>
      <c r="R56" s="118">
        <v>0.8</v>
      </c>
      <c r="S56" s="118">
        <v>0.31</v>
      </c>
      <c r="T56" s="118">
        <v>0.08</v>
      </c>
      <c r="U56" s="118">
        <v>34</v>
      </c>
      <c r="V56" s="118"/>
      <c r="W56" s="118">
        <v>1.29</v>
      </c>
      <c r="X56" s="118">
        <v>0.9</v>
      </c>
      <c r="Y56" s="118">
        <v>0.1</v>
      </c>
      <c r="Z56" s="118">
        <v>13.53</v>
      </c>
      <c r="AA56" s="118">
        <v>0</v>
      </c>
      <c r="AB56" s="118">
        <v>3.79</v>
      </c>
      <c r="AC56" s="118">
        <v>0</v>
      </c>
      <c r="AD56" s="118">
        <v>45.44</v>
      </c>
      <c r="AE56" s="118">
        <v>144</v>
      </c>
      <c r="AF56" s="118"/>
      <c r="AG56" s="118"/>
      <c r="AH56" s="118">
        <v>3.21</v>
      </c>
      <c r="AI56" s="118">
        <v>21.11</v>
      </c>
      <c r="AJ56" s="118">
        <v>0.68</v>
      </c>
      <c r="AK56" s="118">
        <v>0.36</v>
      </c>
      <c r="AL56" s="118">
        <v>23.77</v>
      </c>
      <c r="AM56" s="118">
        <v>0.17</v>
      </c>
      <c r="AN56" s="118">
        <v>47</v>
      </c>
      <c r="AO56" s="118">
        <v>177.69</v>
      </c>
      <c r="AP56" s="118"/>
      <c r="AQ56" s="118">
        <v>0.56999999999999995</v>
      </c>
      <c r="AR56" s="118">
        <v>7.0000000000000007E-2</v>
      </c>
      <c r="AS56" s="118">
        <v>0.02</v>
      </c>
      <c r="AT56" s="118">
        <v>0.15</v>
      </c>
      <c r="AU56" s="118"/>
      <c r="AV56" s="124">
        <v>2.93E-2</v>
      </c>
      <c r="AW56" s="124">
        <v>5.3719999999999997E-2</v>
      </c>
      <c r="AX56" s="124">
        <v>8.3030000000000007E-2</v>
      </c>
      <c r="AY56" s="124">
        <v>5.6390000000000003E-2</v>
      </c>
      <c r="AZ56" s="124">
        <v>1.214E-2</v>
      </c>
      <c r="BA56" s="124">
        <v>1.051E-2</v>
      </c>
      <c r="BB56" s="124">
        <v>6.9559999999999997E-2</v>
      </c>
      <c r="BC56" s="124">
        <v>4.3810000000000002E-2</v>
      </c>
      <c r="BD56" s="124">
        <v>1.184E-2</v>
      </c>
      <c r="BE56" s="124">
        <v>6.8080000000000002E-2</v>
      </c>
      <c r="BF56" s="124">
        <v>7.9480000000000009E-2</v>
      </c>
      <c r="BG56" s="124">
        <v>7.4299999999999991E-2</v>
      </c>
      <c r="BH56" s="124">
        <v>0.23694999999999999</v>
      </c>
      <c r="BI56" s="124">
        <v>0.30518000000000001</v>
      </c>
      <c r="BJ56" s="124">
        <v>6.0829999999999995E-2</v>
      </c>
      <c r="BK56" s="124">
        <v>5.2690000000000001E-2</v>
      </c>
      <c r="BL56" s="124">
        <v>5.654E-2</v>
      </c>
      <c r="BM56" s="124">
        <v>4.2180000000000002E-2</v>
      </c>
      <c r="BN56" s="118">
        <v>12.79</v>
      </c>
      <c r="BO56" s="118">
        <v>12.28</v>
      </c>
      <c r="BP56" s="118"/>
      <c r="BQ56" s="118"/>
      <c r="BR56" s="118"/>
    </row>
    <row r="57" spans="1:70">
      <c r="A57" s="122">
        <v>25001</v>
      </c>
      <c r="B57" s="122" t="s">
        <v>300</v>
      </c>
      <c r="C57" s="122" t="s">
        <v>301</v>
      </c>
      <c r="D57" s="122" t="s">
        <v>302</v>
      </c>
      <c r="E57" s="122" t="s">
        <v>76</v>
      </c>
      <c r="F57" s="122" t="s">
        <v>1834</v>
      </c>
      <c r="G57" s="163" t="s">
        <v>1174</v>
      </c>
      <c r="H57" s="122">
        <v>11</v>
      </c>
      <c r="I57" s="122" t="s">
        <v>295</v>
      </c>
      <c r="J57" s="118">
        <v>21</v>
      </c>
      <c r="K57" s="118">
        <v>95.27</v>
      </c>
      <c r="L57" s="118">
        <v>0.7</v>
      </c>
      <c r="M57" s="118">
        <v>0.1</v>
      </c>
      <c r="N57" s="118">
        <v>3.6</v>
      </c>
      <c r="O57" s="118">
        <v>1.4</v>
      </c>
      <c r="P57" s="118">
        <v>0.16</v>
      </c>
      <c r="Q57" s="118">
        <v>0.02</v>
      </c>
      <c r="R57" s="118">
        <v>0.2</v>
      </c>
      <c r="S57" s="118">
        <v>0.45</v>
      </c>
      <c r="T57" s="118">
        <v>0.06</v>
      </c>
      <c r="U57" s="118">
        <v>14</v>
      </c>
      <c r="V57" s="118">
        <v>0</v>
      </c>
      <c r="W57" s="118">
        <v>7.23</v>
      </c>
      <c r="X57" s="118">
        <v>1.26</v>
      </c>
      <c r="Y57" s="118">
        <v>0.02</v>
      </c>
      <c r="Z57" s="118">
        <v>8.1999999999999993</v>
      </c>
      <c r="AA57" s="118">
        <v>0</v>
      </c>
      <c r="AB57" s="118">
        <v>5</v>
      </c>
      <c r="AC57" s="118">
        <v>8</v>
      </c>
      <c r="AD57" s="118">
        <v>44</v>
      </c>
      <c r="AE57" s="118">
        <v>2.2200000000000002</v>
      </c>
      <c r="AF57" s="118"/>
      <c r="AG57" s="118"/>
      <c r="AH57" s="118"/>
      <c r="AI57" s="118">
        <v>13</v>
      </c>
      <c r="AJ57" s="118">
        <v>0.05</v>
      </c>
      <c r="AK57" s="118">
        <v>0.2</v>
      </c>
      <c r="AL57" s="118">
        <v>12</v>
      </c>
      <c r="AM57" s="118">
        <v>0.08</v>
      </c>
      <c r="AN57" s="118">
        <v>17</v>
      </c>
      <c r="AO57" s="118">
        <v>105</v>
      </c>
      <c r="AP57" s="118">
        <v>0.17</v>
      </c>
      <c r="AQ57" s="118">
        <v>0.18</v>
      </c>
      <c r="AR57" s="118">
        <v>0.06</v>
      </c>
      <c r="AS57" s="118">
        <v>0.01</v>
      </c>
      <c r="AT57" s="118">
        <v>7.0000000000000007E-2</v>
      </c>
      <c r="AU57" s="118"/>
      <c r="AV57" s="124">
        <v>1.3630000000000001E-2</v>
      </c>
      <c r="AW57" s="124">
        <v>2.9389999999999999E-2</v>
      </c>
      <c r="AX57" s="124">
        <v>4.9270000000000001E-2</v>
      </c>
      <c r="AY57" s="124">
        <v>2.2370000000000001E-2</v>
      </c>
      <c r="AZ57" s="124">
        <v>7.5300000000000002E-3</v>
      </c>
      <c r="BA57" s="124">
        <v>4.5399999999999998E-3</v>
      </c>
      <c r="BB57" s="124">
        <v>2.2510000000000002E-2</v>
      </c>
      <c r="BC57" s="124">
        <v>2.222E-2</v>
      </c>
      <c r="BD57" s="124">
        <v>1.9199999999999998E-3</v>
      </c>
      <c r="BE57" s="124">
        <v>4.3240000000000001E-2</v>
      </c>
      <c r="BF57" s="124">
        <v>5.0979999999999998E-2</v>
      </c>
      <c r="BG57" s="124">
        <v>3.1739999999999997E-2</v>
      </c>
      <c r="BH57" s="124">
        <v>4.9419999999999999E-2</v>
      </c>
      <c r="BI57" s="124">
        <v>0.16216</v>
      </c>
      <c r="BJ57" s="124">
        <v>3.1739999999999997E-2</v>
      </c>
      <c r="BK57" s="124">
        <v>2.3429999999999999E-2</v>
      </c>
      <c r="BL57" s="124">
        <v>2.691E-2</v>
      </c>
      <c r="BM57" s="124">
        <v>2.1160000000000002E-2</v>
      </c>
      <c r="BN57" s="118">
        <v>14.1</v>
      </c>
      <c r="BO57" s="118">
        <v>17.52</v>
      </c>
      <c r="BP57" s="118"/>
      <c r="BQ57" s="118"/>
      <c r="BR57" s="118"/>
    </row>
    <row r="58" spans="1:70">
      <c r="A58" s="122">
        <v>25009</v>
      </c>
      <c r="B58" s="122" t="s">
        <v>304</v>
      </c>
      <c r="C58" s="122" t="s">
        <v>305</v>
      </c>
      <c r="D58" s="122" t="s">
        <v>306</v>
      </c>
      <c r="E58" s="122" t="s">
        <v>76</v>
      </c>
      <c r="F58" s="122" t="s">
        <v>1175</v>
      </c>
      <c r="G58" s="163" t="s">
        <v>1176</v>
      </c>
      <c r="H58" s="122">
        <v>11</v>
      </c>
      <c r="I58" s="122" t="s">
        <v>308</v>
      </c>
      <c r="J58" s="118">
        <v>18</v>
      </c>
      <c r="K58" s="118">
        <v>93.88</v>
      </c>
      <c r="L58" s="118">
        <v>1.4</v>
      </c>
      <c r="M58" s="118">
        <v>0.3</v>
      </c>
      <c r="N58" s="118">
        <v>1.32</v>
      </c>
      <c r="O58" s="118">
        <v>2.4</v>
      </c>
      <c r="P58" s="118">
        <v>7.0000000000000007E-2</v>
      </c>
      <c r="Q58" s="118">
        <v>0.06</v>
      </c>
      <c r="R58" s="118">
        <v>0.6</v>
      </c>
      <c r="S58" s="118">
        <v>0.18</v>
      </c>
      <c r="T58" s="118">
        <v>0.06</v>
      </c>
      <c r="U58" s="118">
        <v>16</v>
      </c>
      <c r="V58" s="118">
        <v>0</v>
      </c>
      <c r="W58" s="118">
        <v>21.06</v>
      </c>
      <c r="X58" s="118">
        <v>0.79</v>
      </c>
      <c r="Y58" s="118">
        <v>1.06</v>
      </c>
      <c r="Z58" s="118">
        <v>80.8</v>
      </c>
      <c r="AA58" s="118">
        <v>0</v>
      </c>
      <c r="AB58" s="118">
        <v>369.17</v>
      </c>
      <c r="AC58" s="118">
        <v>515</v>
      </c>
      <c r="AD58" s="118">
        <v>3100</v>
      </c>
      <c r="AE58" s="118">
        <v>161</v>
      </c>
      <c r="AF58" s="118"/>
      <c r="AG58" s="118"/>
      <c r="AH58" s="118">
        <v>34.909999999999997</v>
      </c>
      <c r="AI58" s="118">
        <v>51.82</v>
      </c>
      <c r="AJ58" s="118">
        <v>0.21</v>
      </c>
      <c r="AK58" s="118">
        <v>0.7</v>
      </c>
      <c r="AL58" s="118">
        <v>10</v>
      </c>
      <c r="AM58" s="118">
        <v>0.08</v>
      </c>
      <c r="AN58" s="118">
        <v>16</v>
      </c>
      <c r="AO58" s="118">
        <v>349</v>
      </c>
      <c r="AP58" s="118">
        <v>0.34</v>
      </c>
      <c r="AQ58" s="118">
        <v>0.11</v>
      </c>
      <c r="AR58" s="118">
        <v>0.04</v>
      </c>
      <c r="AS58" s="118">
        <v>0.02</v>
      </c>
      <c r="AT58" s="118">
        <v>0.06</v>
      </c>
      <c r="AU58" s="118"/>
      <c r="AV58" s="124">
        <v>1.4109999999999999E-2</v>
      </c>
      <c r="AW58" s="124">
        <v>4.2000000000000003E-2</v>
      </c>
      <c r="AX58" s="124">
        <v>4.4690000000000001E-2</v>
      </c>
      <c r="AY58" s="124">
        <v>2.6879999999999998E-2</v>
      </c>
      <c r="AZ58" s="124">
        <v>8.6499999999999997E-3</v>
      </c>
      <c r="BA58" s="124">
        <v>5.7099999999999998E-3</v>
      </c>
      <c r="BB58" s="124">
        <v>4.1239999999999999E-2</v>
      </c>
      <c r="BC58" s="124">
        <v>3.2340000000000001E-2</v>
      </c>
      <c r="BD58" s="124">
        <v>6.4700000000000001E-3</v>
      </c>
      <c r="BE58" s="124">
        <v>5.0819999999999997E-2</v>
      </c>
      <c r="BF58" s="124">
        <v>4.1659999999999996E-2</v>
      </c>
      <c r="BG58" s="124">
        <v>3.066E-2</v>
      </c>
      <c r="BH58" s="124">
        <v>0.10912000000000001</v>
      </c>
      <c r="BI58" s="124">
        <v>0.16447000000000001</v>
      </c>
      <c r="BJ58" s="124">
        <v>4.2419999999999999E-2</v>
      </c>
      <c r="BK58" s="124">
        <v>3.2509999999999997E-2</v>
      </c>
      <c r="BL58" s="124">
        <v>3.7130000000000003E-2</v>
      </c>
      <c r="BM58" s="124">
        <v>2.3940000000000003E-2</v>
      </c>
      <c r="BN58" s="118">
        <v>15.21</v>
      </c>
      <c r="BO58" s="118">
        <v>19.72</v>
      </c>
      <c r="BP58" s="118"/>
      <c r="BQ58" s="118"/>
      <c r="BR58" s="118"/>
    </row>
    <row r="59" spans="1:70">
      <c r="A59" s="122">
        <v>22001</v>
      </c>
      <c r="B59" s="122" t="s">
        <v>309</v>
      </c>
      <c r="C59" s="122" t="s">
        <v>310</v>
      </c>
      <c r="D59" s="122" t="s">
        <v>306</v>
      </c>
      <c r="E59" s="122" t="s">
        <v>76</v>
      </c>
      <c r="F59" s="122" t="s">
        <v>1177</v>
      </c>
      <c r="G59" s="163" t="s">
        <v>1178</v>
      </c>
      <c r="H59" s="122">
        <v>13</v>
      </c>
      <c r="I59" s="122" t="s">
        <v>308</v>
      </c>
      <c r="J59" s="118">
        <v>18</v>
      </c>
      <c r="K59" s="118">
        <v>93.88</v>
      </c>
      <c r="L59" s="118">
        <v>1.4</v>
      </c>
      <c r="M59" s="118">
        <v>0.3</v>
      </c>
      <c r="N59" s="118">
        <v>1.32</v>
      </c>
      <c r="O59" s="118">
        <v>2.4</v>
      </c>
      <c r="P59" s="118">
        <v>7.0000000000000007E-2</v>
      </c>
      <c r="Q59" s="118">
        <v>0.06</v>
      </c>
      <c r="R59" s="118">
        <v>0.6</v>
      </c>
      <c r="S59" s="118">
        <v>0.18</v>
      </c>
      <c r="T59" s="118">
        <v>0.06</v>
      </c>
      <c r="U59" s="118">
        <v>16</v>
      </c>
      <c r="V59" s="118">
        <v>0</v>
      </c>
      <c r="W59" s="118">
        <v>21.06</v>
      </c>
      <c r="X59" s="118">
        <v>0.79</v>
      </c>
      <c r="Y59" s="118">
        <v>1.06</v>
      </c>
      <c r="Z59" s="118">
        <v>83.7</v>
      </c>
      <c r="AA59" s="118">
        <v>0</v>
      </c>
      <c r="AB59" s="118">
        <v>369.17</v>
      </c>
      <c r="AC59" s="118">
        <v>515</v>
      </c>
      <c r="AD59" s="118">
        <v>3100</v>
      </c>
      <c r="AE59" s="118">
        <v>161</v>
      </c>
      <c r="AF59" s="118"/>
      <c r="AG59" s="118"/>
      <c r="AH59" s="118">
        <v>34.909999999999997</v>
      </c>
      <c r="AI59" s="118">
        <v>51.82</v>
      </c>
      <c r="AJ59" s="118">
        <v>0.21</v>
      </c>
      <c r="AK59" s="118">
        <v>0.7</v>
      </c>
      <c r="AL59" s="118">
        <v>10</v>
      </c>
      <c r="AM59" s="118">
        <v>7.0000000000000007E-2</v>
      </c>
      <c r="AN59" s="118">
        <v>16</v>
      </c>
      <c r="AO59" s="118">
        <v>349</v>
      </c>
      <c r="AP59" s="118">
        <v>0.37</v>
      </c>
      <c r="AQ59" s="118">
        <v>0.11</v>
      </c>
      <c r="AR59" s="118">
        <v>0.04</v>
      </c>
      <c r="AS59" s="118">
        <v>0.02</v>
      </c>
      <c r="AT59" s="118">
        <v>0.06</v>
      </c>
      <c r="AU59" s="118"/>
      <c r="AV59" s="124">
        <v>1.4109999999999999E-2</v>
      </c>
      <c r="AW59" s="124">
        <v>4.2000000000000003E-2</v>
      </c>
      <c r="AX59" s="124">
        <v>4.4690000000000001E-2</v>
      </c>
      <c r="AY59" s="124">
        <v>2.6879999999999998E-2</v>
      </c>
      <c r="AZ59" s="124">
        <v>8.6499999999999997E-3</v>
      </c>
      <c r="BA59" s="124">
        <v>5.7099999999999998E-3</v>
      </c>
      <c r="BB59" s="124">
        <v>4.1239999999999999E-2</v>
      </c>
      <c r="BC59" s="124">
        <v>3.2340000000000001E-2</v>
      </c>
      <c r="BD59" s="124">
        <v>6.4700000000000001E-3</v>
      </c>
      <c r="BE59" s="124">
        <v>5.0819999999999997E-2</v>
      </c>
      <c r="BF59" s="124">
        <v>4.1659999999999996E-2</v>
      </c>
      <c r="BG59" s="124">
        <v>3.066E-2</v>
      </c>
      <c r="BH59" s="124">
        <v>0.10912000000000001</v>
      </c>
      <c r="BI59" s="124">
        <v>0.16447000000000001</v>
      </c>
      <c r="BJ59" s="124">
        <v>4.2419999999999999E-2</v>
      </c>
      <c r="BK59" s="124">
        <v>3.2509999999999997E-2</v>
      </c>
      <c r="BL59" s="124">
        <v>3.7130000000000003E-2</v>
      </c>
      <c r="BM59" s="124">
        <v>2.3940000000000003E-2</v>
      </c>
      <c r="BN59" s="118">
        <v>15.25</v>
      </c>
      <c r="BO59" s="118">
        <v>19.72</v>
      </c>
      <c r="BP59" s="118"/>
      <c r="BQ59" s="118"/>
      <c r="BR59" s="118"/>
    </row>
    <row r="60" spans="1:70">
      <c r="A60" s="122">
        <v>25010</v>
      </c>
      <c r="B60" s="122" t="s">
        <v>311</v>
      </c>
      <c r="C60" s="122" t="s">
        <v>312</v>
      </c>
      <c r="D60" s="127" t="s">
        <v>227</v>
      </c>
      <c r="E60" s="122" t="s">
        <v>76</v>
      </c>
      <c r="F60" s="122" t="s">
        <v>1179</v>
      </c>
      <c r="G60" s="163" t="s">
        <v>1180</v>
      </c>
      <c r="H60" s="122">
        <v>3</v>
      </c>
      <c r="I60" s="122" t="s">
        <v>295</v>
      </c>
      <c r="J60" s="118">
        <v>10</v>
      </c>
      <c r="K60" s="118">
        <v>96.5</v>
      </c>
      <c r="L60" s="118">
        <v>0.4</v>
      </c>
      <c r="M60" s="118">
        <v>0.1</v>
      </c>
      <c r="N60" s="118">
        <v>1</v>
      </c>
      <c r="O60" s="118">
        <v>1.7</v>
      </c>
      <c r="P60" s="118">
        <v>0.06</v>
      </c>
      <c r="Q60" s="118">
        <v>0.01</v>
      </c>
      <c r="R60" s="118">
        <v>0.3</v>
      </c>
      <c r="S60" s="118">
        <v>0.37</v>
      </c>
      <c r="T60" s="118">
        <v>0.04</v>
      </c>
      <c r="U60" s="118">
        <v>16.25</v>
      </c>
      <c r="V60" s="118">
        <v>0</v>
      </c>
      <c r="W60" s="118">
        <v>31</v>
      </c>
      <c r="X60" s="118">
        <v>0.6</v>
      </c>
      <c r="Y60" s="118">
        <v>0.02</v>
      </c>
      <c r="Z60" s="118">
        <v>27.15</v>
      </c>
      <c r="AA60" s="118">
        <v>0</v>
      </c>
      <c r="AB60" s="118">
        <v>0.25</v>
      </c>
      <c r="AC60" s="118">
        <v>0</v>
      </c>
      <c r="AD60" s="118">
        <v>3</v>
      </c>
      <c r="AE60" s="118">
        <v>18.29</v>
      </c>
      <c r="AF60" s="118"/>
      <c r="AG60" s="118"/>
      <c r="AH60" s="118">
        <v>5.76</v>
      </c>
      <c r="AI60" s="118">
        <v>30</v>
      </c>
      <c r="AJ60" s="118">
        <v>0.02</v>
      </c>
      <c r="AK60" s="118">
        <v>0.8</v>
      </c>
      <c r="AL60" s="118">
        <v>17.420000000000002</v>
      </c>
      <c r="AM60" s="118">
        <v>0.09</v>
      </c>
      <c r="AN60" s="118">
        <v>14</v>
      </c>
      <c r="AO60" s="118">
        <v>139</v>
      </c>
      <c r="AP60" s="118">
        <v>1.1499999999999999</v>
      </c>
      <c r="AQ60" s="118">
        <v>0.1</v>
      </c>
      <c r="AR60" s="118">
        <v>0.03</v>
      </c>
      <c r="AS60" s="118">
        <v>0.01</v>
      </c>
      <c r="AT60" s="118">
        <v>0.08</v>
      </c>
      <c r="AU60" s="118"/>
      <c r="AV60" s="124">
        <v>2.0379999999999999E-2</v>
      </c>
      <c r="AW60" s="124">
        <v>3.4049999999999997E-2</v>
      </c>
      <c r="AX60" s="124">
        <v>4.4789999999999996E-2</v>
      </c>
      <c r="AY60" s="124">
        <v>2.6780000000000002E-2</v>
      </c>
      <c r="AZ60" s="124">
        <v>1.2320000000000001E-2</v>
      </c>
      <c r="BA60" s="124">
        <v>6.5599999999999999E-3</v>
      </c>
      <c r="BB60" s="124">
        <v>2.5440000000000001E-2</v>
      </c>
      <c r="BC60" s="124">
        <v>2.8840000000000001E-2</v>
      </c>
      <c r="BD60" s="124">
        <v>5.6900000000000006E-3</v>
      </c>
      <c r="BE60" s="124">
        <v>4.0369999999999996E-2</v>
      </c>
      <c r="BF60" s="124">
        <v>4.471E-2</v>
      </c>
      <c r="BG60" s="124">
        <v>6.1859999999999998E-2</v>
      </c>
      <c r="BH60" s="124">
        <v>8.4290000000000004E-2</v>
      </c>
      <c r="BI60" s="124">
        <v>0.14180999999999999</v>
      </c>
      <c r="BJ60" s="124">
        <v>4.4159999999999998E-2</v>
      </c>
      <c r="BK60" s="124">
        <v>3.1519999999999999E-2</v>
      </c>
      <c r="BL60" s="124">
        <v>3.2070000000000001E-2</v>
      </c>
      <c r="BM60" s="124">
        <v>2.2749999999999999E-2</v>
      </c>
      <c r="BN60" s="118">
        <v>10.47</v>
      </c>
      <c r="BO60" s="118">
        <v>14.6</v>
      </c>
      <c r="BP60" s="118"/>
      <c r="BQ60" s="118"/>
      <c r="BR60" s="118"/>
    </row>
    <row r="61" spans="1:70">
      <c r="A61" s="122">
        <v>13006</v>
      </c>
      <c r="B61" s="122" t="s">
        <v>314</v>
      </c>
      <c r="C61" s="122" t="s">
        <v>315</v>
      </c>
      <c r="D61" s="122" t="s">
        <v>316</v>
      </c>
      <c r="E61" s="122" t="s">
        <v>76</v>
      </c>
      <c r="F61" s="122" t="s">
        <v>1181</v>
      </c>
      <c r="G61" s="163" t="s">
        <v>1182</v>
      </c>
      <c r="H61" s="122">
        <v>13</v>
      </c>
      <c r="I61" s="128" t="s">
        <v>72</v>
      </c>
      <c r="J61" s="118">
        <v>424</v>
      </c>
      <c r="K61" s="118">
        <v>9.25</v>
      </c>
      <c r="L61" s="118">
        <v>32.94</v>
      </c>
      <c r="M61" s="118">
        <v>19.940000000000001</v>
      </c>
      <c r="N61" s="118">
        <v>23.62</v>
      </c>
      <c r="O61" s="118">
        <v>9.3000000000000007</v>
      </c>
      <c r="P61" s="118">
        <v>0.73</v>
      </c>
      <c r="Q61" s="118">
        <v>0.5</v>
      </c>
      <c r="R61" s="118">
        <v>2.2000000000000002</v>
      </c>
      <c r="S61" s="118">
        <v>1.97</v>
      </c>
      <c r="T61" s="118">
        <v>0.42</v>
      </c>
      <c r="U61" s="118">
        <v>100</v>
      </c>
      <c r="V61" s="118">
        <v>0</v>
      </c>
      <c r="W61" s="118"/>
      <c r="X61" s="118">
        <v>68.02</v>
      </c>
      <c r="Y61" s="118">
        <v>2.9</v>
      </c>
      <c r="Z61" s="118">
        <v>45.8</v>
      </c>
      <c r="AA61" s="118">
        <v>0</v>
      </c>
      <c r="AB61" s="118">
        <v>1.08</v>
      </c>
      <c r="AC61" s="118">
        <v>0</v>
      </c>
      <c r="AD61" s="118">
        <v>13</v>
      </c>
      <c r="AE61" s="118"/>
      <c r="AF61" s="118"/>
      <c r="AG61" s="118"/>
      <c r="AH61" s="118"/>
      <c r="AI61" s="118">
        <v>240.57</v>
      </c>
      <c r="AJ61" s="118">
        <v>1.25</v>
      </c>
      <c r="AK61" s="118">
        <v>11.34</v>
      </c>
      <c r="AL61" s="118">
        <v>207</v>
      </c>
      <c r="AM61" s="118">
        <v>2.69</v>
      </c>
      <c r="AN61" s="118">
        <v>691.13</v>
      </c>
      <c r="AO61" s="118">
        <v>1530</v>
      </c>
      <c r="AP61" s="118">
        <v>19</v>
      </c>
      <c r="AQ61" s="118">
        <v>5.7</v>
      </c>
      <c r="AR61" s="118">
        <v>3.05</v>
      </c>
      <c r="AS61" s="118">
        <v>4.6900000000000004</v>
      </c>
      <c r="AT61" s="118">
        <v>11.18</v>
      </c>
      <c r="AU61" s="118"/>
      <c r="AV61" s="124">
        <v>0.93700000000000006</v>
      </c>
      <c r="AW61" s="124">
        <v>1.6479999999999999</v>
      </c>
      <c r="AX61" s="124">
        <v>2.8839999999999999</v>
      </c>
      <c r="AY61" s="124">
        <v>2.3690000000000002</v>
      </c>
      <c r="AZ61" s="124">
        <v>0.46300000000000002</v>
      </c>
      <c r="BA61" s="124">
        <v>0.49399999999999999</v>
      </c>
      <c r="BB61" s="124">
        <v>1.8540000000000001</v>
      </c>
      <c r="BC61" s="124">
        <v>1.4419999999999999</v>
      </c>
      <c r="BD61" s="124">
        <v>0.47399999999999998</v>
      </c>
      <c r="BE61" s="124">
        <v>1.7509999999999999</v>
      </c>
      <c r="BF61" s="124">
        <v>1.5449999999999999</v>
      </c>
      <c r="BG61" s="124">
        <v>2.6779999999999999</v>
      </c>
      <c r="BH61" s="124">
        <v>4.3250000000000002</v>
      </c>
      <c r="BI61" s="124">
        <v>6.9</v>
      </c>
      <c r="BJ61" s="124">
        <v>1.5449999999999999</v>
      </c>
      <c r="BK61" s="124">
        <v>2.06</v>
      </c>
      <c r="BL61" s="124">
        <v>1.8540000000000001</v>
      </c>
      <c r="BM61" s="124">
        <v>0.53300000000000003</v>
      </c>
      <c r="BN61" s="118">
        <v>106</v>
      </c>
      <c r="BO61" s="118" t="s">
        <v>318</v>
      </c>
      <c r="BP61" s="118"/>
      <c r="BQ61" s="118"/>
      <c r="BR61" s="118"/>
    </row>
    <row r="62" spans="1:70">
      <c r="A62" s="122">
        <v>25011</v>
      </c>
      <c r="B62" s="122" t="s">
        <v>319</v>
      </c>
      <c r="C62" s="122" t="s">
        <v>320</v>
      </c>
      <c r="D62" s="122" t="s">
        <v>321</v>
      </c>
      <c r="E62" s="122" t="s">
        <v>76</v>
      </c>
      <c r="F62" s="122" t="s">
        <v>1835</v>
      </c>
      <c r="G62" s="163" t="s">
        <v>1184</v>
      </c>
      <c r="H62" s="122">
        <v>13</v>
      </c>
      <c r="I62" s="128" t="s">
        <v>295</v>
      </c>
      <c r="J62" s="118">
        <v>39</v>
      </c>
      <c r="K62" s="118">
        <v>87.74</v>
      </c>
      <c r="L62" s="118">
        <v>2.11</v>
      </c>
      <c r="M62" s="118">
        <v>0.16</v>
      </c>
      <c r="N62" s="118">
        <v>5.73</v>
      </c>
      <c r="O62" s="118">
        <v>3.1</v>
      </c>
      <c r="P62" s="118">
        <v>0.04</v>
      </c>
      <c r="Q62" s="118">
        <v>0.16</v>
      </c>
      <c r="R62" s="118">
        <v>1</v>
      </c>
      <c r="S62" s="118">
        <v>0.28000000000000003</v>
      </c>
      <c r="T62" s="118">
        <v>0.22</v>
      </c>
      <c r="U62" s="118">
        <v>60</v>
      </c>
      <c r="V62" s="118">
        <v>0</v>
      </c>
      <c r="W62" s="118">
        <v>17.489999999999998</v>
      </c>
      <c r="X62" s="118">
        <v>7.46</v>
      </c>
      <c r="Y62" s="118">
        <v>0.27</v>
      </c>
      <c r="Z62" s="118">
        <v>21.52</v>
      </c>
      <c r="AA62" s="118">
        <v>0</v>
      </c>
      <c r="AB62" s="118">
        <v>18.899999999999999</v>
      </c>
      <c r="AC62" s="118">
        <v>30</v>
      </c>
      <c r="AD62" s="118">
        <v>211.82</v>
      </c>
      <c r="AE62" s="118">
        <v>798</v>
      </c>
      <c r="AF62" s="118"/>
      <c r="AG62" s="118"/>
      <c r="AH62" s="118">
        <v>3.53</v>
      </c>
      <c r="AI62" s="118">
        <v>92.65</v>
      </c>
      <c r="AJ62" s="118">
        <v>0.08</v>
      </c>
      <c r="AK62" s="118">
        <v>0.9</v>
      </c>
      <c r="AL62" s="118">
        <v>19.670000000000002</v>
      </c>
      <c r="AM62" s="118">
        <v>0.3</v>
      </c>
      <c r="AN62" s="118">
        <v>27.84</v>
      </c>
      <c r="AO62" s="118">
        <v>178.17</v>
      </c>
      <c r="AP62" s="118"/>
      <c r="AQ62" s="118">
        <v>0.34</v>
      </c>
      <c r="AR62" s="118">
        <v>7.0000000000000007E-2</v>
      </c>
      <c r="AS62" s="118">
        <v>0.01</v>
      </c>
      <c r="AT62" s="118">
        <v>0.11</v>
      </c>
      <c r="AU62" s="118"/>
      <c r="AV62" s="124">
        <v>5.0340000000000003E-2</v>
      </c>
      <c r="AW62" s="124">
        <v>6.7810000000000009E-2</v>
      </c>
      <c r="AX62" s="124">
        <v>0.10482999999999999</v>
      </c>
      <c r="AY62" s="124">
        <v>7.8829999999999997E-2</v>
      </c>
      <c r="AZ62" s="124">
        <v>1.685E-2</v>
      </c>
      <c r="BA62" s="124">
        <v>1.1859999999999999E-2</v>
      </c>
      <c r="BB62" s="124">
        <v>7.1550000000000002E-2</v>
      </c>
      <c r="BC62" s="124">
        <v>7.8E-2</v>
      </c>
      <c r="BD62" s="124">
        <v>1.0189999999999999E-2</v>
      </c>
      <c r="BE62" s="124">
        <v>9.2769999999999991E-2</v>
      </c>
      <c r="BF62" s="124">
        <v>0.11170000000000001</v>
      </c>
      <c r="BG62" s="124">
        <v>0.12376000000000001</v>
      </c>
      <c r="BH62" s="124">
        <v>0.32177999999999995</v>
      </c>
      <c r="BI62" s="124">
        <v>0.34736</v>
      </c>
      <c r="BJ62" s="124">
        <v>8.2159999999999997E-2</v>
      </c>
      <c r="BK62" s="124">
        <v>7.0510000000000003E-2</v>
      </c>
      <c r="BL62" s="124">
        <v>7.467E-2</v>
      </c>
      <c r="BM62" s="124">
        <v>4.4719999999999996E-2</v>
      </c>
      <c r="BN62" s="118">
        <v>32.51</v>
      </c>
      <c r="BO62" s="118">
        <v>3.63</v>
      </c>
      <c r="BP62" s="118"/>
      <c r="BQ62" s="118"/>
      <c r="BR62" s="118"/>
    </row>
    <row r="63" spans="1:70">
      <c r="A63" s="122">
        <v>25012</v>
      </c>
      <c r="B63" s="122" t="s">
        <v>323</v>
      </c>
      <c r="C63" s="122" t="s">
        <v>324</v>
      </c>
      <c r="D63" s="122" t="s">
        <v>325</v>
      </c>
      <c r="E63" s="122" t="s">
        <v>76</v>
      </c>
      <c r="F63" s="122" t="s">
        <v>1185</v>
      </c>
      <c r="G63" s="163" t="s">
        <v>1186</v>
      </c>
      <c r="H63" s="122">
        <v>13</v>
      </c>
      <c r="I63" s="128" t="s">
        <v>295</v>
      </c>
      <c r="J63" s="118">
        <v>24</v>
      </c>
      <c r="K63" s="118">
        <v>92.65</v>
      </c>
      <c r="L63" s="118">
        <v>2.04</v>
      </c>
      <c r="M63" s="118">
        <v>0.32</v>
      </c>
      <c r="N63" s="118">
        <v>2.23</v>
      </c>
      <c r="O63" s="118">
        <v>2.2000000000000002</v>
      </c>
      <c r="P63" s="118">
        <v>0.17</v>
      </c>
      <c r="Q63" s="118">
        <v>0.03</v>
      </c>
      <c r="R63" s="118">
        <v>0.8</v>
      </c>
      <c r="S63" s="118">
        <v>0.25</v>
      </c>
      <c r="T63" s="118">
        <v>0.04</v>
      </c>
      <c r="U63" s="118">
        <v>16.25</v>
      </c>
      <c r="V63" s="118">
        <v>0</v>
      </c>
      <c r="W63" s="118">
        <v>19.45</v>
      </c>
      <c r="X63" s="118">
        <v>0.69</v>
      </c>
      <c r="Y63" s="118">
        <v>0.04</v>
      </c>
      <c r="Z63" s="118">
        <v>8.3699999999999992</v>
      </c>
      <c r="AA63" s="118">
        <v>0</v>
      </c>
      <c r="AB63" s="118">
        <v>5.38</v>
      </c>
      <c r="AC63" s="118"/>
      <c r="AD63" s="118">
        <v>64.55</v>
      </c>
      <c r="AE63" s="118">
        <v>322</v>
      </c>
      <c r="AF63" s="118"/>
      <c r="AG63" s="118"/>
      <c r="AH63" s="118">
        <v>10.77</v>
      </c>
      <c r="AI63" s="118">
        <v>15.89</v>
      </c>
      <c r="AJ63" s="118">
        <v>0.17</v>
      </c>
      <c r="AK63" s="118">
        <v>1.7</v>
      </c>
      <c r="AL63" s="118">
        <v>15</v>
      </c>
      <c r="AM63" s="118">
        <v>0.13</v>
      </c>
      <c r="AN63" s="118">
        <v>17.61</v>
      </c>
      <c r="AO63" s="118">
        <v>147.88999999999999</v>
      </c>
      <c r="AP63" s="118">
        <v>2.3199999999999998</v>
      </c>
      <c r="AQ63" s="118">
        <v>0.4</v>
      </c>
      <c r="AR63" s="118">
        <v>0.1</v>
      </c>
      <c r="AS63" s="118">
        <v>0.01</v>
      </c>
      <c r="AT63" s="118">
        <v>0.11</v>
      </c>
      <c r="AU63" s="118"/>
      <c r="AV63" s="124">
        <v>2.4500000000000001E-2</v>
      </c>
      <c r="AW63" s="124">
        <v>6.1740000000000003E-2</v>
      </c>
      <c r="AX63" s="124">
        <v>0.10108</v>
      </c>
      <c r="AY63" s="124">
        <v>8.2459999999999992E-2</v>
      </c>
      <c r="AZ63" s="124">
        <v>1.8620000000000001E-2</v>
      </c>
      <c r="BA63" s="124">
        <v>1.2039999999999999E-2</v>
      </c>
      <c r="BB63" s="124">
        <v>5.4039999999999998E-2</v>
      </c>
      <c r="BC63" s="124">
        <v>5.348E-2</v>
      </c>
      <c r="BD63" s="124">
        <v>8.26E-3</v>
      </c>
      <c r="BE63" s="124">
        <v>8.3299999999999999E-2</v>
      </c>
      <c r="BF63" s="124">
        <v>9.2540000000000011E-2</v>
      </c>
      <c r="BG63" s="124">
        <v>8.3580000000000002E-2</v>
      </c>
      <c r="BH63" s="124">
        <v>0.13440000000000002</v>
      </c>
      <c r="BI63" s="124">
        <v>0.27201999999999998</v>
      </c>
      <c r="BJ63" s="124">
        <v>8.6940000000000003E-2</v>
      </c>
      <c r="BK63" s="124">
        <v>7.392E-2</v>
      </c>
      <c r="BL63" s="124">
        <v>6.7060000000000008E-2</v>
      </c>
      <c r="BM63" s="124">
        <v>4.1439999999999998E-2</v>
      </c>
      <c r="BN63" s="118">
        <v>12.14</v>
      </c>
      <c r="BO63" s="118">
        <v>29.1</v>
      </c>
      <c r="BP63" s="118"/>
      <c r="BQ63" s="118"/>
      <c r="BR63" s="118"/>
    </row>
    <row r="64" spans="1:70">
      <c r="A64" s="122">
        <v>25013</v>
      </c>
      <c r="B64" s="122" t="s">
        <v>327</v>
      </c>
      <c r="C64" s="122" t="s">
        <v>328</v>
      </c>
      <c r="D64" s="122" t="s">
        <v>227</v>
      </c>
      <c r="E64" s="122" t="s">
        <v>76</v>
      </c>
      <c r="F64" s="122" t="s">
        <v>1187</v>
      </c>
      <c r="G64" s="163" t="s">
        <v>1188</v>
      </c>
      <c r="H64" s="122">
        <v>13</v>
      </c>
      <c r="I64" s="128" t="s">
        <v>295</v>
      </c>
      <c r="J64" s="118">
        <v>18</v>
      </c>
      <c r="K64" s="118">
        <v>93.5</v>
      </c>
      <c r="L64" s="118">
        <v>1.2</v>
      </c>
      <c r="M64" s="118">
        <v>7.0000000000000007E-2</v>
      </c>
      <c r="N64" s="118">
        <v>2.1</v>
      </c>
      <c r="O64" s="118">
        <v>2.1</v>
      </c>
      <c r="P64" s="118">
        <v>0.01</v>
      </c>
      <c r="Q64" s="118">
        <v>0.02</v>
      </c>
      <c r="R64" s="118">
        <v>0.14000000000000001</v>
      </c>
      <c r="S64" s="118">
        <v>0.55000000000000004</v>
      </c>
      <c r="T64" s="118">
        <v>0.02</v>
      </c>
      <c r="U64" s="118">
        <v>46</v>
      </c>
      <c r="V64" s="118">
        <v>0</v>
      </c>
      <c r="W64" s="118">
        <v>7.67</v>
      </c>
      <c r="X64" s="118">
        <v>0.84</v>
      </c>
      <c r="Y64" s="118">
        <v>0.02</v>
      </c>
      <c r="Z64" s="118">
        <v>2.1</v>
      </c>
      <c r="AA64" s="118">
        <v>0</v>
      </c>
      <c r="AB64" s="118">
        <v>4</v>
      </c>
      <c r="AC64" s="118">
        <v>0</v>
      </c>
      <c r="AD64" s="118">
        <v>45.3</v>
      </c>
      <c r="AE64" s="118"/>
      <c r="AF64" s="118"/>
      <c r="AG64" s="118"/>
      <c r="AH64" s="118"/>
      <c r="AI64" s="118">
        <v>26</v>
      </c>
      <c r="AJ64" s="118">
        <v>0.06</v>
      </c>
      <c r="AK64" s="118">
        <v>0.7</v>
      </c>
      <c r="AL64" s="118">
        <v>12</v>
      </c>
      <c r="AM64" s="118">
        <v>0.13</v>
      </c>
      <c r="AN64" s="118">
        <v>20</v>
      </c>
      <c r="AO64" s="118">
        <v>137</v>
      </c>
      <c r="AP64" s="118">
        <v>1.77</v>
      </c>
      <c r="AQ64" s="118">
        <v>0.56000000000000005</v>
      </c>
      <c r="AR64" s="118">
        <v>0.41</v>
      </c>
      <c r="AS64" s="118">
        <v>0</v>
      </c>
      <c r="AT64" s="118">
        <v>0.06</v>
      </c>
      <c r="AU64" s="118"/>
      <c r="AV64" s="124">
        <v>8.6400000000000001E-3</v>
      </c>
      <c r="AW64" s="124">
        <v>2.3899999999999998E-2</v>
      </c>
      <c r="AX64" s="124">
        <v>3.7149999999999996E-2</v>
      </c>
      <c r="AY64" s="124">
        <v>2.3089999999999999E-2</v>
      </c>
      <c r="AZ64" s="124">
        <v>4.5100000000000001E-3</v>
      </c>
      <c r="BA64" s="124">
        <v>2.7400000000000002E-3</v>
      </c>
      <c r="BB64" s="124">
        <v>1.7899999999999999E-2</v>
      </c>
      <c r="BC64" s="124">
        <v>2.0059999999999998E-2</v>
      </c>
      <c r="BD64" s="124">
        <v>7.6799999999999993E-3</v>
      </c>
      <c r="BE64" s="124">
        <v>3.1579999999999997E-2</v>
      </c>
      <c r="BF64" s="124">
        <v>3.4459999999999998E-2</v>
      </c>
      <c r="BG64" s="124">
        <v>2.8559999999999999E-2</v>
      </c>
      <c r="BH64" s="124">
        <v>4.3920000000000001E-2</v>
      </c>
      <c r="BI64" s="124">
        <v>8.2900000000000001E-2</v>
      </c>
      <c r="BJ64" s="124">
        <v>2.4379999999999999E-2</v>
      </c>
      <c r="BK64" s="124">
        <v>2.2269999999999998E-2</v>
      </c>
      <c r="BL64" s="124">
        <v>2.3329999999999997E-2</v>
      </c>
      <c r="BM64" s="124">
        <v>1.478E-2</v>
      </c>
      <c r="BN64" s="118">
        <v>34.76</v>
      </c>
      <c r="BO64" s="118">
        <v>33.15</v>
      </c>
      <c r="BP64" s="118"/>
      <c r="BQ64" s="118"/>
      <c r="BR64" s="118"/>
    </row>
    <row r="65" spans="1:70">
      <c r="A65" s="122">
        <v>25014</v>
      </c>
      <c r="B65" s="122" t="s">
        <v>330</v>
      </c>
      <c r="C65" s="122" t="s">
        <v>331</v>
      </c>
      <c r="D65" s="122" t="s">
        <v>332</v>
      </c>
      <c r="E65" s="122" t="s">
        <v>76</v>
      </c>
      <c r="F65" s="122" t="s">
        <v>1189</v>
      </c>
      <c r="G65" s="163" t="s">
        <v>1190</v>
      </c>
      <c r="H65" s="122">
        <v>14</v>
      </c>
      <c r="I65" s="128" t="s">
        <v>295</v>
      </c>
      <c r="J65" s="118">
        <v>24</v>
      </c>
      <c r="K65" s="118">
        <v>92.88</v>
      </c>
      <c r="L65" s="118">
        <v>0.89</v>
      </c>
      <c r="M65" s="118">
        <v>0.15</v>
      </c>
      <c r="N65" s="118">
        <v>4.28</v>
      </c>
      <c r="O65" s="118">
        <v>1.1000000000000001</v>
      </c>
      <c r="P65" s="118">
        <v>0.03</v>
      </c>
      <c r="Q65" s="118">
        <v>0.01</v>
      </c>
      <c r="R65" s="118">
        <v>0.2</v>
      </c>
      <c r="S65" s="118"/>
      <c r="T65" s="118">
        <v>0.04</v>
      </c>
      <c r="U65" s="118">
        <v>7</v>
      </c>
      <c r="V65" s="118"/>
      <c r="W65" s="118">
        <v>6.2</v>
      </c>
      <c r="X65" s="118">
        <v>0</v>
      </c>
      <c r="Y65" s="118">
        <v>0.1</v>
      </c>
      <c r="Z65" s="118">
        <v>11.57</v>
      </c>
      <c r="AA65" s="118">
        <v>0</v>
      </c>
      <c r="AB65" s="118"/>
      <c r="AC65" s="118"/>
      <c r="AD65" s="118"/>
      <c r="AE65" s="118"/>
      <c r="AF65" s="118"/>
      <c r="AG65" s="118"/>
      <c r="AH65" s="118"/>
      <c r="AI65" s="118">
        <v>19.149999999999999</v>
      </c>
      <c r="AJ65" s="118">
        <v>0.23</v>
      </c>
      <c r="AK65" s="118">
        <v>0.6</v>
      </c>
      <c r="AL65" s="118">
        <v>14</v>
      </c>
      <c r="AM65" s="118">
        <v>0.15</v>
      </c>
      <c r="AN65" s="118">
        <v>32</v>
      </c>
      <c r="AO65" s="118">
        <v>139</v>
      </c>
      <c r="AP65" s="118"/>
      <c r="AQ65" s="118">
        <v>0.5</v>
      </c>
      <c r="AR65" s="118"/>
      <c r="AS65" s="118"/>
      <c r="AT65" s="118"/>
      <c r="AU65" s="118"/>
      <c r="AV65" s="124"/>
      <c r="AW65" s="124"/>
      <c r="AX65" s="124"/>
      <c r="AY65" s="124"/>
      <c r="AZ65" s="124"/>
      <c r="BA65" s="124"/>
      <c r="BB65" s="124"/>
      <c r="BC65" s="124"/>
      <c r="BD65" s="124"/>
      <c r="BE65" s="124"/>
      <c r="BF65" s="124"/>
      <c r="BG65" s="124"/>
      <c r="BH65" s="124"/>
      <c r="BI65" s="124"/>
      <c r="BJ65" s="124"/>
      <c r="BK65" s="124"/>
      <c r="BL65" s="124"/>
      <c r="BM65" s="124"/>
      <c r="BN65" s="118">
        <v>11.3</v>
      </c>
      <c r="BO65" s="118"/>
      <c r="BP65" s="118"/>
      <c r="BQ65" s="118"/>
      <c r="BR65" s="118"/>
    </row>
    <row r="66" spans="1:70">
      <c r="A66" s="122">
        <v>32101</v>
      </c>
      <c r="B66" s="122" t="s">
        <v>334</v>
      </c>
      <c r="C66" s="122" t="s">
        <v>335</v>
      </c>
      <c r="D66" s="122" t="s">
        <v>200</v>
      </c>
      <c r="E66" s="122" t="s">
        <v>76</v>
      </c>
      <c r="F66" s="122" t="s">
        <v>1191</v>
      </c>
      <c r="G66" s="163" t="s">
        <v>1192</v>
      </c>
      <c r="H66" s="122">
        <v>3</v>
      </c>
      <c r="I66" s="128" t="s">
        <v>291</v>
      </c>
      <c r="J66" s="118">
        <v>26.29</v>
      </c>
      <c r="K66" s="118">
        <v>85.52</v>
      </c>
      <c r="L66" s="118">
        <v>1.98</v>
      </c>
      <c r="M66" s="118">
        <v>0.35</v>
      </c>
      <c r="N66" s="118">
        <v>3.48</v>
      </c>
      <c r="O66" s="118">
        <v>7.69</v>
      </c>
      <c r="P66" s="118">
        <v>0.05</v>
      </c>
      <c r="Q66" s="118">
        <v>0.05</v>
      </c>
      <c r="R66" s="118">
        <v>0.19</v>
      </c>
      <c r="S66" s="118">
        <v>0.37</v>
      </c>
      <c r="T66" s="118">
        <v>0.04</v>
      </c>
      <c r="U66" s="118">
        <v>35.79</v>
      </c>
      <c r="V66" s="118"/>
      <c r="W66" s="118">
        <v>17.510000000000002</v>
      </c>
      <c r="X66" s="118">
        <v>6.84</v>
      </c>
      <c r="Y66" s="118">
        <v>0.05</v>
      </c>
      <c r="Z66" s="118">
        <v>22.3</v>
      </c>
      <c r="AA66" s="118">
        <v>0</v>
      </c>
      <c r="AB66" s="118">
        <v>2</v>
      </c>
      <c r="AC66" s="118"/>
      <c r="AD66" s="118">
        <v>18</v>
      </c>
      <c r="AE66" s="118">
        <v>4.8600000000000003</v>
      </c>
      <c r="AF66" s="118"/>
      <c r="AG66" s="118"/>
      <c r="AH66" s="118">
        <v>2.92</v>
      </c>
      <c r="AI66" s="118">
        <v>45.74</v>
      </c>
      <c r="AJ66" s="118">
        <v>0.24</v>
      </c>
      <c r="AK66" s="118">
        <v>0.31</v>
      </c>
      <c r="AL66" s="118">
        <v>26.6</v>
      </c>
      <c r="AM66" s="118">
        <v>0.36</v>
      </c>
      <c r="AN66" s="118">
        <v>27.78</v>
      </c>
      <c r="AO66" s="118">
        <v>327</v>
      </c>
      <c r="AP66" s="118"/>
      <c r="AQ66" s="118">
        <v>0.17</v>
      </c>
      <c r="AR66" s="118">
        <v>0.05</v>
      </c>
      <c r="AS66" s="118">
        <v>0.12</v>
      </c>
      <c r="AT66" s="118">
        <v>0.14000000000000001</v>
      </c>
      <c r="AU66" s="118"/>
      <c r="AV66" s="124">
        <v>3.6830000000000002E-2</v>
      </c>
      <c r="AW66" s="124">
        <v>9.7019999999999995E-2</v>
      </c>
      <c r="AX66" s="124">
        <v>0.13068000000000002</v>
      </c>
      <c r="AY66" s="124">
        <v>5.9200000000000003E-2</v>
      </c>
      <c r="AZ66" s="124">
        <v>1.5640000000000001E-2</v>
      </c>
      <c r="BA66" s="124">
        <v>1.2869999999999999E-2</v>
      </c>
      <c r="BB66" s="124">
        <v>7.8409999999999994E-2</v>
      </c>
      <c r="BC66" s="124">
        <v>8.2369999999999999E-2</v>
      </c>
      <c r="BD66" s="124">
        <v>1.0490000000000001E-2</v>
      </c>
      <c r="BE66" s="124">
        <v>0.11187000000000001</v>
      </c>
      <c r="BF66" s="124">
        <v>0.12137000000000001</v>
      </c>
      <c r="BG66" s="124">
        <v>7.2859999999999994E-2</v>
      </c>
      <c r="BH66" s="124">
        <v>0.43539999999999995</v>
      </c>
      <c r="BI66" s="124">
        <v>0.21027999999999999</v>
      </c>
      <c r="BJ66" s="124">
        <v>0.11068</v>
      </c>
      <c r="BK66" s="124">
        <v>8.0390000000000003E-2</v>
      </c>
      <c r="BL66" s="124">
        <v>8.7120000000000003E-2</v>
      </c>
      <c r="BM66" s="124">
        <v>5.8409999999999997E-2</v>
      </c>
      <c r="BN66" s="118">
        <v>50.59</v>
      </c>
      <c r="BO66" s="118">
        <v>68.790000000000006</v>
      </c>
      <c r="BP66" s="118"/>
      <c r="BQ66" s="118"/>
      <c r="BR66" s="118"/>
    </row>
    <row r="67" spans="1:70">
      <c r="A67" s="122">
        <v>25015</v>
      </c>
      <c r="B67" s="122" t="s">
        <v>339</v>
      </c>
      <c r="C67" s="122" t="s">
        <v>340</v>
      </c>
      <c r="D67" s="122" t="s">
        <v>341</v>
      </c>
      <c r="E67" s="122" t="s">
        <v>103</v>
      </c>
      <c r="F67" s="122" t="s">
        <v>1836</v>
      </c>
      <c r="G67" s="163" t="s">
        <v>1195</v>
      </c>
      <c r="H67" s="122">
        <v>13</v>
      </c>
      <c r="I67" s="128" t="s">
        <v>295</v>
      </c>
      <c r="J67" s="118">
        <v>31</v>
      </c>
      <c r="K67" s="118">
        <v>90.3</v>
      </c>
      <c r="L67" s="118">
        <v>1.83</v>
      </c>
      <c r="M67" s="118">
        <v>0.22</v>
      </c>
      <c r="N67" s="118">
        <v>6.97</v>
      </c>
      <c r="O67" s="118">
        <v>2.7</v>
      </c>
      <c r="P67" s="118">
        <v>8.2000000000000003E-2</v>
      </c>
      <c r="Q67" s="118">
        <v>0.104</v>
      </c>
      <c r="R67" s="118">
        <v>0.73399999999999999</v>
      </c>
      <c r="S67" s="118">
        <v>0.22500000000000001</v>
      </c>
      <c r="T67" s="118">
        <v>0.14099999999999999</v>
      </c>
      <c r="U67" s="118">
        <v>33</v>
      </c>
      <c r="V67" s="118">
        <v>0</v>
      </c>
      <c r="W67" s="118">
        <v>12.2</v>
      </c>
      <c r="X67" s="118">
        <v>0</v>
      </c>
      <c r="Y67" s="118">
        <v>0.41</v>
      </c>
      <c r="Z67" s="118">
        <v>43</v>
      </c>
      <c r="AA67" s="118">
        <v>0</v>
      </c>
      <c r="AB67" s="118">
        <v>35</v>
      </c>
      <c r="AC67" s="118">
        <v>69</v>
      </c>
      <c r="AD67" s="118">
        <v>379</v>
      </c>
      <c r="AE67" s="118">
        <v>640</v>
      </c>
      <c r="AF67" s="118">
        <v>0</v>
      </c>
      <c r="AG67" s="118">
        <v>0</v>
      </c>
      <c r="AH67" s="118">
        <v>0</v>
      </c>
      <c r="AI67" s="118">
        <v>37</v>
      </c>
      <c r="AJ67" s="118">
        <v>6.9000000000000006E-2</v>
      </c>
      <c r="AK67" s="118">
        <v>1.03</v>
      </c>
      <c r="AL67" s="118">
        <v>25</v>
      </c>
      <c r="AM67" s="118">
        <v>0.216</v>
      </c>
      <c r="AN67" s="118">
        <v>38</v>
      </c>
      <c r="AO67" s="118">
        <v>211</v>
      </c>
      <c r="AP67" s="118">
        <v>0.6</v>
      </c>
      <c r="AQ67" s="118">
        <v>0.24</v>
      </c>
      <c r="AR67" s="118">
        <v>0.05</v>
      </c>
      <c r="AS67" s="118">
        <v>0.01</v>
      </c>
      <c r="AT67" s="118">
        <v>0.113</v>
      </c>
      <c r="AU67" s="118">
        <v>0</v>
      </c>
      <c r="AV67" s="118">
        <v>3.4000000000000002E-2</v>
      </c>
      <c r="AW67" s="118">
        <v>6.6000000000000003E-2</v>
      </c>
      <c r="AX67" s="118">
        <v>0.112</v>
      </c>
      <c r="AY67" s="118">
        <v>8.7999999999999995E-2</v>
      </c>
      <c r="AZ67" s="118">
        <v>2.1999999999999999E-2</v>
      </c>
      <c r="BA67" s="118">
        <v>1.7999999999999999E-2</v>
      </c>
      <c r="BB67" s="118">
        <v>6.7000000000000004E-2</v>
      </c>
      <c r="BC67" s="118">
        <v>7.9000000000000001E-2</v>
      </c>
      <c r="BD67" s="118">
        <v>1.9E-2</v>
      </c>
      <c r="BE67" s="118">
        <v>0.09</v>
      </c>
      <c r="BF67" s="118">
        <v>8.4000000000000005E-2</v>
      </c>
      <c r="BG67" s="118">
        <v>7.2999999999999995E-2</v>
      </c>
      <c r="BH67" s="118">
        <v>0.255</v>
      </c>
      <c r="BI67" s="118">
        <v>0.187</v>
      </c>
      <c r="BJ67" s="118">
        <v>6.5000000000000002E-2</v>
      </c>
      <c r="BK67" s="118">
        <v>6.8000000000000005E-2</v>
      </c>
      <c r="BL67" s="118">
        <v>9.9000000000000005E-2</v>
      </c>
      <c r="BM67" s="118">
        <v>4.2000000000000003E-2</v>
      </c>
      <c r="BN67" s="118"/>
      <c r="BO67" s="118"/>
      <c r="BP67" s="118"/>
      <c r="BQ67" s="118"/>
      <c r="BR67" s="118"/>
    </row>
    <row r="68" spans="1:70">
      <c r="A68" s="122">
        <v>25016</v>
      </c>
      <c r="B68" s="122" t="s">
        <v>343</v>
      </c>
      <c r="C68" s="122" t="s">
        <v>344</v>
      </c>
      <c r="D68" s="122" t="s">
        <v>345</v>
      </c>
      <c r="E68" s="122" t="s">
        <v>76</v>
      </c>
      <c r="F68" s="122" t="s">
        <v>1837</v>
      </c>
      <c r="G68" s="163" t="s">
        <v>1198</v>
      </c>
      <c r="H68" s="122">
        <v>3</v>
      </c>
      <c r="I68" s="128" t="s">
        <v>295</v>
      </c>
      <c r="J68" s="118">
        <v>54</v>
      </c>
      <c r="K68" s="118">
        <v>84.98</v>
      </c>
      <c r="L68" s="118">
        <v>3.9</v>
      </c>
      <c r="M68" s="118">
        <v>0.1</v>
      </c>
      <c r="N68" s="118">
        <v>8.33</v>
      </c>
      <c r="O68" s="118">
        <v>2</v>
      </c>
      <c r="P68" s="118">
        <v>0.05</v>
      </c>
      <c r="Q68" s="118">
        <v>0.01</v>
      </c>
      <c r="R68" s="118"/>
      <c r="S68" s="118">
        <v>0.42</v>
      </c>
      <c r="T68" s="118">
        <v>0.08</v>
      </c>
      <c r="U68" s="118">
        <v>60</v>
      </c>
      <c r="V68" s="118">
        <v>0</v>
      </c>
      <c r="W68" s="118">
        <v>8.74</v>
      </c>
      <c r="X68" s="118">
        <v>1.41</v>
      </c>
      <c r="Y68" s="118">
        <v>0.06</v>
      </c>
      <c r="Z68" s="118">
        <v>60.1</v>
      </c>
      <c r="AA68" s="118">
        <v>0</v>
      </c>
      <c r="AB68" s="118">
        <v>31.99</v>
      </c>
      <c r="AC68" s="118">
        <v>1.25</v>
      </c>
      <c r="AD68" s="118">
        <v>383.25</v>
      </c>
      <c r="AE68" s="118">
        <v>98.51</v>
      </c>
      <c r="AF68" s="118"/>
      <c r="AG68" s="118"/>
      <c r="AH68" s="118">
        <v>2.67</v>
      </c>
      <c r="AI68" s="118">
        <v>44.1</v>
      </c>
      <c r="AJ68" s="118">
        <v>0.02</v>
      </c>
      <c r="AK68" s="118">
        <v>1.1000000000000001</v>
      </c>
      <c r="AL68" s="118">
        <v>24.75</v>
      </c>
      <c r="AM68" s="118">
        <v>0.37</v>
      </c>
      <c r="AN68" s="118">
        <v>34</v>
      </c>
      <c r="AO68" s="118">
        <v>220</v>
      </c>
      <c r="AP68" s="118">
        <v>0.02</v>
      </c>
      <c r="AQ68" s="118">
        <v>0.48</v>
      </c>
      <c r="AR68" s="118">
        <v>0.27</v>
      </c>
      <c r="AS68" s="118">
        <v>0.05</v>
      </c>
      <c r="AT68" s="118">
        <v>0.43</v>
      </c>
      <c r="AU68" s="118"/>
      <c r="AV68" s="124">
        <v>9.237999999999999E-2</v>
      </c>
      <c r="AW68" s="124">
        <v>0.11326</v>
      </c>
      <c r="AX68" s="124">
        <v>0.23766999999999999</v>
      </c>
      <c r="AY68" s="124">
        <v>0.19162000000000001</v>
      </c>
      <c r="AZ68" s="124">
        <v>4.1759999999999999E-2</v>
      </c>
      <c r="BA68" s="124">
        <v>1.7729999999999999E-2</v>
      </c>
      <c r="BB68" s="124">
        <v>0.14671999999999999</v>
      </c>
      <c r="BC68" s="124">
        <v>0.12670000000000001</v>
      </c>
      <c r="BD68" s="124">
        <v>2.5170000000000001E-2</v>
      </c>
      <c r="BE68" s="124">
        <v>0.12984000000000001</v>
      </c>
      <c r="BF68" s="124">
        <v>0.16072999999999998</v>
      </c>
      <c r="BG68" s="124">
        <v>0.1736</v>
      </c>
      <c r="BH68" s="124">
        <v>0.33976999999999996</v>
      </c>
      <c r="BI68" s="124">
        <v>0.45960000000000001</v>
      </c>
      <c r="BJ68" s="124">
        <v>0.13613999999999998</v>
      </c>
      <c r="BK68" s="124">
        <v>0.13385</v>
      </c>
      <c r="BL68" s="124">
        <v>0.15730000000000002</v>
      </c>
      <c r="BM68" s="124">
        <v>8.0939999999999998E-2</v>
      </c>
      <c r="BN68" s="118">
        <v>12.68</v>
      </c>
      <c r="BO68" s="118">
        <v>17.329999999999998</v>
      </c>
      <c r="BP68" s="118"/>
      <c r="BQ68" s="118"/>
      <c r="BR68" s="118"/>
    </row>
    <row r="69" spans="1:70">
      <c r="A69" s="122">
        <v>13007</v>
      </c>
      <c r="B69" s="122" t="s">
        <v>346</v>
      </c>
      <c r="C69" s="122" t="s">
        <v>347</v>
      </c>
      <c r="D69" s="122" t="s">
        <v>341</v>
      </c>
      <c r="E69" s="122" t="s">
        <v>82</v>
      </c>
      <c r="F69" s="122" t="s">
        <v>348</v>
      </c>
      <c r="G69" s="163" t="s">
        <v>349</v>
      </c>
      <c r="H69" s="122">
        <v>2</v>
      </c>
      <c r="I69" s="128" t="s">
        <v>72</v>
      </c>
      <c r="J69" s="118">
        <v>299.24</v>
      </c>
      <c r="K69" s="118">
        <v>9.8699999999999992</v>
      </c>
      <c r="L69" s="118">
        <v>19.91</v>
      </c>
      <c r="M69" s="118">
        <v>1.77</v>
      </c>
      <c r="N69" s="118">
        <v>48.61</v>
      </c>
      <c r="O69" s="118">
        <v>16.57</v>
      </c>
      <c r="P69" s="118">
        <v>0.3</v>
      </c>
      <c r="Q69" s="118">
        <v>0.19</v>
      </c>
      <c r="R69" s="118">
        <v>2.42</v>
      </c>
      <c r="S69" s="118">
        <v>1.82</v>
      </c>
      <c r="T69" s="118">
        <v>0.21</v>
      </c>
      <c r="U69" s="118">
        <v>316</v>
      </c>
      <c r="V69" s="118"/>
      <c r="W69" s="118">
        <v>4.5</v>
      </c>
      <c r="X69" s="118">
        <v>26.73</v>
      </c>
      <c r="Y69" s="118">
        <v>7.0000000000000007E-2</v>
      </c>
      <c r="Z69" s="118">
        <v>4.9000000000000004</v>
      </c>
      <c r="AA69" s="118"/>
      <c r="AB69" s="125">
        <f>AA69+1/12*(AD69)+1/24*(AC69)+1/24*(AG69)</f>
        <v>0.13333333333333333</v>
      </c>
      <c r="AC69" s="118"/>
      <c r="AD69" s="118">
        <v>1.6</v>
      </c>
      <c r="AE69" s="118">
        <v>6.76</v>
      </c>
      <c r="AF69" s="118"/>
      <c r="AG69" s="118"/>
      <c r="AH69" s="118"/>
      <c r="AI69" s="118">
        <v>126</v>
      </c>
      <c r="AJ69" s="118">
        <v>0.78</v>
      </c>
      <c r="AK69" s="118">
        <v>6.13</v>
      </c>
      <c r="AL69" s="118">
        <v>173</v>
      </c>
      <c r="AM69" s="118">
        <v>1.24</v>
      </c>
      <c r="AN69" s="118">
        <v>409</v>
      </c>
      <c r="AO69" s="118">
        <v>1324</v>
      </c>
      <c r="AP69" s="118">
        <v>22.45</v>
      </c>
      <c r="AQ69" s="118">
        <v>2.69</v>
      </c>
      <c r="AR69" s="118">
        <v>0.25600000000000001</v>
      </c>
      <c r="AS69" s="118">
        <v>8.7800000000000003E-2</v>
      </c>
      <c r="AT69" s="118">
        <v>0.93100000000000005</v>
      </c>
      <c r="AU69" s="118">
        <v>0</v>
      </c>
      <c r="AV69" s="118">
        <v>2.7</v>
      </c>
      <c r="AW69" s="118">
        <v>4.2300000000000004</v>
      </c>
      <c r="AX69" s="118">
        <v>7.78</v>
      </c>
      <c r="AY69" s="118">
        <v>6.71</v>
      </c>
      <c r="AZ69" s="118">
        <v>0.88</v>
      </c>
      <c r="BA69" s="118">
        <v>0.7</v>
      </c>
      <c r="BB69" s="118">
        <v>5.9</v>
      </c>
      <c r="BC69" s="118">
        <v>4.18</v>
      </c>
      <c r="BD69" s="118">
        <v>1.05</v>
      </c>
      <c r="BE69" s="118">
        <v>5.07</v>
      </c>
      <c r="BF69" s="118">
        <v>4.57</v>
      </c>
      <c r="BG69" s="118">
        <v>6.1</v>
      </c>
      <c r="BH69" s="118">
        <v>10.5</v>
      </c>
      <c r="BI69" s="118">
        <v>16.010000000000002</v>
      </c>
      <c r="BJ69" s="118">
        <v>3.78</v>
      </c>
      <c r="BK69" s="118">
        <v>3.4</v>
      </c>
      <c r="BL69" s="118">
        <v>5.74</v>
      </c>
      <c r="BM69" s="118">
        <v>3.12</v>
      </c>
      <c r="BN69" s="118">
        <v>360</v>
      </c>
      <c r="BO69" s="118">
        <v>465</v>
      </c>
      <c r="BP69" s="118">
        <v>41.44</v>
      </c>
      <c r="BQ69" s="118"/>
      <c r="BR69" s="118"/>
    </row>
    <row r="70" spans="1:70">
      <c r="A70" s="122">
        <v>25017</v>
      </c>
      <c r="B70" s="122" t="s">
        <v>350</v>
      </c>
      <c r="C70" s="122" t="s">
        <v>351</v>
      </c>
      <c r="D70" s="122" t="s">
        <v>352</v>
      </c>
      <c r="E70" s="122" t="s">
        <v>76</v>
      </c>
      <c r="F70" s="122" t="s">
        <v>1838</v>
      </c>
      <c r="G70" s="163" t="s">
        <v>1203</v>
      </c>
      <c r="H70" s="122">
        <v>13</v>
      </c>
      <c r="I70" s="128" t="s">
        <v>197</v>
      </c>
      <c r="J70" s="118">
        <v>77</v>
      </c>
      <c r="K70" s="118">
        <v>78.91</v>
      </c>
      <c r="L70" s="118">
        <v>1.95</v>
      </c>
      <c r="M70" s="118">
        <v>0.3</v>
      </c>
      <c r="N70" s="118">
        <v>15.54</v>
      </c>
      <c r="O70" s="118">
        <v>2.2999999999999998</v>
      </c>
      <c r="P70" s="118">
        <v>0.09</v>
      </c>
      <c r="Q70" s="118">
        <v>0.06</v>
      </c>
      <c r="R70" s="118">
        <v>0.7</v>
      </c>
      <c r="S70" s="118">
        <v>0.26</v>
      </c>
      <c r="T70" s="118">
        <v>0.3</v>
      </c>
      <c r="U70" s="118">
        <v>22</v>
      </c>
      <c r="V70" s="118">
        <v>0</v>
      </c>
      <c r="W70" s="118">
        <v>7.26</v>
      </c>
      <c r="X70" s="118">
        <v>1.29</v>
      </c>
      <c r="Y70" s="118">
        <v>0.14000000000000001</v>
      </c>
      <c r="Z70" s="118">
        <v>17.420000000000002</v>
      </c>
      <c r="AA70" s="118">
        <v>0</v>
      </c>
      <c r="AB70" s="118">
        <v>56.33</v>
      </c>
      <c r="AC70" s="118">
        <v>438</v>
      </c>
      <c r="AD70" s="118">
        <v>457</v>
      </c>
      <c r="AE70" s="118">
        <v>28.9</v>
      </c>
      <c r="AF70" s="118"/>
      <c r="AG70" s="118"/>
      <c r="AH70" s="118">
        <v>3.45</v>
      </c>
      <c r="AI70" s="118">
        <v>22</v>
      </c>
      <c r="AJ70" s="118">
        <v>0.08</v>
      </c>
      <c r="AK70" s="118">
        <v>0.6</v>
      </c>
      <c r="AL70" s="118">
        <v>28.45</v>
      </c>
      <c r="AM70" s="118">
        <v>0.28999999999999998</v>
      </c>
      <c r="AN70" s="118">
        <v>20.51</v>
      </c>
      <c r="AO70" s="118">
        <v>241.59</v>
      </c>
      <c r="AP70" s="118">
        <v>0.82</v>
      </c>
      <c r="AQ70" s="118">
        <v>0.14000000000000001</v>
      </c>
      <c r="AR70" s="118">
        <v>0.06</v>
      </c>
      <c r="AS70" s="118">
        <v>0.02</v>
      </c>
      <c r="AT70" s="118">
        <v>0.11</v>
      </c>
      <c r="AU70" s="118"/>
      <c r="AV70" s="124">
        <v>2.8910000000000002E-2</v>
      </c>
      <c r="AW70" s="124">
        <v>3.056E-2</v>
      </c>
      <c r="AX70" s="124">
        <v>5.876E-2</v>
      </c>
      <c r="AY70" s="124">
        <v>4.3659999999999997E-2</v>
      </c>
      <c r="AZ70" s="124">
        <v>9.4399999999999987E-3</v>
      </c>
      <c r="BA70" s="124">
        <v>7.9100000000000004E-3</v>
      </c>
      <c r="BB70" s="124">
        <v>6.2780000000000002E-2</v>
      </c>
      <c r="BC70" s="124">
        <v>3.4570000000000004E-2</v>
      </c>
      <c r="BD70" s="124">
        <v>8.0199999999999994E-3</v>
      </c>
      <c r="BE70" s="124">
        <v>6.5019999999999994E-2</v>
      </c>
      <c r="BF70" s="124">
        <v>7.009E-2</v>
      </c>
      <c r="BG70" s="124">
        <v>5.2630000000000003E-2</v>
      </c>
      <c r="BH70" s="124">
        <v>0.17027</v>
      </c>
      <c r="BI70" s="124">
        <v>0.24107000000000001</v>
      </c>
      <c r="BJ70" s="124">
        <v>4.5190000000000001E-2</v>
      </c>
      <c r="BK70" s="124">
        <v>3.705E-2</v>
      </c>
      <c r="BL70" s="124">
        <v>5.2510000000000001E-2</v>
      </c>
      <c r="BM70" s="124">
        <v>2.4660000000000001E-2</v>
      </c>
      <c r="BN70" s="118">
        <v>25.27</v>
      </c>
      <c r="BO70" s="118">
        <v>40.44</v>
      </c>
      <c r="BP70" s="118"/>
      <c r="BQ70" s="118"/>
      <c r="BR70" s="118"/>
    </row>
    <row r="71" spans="1:70">
      <c r="A71" s="122">
        <v>25018</v>
      </c>
      <c r="B71" s="122" t="s">
        <v>354</v>
      </c>
      <c r="C71" s="122" t="s">
        <v>355</v>
      </c>
      <c r="D71" s="122" t="s">
        <v>356</v>
      </c>
      <c r="E71" s="122" t="s">
        <v>76</v>
      </c>
      <c r="F71" s="122" t="s">
        <v>1204</v>
      </c>
      <c r="G71" s="163" t="s">
        <v>357</v>
      </c>
      <c r="H71" s="122">
        <v>13</v>
      </c>
      <c r="I71" s="128" t="s">
        <v>295</v>
      </c>
      <c r="J71" s="118">
        <v>24</v>
      </c>
      <c r="K71" s="118">
        <v>93.39</v>
      </c>
      <c r="L71" s="118">
        <v>0.5</v>
      </c>
      <c r="M71" s="118">
        <v>0.3</v>
      </c>
      <c r="N71" s="118">
        <v>4.51</v>
      </c>
      <c r="O71" s="118">
        <v>0.8</v>
      </c>
      <c r="P71" s="118">
        <v>0.04</v>
      </c>
      <c r="Q71" s="118">
        <v>0.06</v>
      </c>
      <c r="R71" s="118">
        <v>0.8</v>
      </c>
      <c r="S71" s="118">
        <v>0.22</v>
      </c>
      <c r="T71" s="118">
        <v>0.04</v>
      </c>
      <c r="U71" s="118">
        <v>16.25</v>
      </c>
      <c r="V71" s="118">
        <v>0</v>
      </c>
      <c r="W71" s="118">
        <v>18.77</v>
      </c>
      <c r="X71" s="118">
        <v>2.96</v>
      </c>
      <c r="Y71" s="118">
        <v>0.01</v>
      </c>
      <c r="Z71" s="118">
        <v>8.35</v>
      </c>
      <c r="AA71" s="118">
        <v>0</v>
      </c>
      <c r="AB71" s="118"/>
      <c r="AC71" s="118"/>
      <c r="AD71" s="118">
        <v>61.29</v>
      </c>
      <c r="AE71" s="118">
        <v>39.25</v>
      </c>
      <c r="AF71" s="118"/>
      <c r="AG71" s="118"/>
      <c r="AH71" s="118">
        <v>4.54</v>
      </c>
      <c r="AI71" s="118">
        <v>31.28</v>
      </c>
      <c r="AJ71" s="118">
        <v>0.18</v>
      </c>
      <c r="AK71" s="118">
        <v>0.38</v>
      </c>
      <c r="AL71" s="118">
        <v>17.14</v>
      </c>
      <c r="AM71" s="118">
        <v>0.14000000000000001</v>
      </c>
      <c r="AN71" s="118">
        <v>27.86</v>
      </c>
      <c r="AO71" s="118">
        <v>154.71</v>
      </c>
      <c r="AP71" s="118"/>
      <c r="AQ71" s="118">
        <v>0.32</v>
      </c>
      <c r="AR71" s="118">
        <v>0.1</v>
      </c>
      <c r="AS71" s="118">
        <v>0</v>
      </c>
      <c r="AT71" s="118">
        <v>0.1</v>
      </c>
      <c r="AU71" s="118"/>
      <c r="AV71" s="124">
        <v>1.307E-2</v>
      </c>
      <c r="AW71" s="124">
        <v>3.5150000000000001E-2</v>
      </c>
      <c r="AX71" s="124">
        <v>4.4789999999999996E-2</v>
      </c>
      <c r="AY71" s="124">
        <v>3.9640000000000002E-2</v>
      </c>
      <c r="AZ71" s="124">
        <v>7.9900000000000006E-3</v>
      </c>
      <c r="BA71" s="124">
        <v>5.13E-3</v>
      </c>
      <c r="BB71" s="124">
        <v>3.3239999999999999E-2</v>
      </c>
      <c r="BC71" s="124">
        <v>2.827E-2</v>
      </c>
      <c r="BD71" s="124">
        <v>5.0199999999999993E-3</v>
      </c>
      <c r="BE71" s="124">
        <v>4.4090000000000004E-2</v>
      </c>
      <c r="BF71" s="124">
        <v>5.2060000000000002E-2</v>
      </c>
      <c r="BG71" s="124">
        <v>4.301E-2</v>
      </c>
      <c r="BH71" s="124">
        <v>8.073000000000001E-2</v>
      </c>
      <c r="BI71" s="124">
        <v>0.16494</v>
      </c>
      <c r="BJ71" s="124">
        <v>3.6990000000000002E-2</v>
      </c>
      <c r="BK71" s="124">
        <v>3.1640000000000001E-2</v>
      </c>
      <c r="BL71" s="124">
        <v>3.7579999999999995E-2</v>
      </c>
      <c r="BM71" s="124">
        <v>2.2679999999999999E-2</v>
      </c>
      <c r="BN71" s="118">
        <v>6.78</v>
      </c>
      <c r="BO71" s="118">
        <v>13.1</v>
      </c>
      <c r="BP71" s="118"/>
      <c r="BQ71" s="118"/>
      <c r="BR71" s="118"/>
    </row>
    <row r="72" spans="1:70">
      <c r="A72" s="122">
        <v>24007</v>
      </c>
      <c r="B72" s="122" t="s">
        <v>358</v>
      </c>
      <c r="C72" s="122" t="s">
        <v>359</v>
      </c>
      <c r="D72" s="122" t="s">
        <v>360</v>
      </c>
      <c r="E72" s="122" t="s">
        <v>76</v>
      </c>
      <c r="F72" s="122" t="s">
        <v>1205</v>
      </c>
      <c r="G72" s="163" t="s">
        <v>1206</v>
      </c>
      <c r="H72" s="122">
        <v>13</v>
      </c>
      <c r="I72" s="128" t="s">
        <v>295</v>
      </c>
      <c r="J72" s="118">
        <v>16</v>
      </c>
      <c r="K72" s="118">
        <v>94.3</v>
      </c>
      <c r="L72" s="118">
        <v>0.9</v>
      </c>
      <c r="M72" s="118">
        <v>0.2</v>
      </c>
      <c r="N72" s="118">
        <v>1.6</v>
      </c>
      <c r="O72" s="118">
        <v>2.2000000000000002</v>
      </c>
      <c r="P72" s="118">
        <v>0.02</v>
      </c>
      <c r="Q72" s="118">
        <v>0.03</v>
      </c>
      <c r="R72" s="118">
        <v>0.22</v>
      </c>
      <c r="S72" s="118">
        <v>0.5</v>
      </c>
      <c r="T72" s="118">
        <v>7.0000000000000007E-2</v>
      </c>
      <c r="U72" s="118">
        <v>25.32</v>
      </c>
      <c r="V72" s="118">
        <v>0</v>
      </c>
      <c r="W72" s="118">
        <v>5.8</v>
      </c>
      <c r="X72" s="118">
        <v>0.14000000000000001</v>
      </c>
      <c r="Y72" s="118">
        <v>0.09</v>
      </c>
      <c r="Z72" s="118">
        <v>33.68</v>
      </c>
      <c r="AA72" s="118"/>
      <c r="AB72" s="118">
        <v>4</v>
      </c>
      <c r="AC72" s="118"/>
      <c r="AD72" s="118">
        <v>2.2999999999999998</v>
      </c>
      <c r="AE72" s="118">
        <v>99.6</v>
      </c>
      <c r="AF72" s="118"/>
      <c r="AG72" s="118"/>
      <c r="AH72" s="118">
        <v>1.96</v>
      </c>
      <c r="AI72" s="118">
        <v>40</v>
      </c>
      <c r="AJ72" s="118">
        <v>0.08</v>
      </c>
      <c r="AK72" s="118">
        <v>0.6</v>
      </c>
      <c r="AL72" s="118">
        <v>20</v>
      </c>
      <c r="AM72" s="118">
        <v>0.37</v>
      </c>
      <c r="AN72" s="118">
        <v>31</v>
      </c>
      <c r="AO72" s="118">
        <v>414</v>
      </c>
      <c r="AP72" s="118">
        <v>1.48</v>
      </c>
      <c r="AQ72" s="118">
        <v>0.2</v>
      </c>
      <c r="AR72" s="118">
        <v>7.0000000000000007E-2</v>
      </c>
      <c r="AS72" s="118">
        <v>0.01</v>
      </c>
      <c r="AT72" s="118">
        <v>0.11</v>
      </c>
      <c r="AU72" s="118"/>
      <c r="AV72" s="124">
        <v>2.1569999999999999E-2</v>
      </c>
      <c r="AW72" s="124">
        <v>3.8770000000000006E-2</v>
      </c>
      <c r="AX72" s="124">
        <v>6.5519999999999995E-2</v>
      </c>
      <c r="AY72" s="124">
        <v>3.0300000000000001E-2</v>
      </c>
      <c r="AZ72" s="124">
        <v>1.0919999999999999E-2</v>
      </c>
      <c r="BA72" s="124">
        <v>7.28E-3</v>
      </c>
      <c r="BB72" s="124">
        <v>3.7670000000000002E-2</v>
      </c>
      <c r="BC72" s="124">
        <v>3.8399999999999997E-2</v>
      </c>
      <c r="BD72" s="124">
        <v>6.6400000000000001E-3</v>
      </c>
      <c r="BE72" s="124">
        <v>5.4240000000000003E-2</v>
      </c>
      <c r="BF72" s="124">
        <v>6.7069999999999991E-2</v>
      </c>
      <c r="BG72" s="124">
        <v>4.2770000000000002E-2</v>
      </c>
      <c r="BH72" s="124">
        <v>0.10773999999999999</v>
      </c>
      <c r="BI72" s="124">
        <v>0.10773999999999999</v>
      </c>
      <c r="BJ72" s="124">
        <v>6.0880000000000004E-2</v>
      </c>
      <c r="BK72" s="124">
        <v>3.7670000000000002E-2</v>
      </c>
      <c r="BL72" s="124">
        <v>4.4950000000000004E-2</v>
      </c>
      <c r="BM72" s="124">
        <v>2.8030000000000003E-2</v>
      </c>
      <c r="BN72" s="118">
        <v>11.66</v>
      </c>
      <c r="BO72" s="118">
        <v>26.49</v>
      </c>
      <c r="BP72" s="118"/>
      <c r="BQ72" s="118"/>
      <c r="BR72" s="118"/>
    </row>
    <row r="73" spans="1:70">
      <c r="A73" s="122">
        <v>24008</v>
      </c>
      <c r="B73" s="122" t="s">
        <v>363</v>
      </c>
      <c r="C73" s="122" t="s">
        <v>364</v>
      </c>
      <c r="D73" s="122" t="s">
        <v>365</v>
      </c>
      <c r="E73" s="122" t="s">
        <v>76</v>
      </c>
      <c r="F73" s="122" t="s">
        <v>1205</v>
      </c>
      <c r="G73" s="163" t="s">
        <v>1206</v>
      </c>
      <c r="H73" s="122">
        <v>2</v>
      </c>
      <c r="I73" s="128" t="s">
        <v>295</v>
      </c>
      <c r="J73" s="118">
        <v>16</v>
      </c>
      <c r="K73" s="118">
        <v>94.3</v>
      </c>
      <c r="L73" s="118">
        <v>0.9</v>
      </c>
      <c r="M73" s="118">
        <v>0.2</v>
      </c>
      <c r="N73" s="118">
        <v>1.6</v>
      </c>
      <c r="O73" s="118">
        <v>2.2000000000000002</v>
      </c>
      <c r="P73" s="118">
        <v>0.02</v>
      </c>
      <c r="Q73" s="118">
        <v>0.03</v>
      </c>
      <c r="R73" s="118">
        <v>0.22</v>
      </c>
      <c r="S73" s="118">
        <v>0.5</v>
      </c>
      <c r="T73" s="118">
        <v>7.0000000000000007E-2</v>
      </c>
      <c r="U73" s="118">
        <v>25.32</v>
      </c>
      <c r="V73" s="118">
        <v>0</v>
      </c>
      <c r="W73" s="118">
        <v>5.8</v>
      </c>
      <c r="X73" s="118">
        <v>0.14000000000000001</v>
      </c>
      <c r="Y73" s="118">
        <v>0.09</v>
      </c>
      <c r="Z73" s="118">
        <v>33.68</v>
      </c>
      <c r="AA73" s="118"/>
      <c r="AB73" s="118">
        <v>4</v>
      </c>
      <c r="AC73" s="118"/>
      <c r="AD73" s="118">
        <v>2.2999999999999998</v>
      </c>
      <c r="AE73" s="118">
        <v>99.6</v>
      </c>
      <c r="AF73" s="118"/>
      <c r="AG73" s="118"/>
      <c r="AH73" s="118">
        <v>1.96</v>
      </c>
      <c r="AI73" s="118">
        <v>40</v>
      </c>
      <c r="AJ73" s="118">
        <v>0.08</v>
      </c>
      <c r="AK73" s="118">
        <v>0.6</v>
      </c>
      <c r="AL73" s="118">
        <v>20</v>
      </c>
      <c r="AM73" s="118">
        <v>0.37</v>
      </c>
      <c r="AN73" s="118">
        <v>31</v>
      </c>
      <c r="AO73" s="118">
        <v>414</v>
      </c>
      <c r="AP73" s="118">
        <v>1.48</v>
      </c>
      <c r="AQ73" s="118">
        <v>0.2</v>
      </c>
      <c r="AR73" s="118">
        <v>7.0000000000000007E-2</v>
      </c>
      <c r="AS73" s="118">
        <v>0.01</v>
      </c>
      <c r="AT73" s="118">
        <v>0.11</v>
      </c>
      <c r="AU73" s="118"/>
      <c r="AV73" s="124">
        <v>2.1569999999999999E-2</v>
      </c>
      <c r="AW73" s="124">
        <v>3.8770000000000006E-2</v>
      </c>
      <c r="AX73" s="124">
        <v>6.5519999999999995E-2</v>
      </c>
      <c r="AY73" s="124">
        <v>3.0300000000000001E-2</v>
      </c>
      <c r="AZ73" s="124">
        <v>1.0919999999999999E-2</v>
      </c>
      <c r="BA73" s="124">
        <v>7.28E-3</v>
      </c>
      <c r="BB73" s="124">
        <v>3.7670000000000002E-2</v>
      </c>
      <c r="BC73" s="124">
        <v>3.8399999999999997E-2</v>
      </c>
      <c r="BD73" s="124">
        <v>6.6400000000000001E-3</v>
      </c>
      <c r="BE73" s="124">
        <v>5.4240000000000003E-2</v>
      </c>
      <c r="BF73" s="124">
        <v>6.7069999999999991E-2</v>
      </c>
      <c r="BG73" s="124">
        <v>4.2770000000000002E-2</v>
      </c>
      <c r="BH73" s="124">
        <v>0.10773999999999999</v>
      </c>
      <c r="BI73" s="124">
        <v>0.10773999999999999</v>
      </c>
      <c r="BJ73" s="124">
        <v>6.0880000000000004E-2</v>
      </c>
      <c r="BK73" s="124">
        <v>3.7670000000000002E-2</v>
      </c>
      <c r="BL73" s="124">
        <v>4.4950000000000004E-2</v>
      </c>
      <c r="BM73" s="124">
        <v>2.8030000000000003E-2</v>
      </c>
      <c r="BN73" s="118">
        <v>11.66</v>
      </c>
      <c r="BO73" s="118">
        <v>26.49</v>
      </c>
      <c r="BP73" s="118"/>
      <c r="BQ73" s="118"/>
      <c r="BR73" s="118"/>
    </row>
    <row r="74" spans="1:70">
      <c r="A74" s="122">
        <v>24009</v>
      </c>
      <c r="B74" s="122" t="s">
        <v>366</v>
      </c>
      <c r="C74" s="122" t="s">
        <v>367</v>
      </c>
      <c r="D74" s="122" t="s">
        <v>360</v>
      </c>
      <c r="E74" s="122" t="s">
        <v>76</v>
      </c>
      <c r="F74" s="122" t="s">
        <v>1207</v>
      </c>
      <c r="G74" s="163" t="s">
        <v>1208</v>
      </c>
      <c r="H74" s="122">
        <v>10</v>
      </c>
      <c r="I74" s="128" t="s">
        <v>197</v>
      </c>
      <c r="J74" s="118">
        <v>97</v>
      </c>
      <c r="K74" s="118">
        <v>72.900000000000006</v>
      </c>
      <c r="L74" s="118">
        <v>2.1</v>
      </c>
      <c r="M74" s="118">
        <v>0.2</v>
      </c>
      <c r="N74" s="118">
        <v>20.2</v>
      </c>
      <c r="O74" s="118">
        <v>3.2</v>
      </c>
      <c r="P74" s="118">
        <v>0.1</v>
      </c>
      <c r="Q74" s="118">
        <v>0.03</v>
      </c>
      <c r="R74" s="118">
        <v>0.51</v>
      </c>
      <c r="S74" s="118">
        <v>0.12</v>
      </c>
      <c r="T74" s="118">
        <v>0.17</v>
      </c>
      <c r="U74" s="118">
        <v>22</v>
      </c>
      <c r="V74" s="118">
        <v>0</v>
      </c>
      <c r="W74" s="118">
        <v>6</v>
      </c>
      <c r="X74" s="118">
        <v>0.27</v>
      </c>
      <c r="Y74" s="118">
        <v>0.33</v>
      </c>
      <c r="Z74" s="118">
        <v>3.15</v>
      </c>
      <c r="AA74" s="118">
        <v>0</v>
      </c>
      <c r="AB74" s="118">
        <v>4</v>
      </c>
      <c r="AC74" s="118"/>
      <c r="AD74" s="118">
        <v>35</v>
      </c>
      <c r="AE74" s="118">
        <v>5.87</v>
      </c>
      <c r="AF74" s="118"/>
      <c r="AG74" s="118"/>
      <c r="AH74" s="118">
        <v>2.0699999999999998</v>
      </c>
      <c r="AI74" s="118">
        <v>31</v>
      </c>
      <c r="AJ74" s="118">
        <v>0.3</v>
      </c>
      <c r="AK74" s="118">
        <v>0.7</v>
      </c>
      <c r="AL74" s="118">
        <v>37</v>
      </c>
      <c r="AM74" s="118">
        <v>0.47</v>
      </c>
      <c r="AN74" s="118">
        <v>81</v>
      </c>
      <c r="AO74" s="118">
        <v>514</v>
      </c>
      <c r="AP74" s="118">
        <v>0.3</v>
      </c>
      <c r="AQ74" s="118">
        <v>0.41</v>
      </c>
      <c r="AR74" s="118">
        <v>0.04</v>
      </c>
      <c r="AS74" s="118">
        <v>0.02</v>
      </c>
      <c r="AT74" s="118">
        <v>7.6999999999999999E-2</v>
      </c>
      <c r="AU74" s="118"/>
      <c r="AV74" s="124">
        <v>6.719E-2</v>
      </c>
      <c r="AW74" s="124">
        <v>0.10129000000000001</v>
      </c>
      <c r="AX74" s="124">
        <v>0.21052000000000001</v>
      </c>
      <c r="AY74" s="124">
        <v>0.13008</v>
      </c>
      <c r="AZ74" s="124">
        <v>2.5489999999999999E-2</v>
      </c>
      <c r="BA74" s="124">
        <v>4.6009999999999995E-2</v>
      </c>
      <c r="BB74" s="124">
        <v>0.17277999999999999</v>
      </c>
      <c r="BC74" s="124">
        <v>0.11254</v>
      </c>
      <c r="BD74" s="124">
        <v>3.8399999999999997E-2</v>
      </c>
      <c r="BE74" s="124">
        <v>0.17774999999999999</v>
      </c>
      <c r="BF74" s="124">
        <v>1.6000000000000001E-4</v>
      </c>
      <c r="BG74" s="124">
        <v>2.5000000000000001E-4</v>
      </c>
      <c r="BH74" s="124">
        <v>4.1999999999999996E-4</v>
      </c>
      <c r="BI74" s="124">
        <v>4.6999999999999999E-4</v>
      </c>
      <c r="BJ74" s="124">
        <v>1.4999999999999999E-4</v>
      </c>
      <c r="BK74" s="124">
        <v>1.3000000000000002E-4</v>
      </c>
      <c r="BL74" s="124">
        <v>1.4000000000000001E-4</v>
      </c>
      <c r="BM74" s="124">
        <v>0.12875999999999999</v>
      </c>
      <c r="BN74" s="118">
        <v>59.2</v>
      </c>
      <c r="BO74" s="118">
        <v>13.57</v>
      </c>
      <c r="BP74" s="118"/>
      <c r="BQ74" s="118"/>
      <c r="BR74" s="118"/>
    </row>
    <row r="75" spans="1:70">
      <c r="A75" s="122">
        <v>21022</v>
      </c>
      <c r="B75" s="122" t="s">
        <v>370</v>
      </c>
      <c r="C75" s="122" t="s">
        <v>371</v>
      </c>
      <c r="D75" s="127" t="s">
        <v>372</v>
      </c>
      <c r="E75" s="122" t="s">
        <v>76</v>
      </c>
      <c r="F75" s="122" t="s">
        <v>1209</v>
      </c>
      <c r="G75" s="163" t="s">
        <v>1210</v>
      </c>
      <c r="H75" s="122">
        <v>2</v>
      </c>
      <c r="I75" s="128" t="s">
        <v>207</v>
      </c>
      <c r="J75" s="118">
        <v>43.5</v>
      </c>
      <c r="K75" s="125">
        <v>83.599998474121094</v>
      </c>
      <c r="L75" s="125">
        <v>3.4200000762939453</v>
      </c>
      <c r="M75" s="125">
        <v>1.3799999952316284</v>
      </c>
      <c r="N75" s="125">
        <v>3.690000057220459</v>
      </c>
      <c r="O75" s="125">
        <v>5.5999999046325684</v>
      </c>
      <c r="P75" s="125">
        <v>7.9999998211860657E-2</v>
      </c>
      <c r="Q75" s="125">
        <v>7.0000000298023224E-2</v>
      </c>
      <c r="R75" s="125">
        <v>0.80000001192092896</v>
      </c>
      <c r="S75" s="118"/>
      <c r="T75" s="125">
        <v>0.28999999165534973</v>
      </c>
      <c r="U75" s="125">
        <v>159.10000610351563</v>
      </c>
      <c r="V75" s="118">
        <v>0</v>
      </c>
      <c r="W75" s="125">
        <v>40.700000762939453</v>
      </c>
      <c r="X75" s="118"/>
      <c r="Y75" s="125">
        <v>7.0000000298023224E-2</v>
      </c>
      <c r="Z75" s="118"/>
      <c r="AA75" s="118"/>
      <c r="AB75" s="125">
        <v>959.66668701171875</v>
      </c>
      <c r="AC75" s="118"/>
      <c r="AD75" s="125">
        <v>5758</v>
      </c>
      <c r="AE75" s="118"/>
      <c r="AF75" s="118"/>
      <c r="AG75" s="118"/>
      <c r="AH75" s="118"/>
      <c r="AI75" s="125">
        <v>216.10000610351563</v>
      </c>
      <c r="AJ75" s="118"/>
      <c r="AK75" s="125">
        <v>3.4100000858306885</v>
      </c>
      <c r="AL75" s="118"/>
      <c r="AM75" s="118"/>
      <c r="AN75" s="118"/>
      <c r="AO75" s="118"/>
      <c r="AP75" s="118"/>
      <c r="AQ75" s="125">
        <v>0.81999999284744263</v>
      </c>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25">
        <v>14.399999618530273</v>
      </c>
      <c r="BP75" s="118"/>
      <c r="BQ75" s="118"/>
      <c r="BR75" s="118"/>
    </row>
    <row r="76" spans="1:70">
      <c r="A76" s="122">
        <v>24005</v>
      </c>
      <c r="B76" s="122" t="s">
        <v>373</v>
      </c>
      <c r="C76" s="122" t="s">
        <v>374</v>
      </c>
      <c r="D76" s="122" t="s">
        <v>365</v>
      </c>
      <c r="E76" s="122" t="s">
        <v>76</v>
      </c>
      <c r="F76" s="122" t="s">
        <v>1211</v>
      </c>
      <c r="G76" s="163" t="s">
        <v>1212</v>
      </c>
      <c r="H76" s="122">
        <v>2</v>
      </c>
      <c r="I76" s="128" t="s">
        <v>197</v>
      </c>
      <c r="J76" s="118">
        <v>82</v>
      </c>
      <c r="K76" s="118">
        <v>76.69</v>
      </c>
      <c r="L76" s="118">
        <v>1.46</v>
      </c>
      <c r="M76" s="118">
        <v>0.19</v>
      </c>
      <c r="N76" s="118">
        <v>16.559999999999999</v>
      </c>
      <c r="O76" s="118">
        <v>4.0999999999999996</v>
      </c>
      <c r="P76" s="118">
        <v>0.09</v>
      </c>
      <c r="Q76" s="118">
        <v>0.03</v>
      </c>
      <c r="R76" s="118">
        <v>0.7</v>
      </c>
      <c r="S76" s="118"/>
      <c r="T76" s="118">
        <v>0.28000000000000003</v>
      </c>
      <c r="U76" s="118">
        <v>22</v>
      </c>
      <c r="V76" s="118"/>
      <c r="W76" s="118">
        <v>6.6</v>
      </c>
      <c r="X76" s="118">
        <v>0</v>
      </c>
      <c r="Y76" s="118">
        <v>2.38</v>
      </c>
      <c r="Z76" s="118">
        <v>1.4</v>
      </c>
      <c r="AA76" s="118">
        <v>0</v>
      </c>
      <c r="AB76" s="118"/>
      <c r="AC76" s="118"/>
      <c r="AD76" s="118"/>
      <c r="AE76" s="118"/>
      <c r="AF76" s="118"/>
      <c r="AG76" s="118"/>
      <c r="AH76" s="118"/>
      <c r="AI76" s="118">
        <v>46</v>
      </c>
      <c r="AJ76" s="118">
        <v>0.17</v>
      </c>
      <c r="AK76" s="118">
        <v>0.98</v>
      </c>
      <c r="AL76" s="118">
        <v>33</v>
      </c>
      <c r="AM76" s="118">
        <v>0.24199999999999999</v>
      </c>
      <c r="AN76" s="118">
        <v>72</v>
      </c>
      <c r="AO76" s="118">
        <v>591</v>
      </c>
      <c r="AP76" s="118">
        <v>0.7</v>
      </c>
      <c r="AQ76" s="118">
        <v>0.23</v>
      </c>
      <c r="AR76" s="118"/>
      <c r="AS76" s="118"/>
      <c r="AT76" s="118"/>
      <c r="AU76" s="118"/>
      <c r="AV76" s="124"/>
      <c r="AW76" s="124"/>
      <c r="AX76" s="124"/>
      <c r="AY76" s="124"/>
      <c r="AZ76" s="124"/>
      <c r="BA76" s="124"/>
      <c r="BB76" s="124"/>
      <c r="BC76" s="124"/>
      <c r="BD76" s="124"/>
      <c r="BE76" s="124"/>
      <c r="BF76" s="124"/>
      <c r="BG76" s="124"/>
      <c r="BH76" s="124"/>
      <c r="BI76" s="124"/>
      <c r="BJ76" s="124"/>
      <c r="BK76" s="124"/>
      <c r="BL76" s="124"/>
      <c r="BM76" s="124"/>
      <c r="BN76" s="118"/>
      <c r="BO76" s="118"/>
      <c r="BP76" s="118"/>
      <c r="BQ76" s="118"/>
      <c r="BR76" s="118"/>
    </row>
    <row r="77" spans="1:70">
      <c r="A77" s="122">
        <v>24010</v>
      </c>
      <c r="B77" s="122" t="s">
        <v>376</v>
      </c>
      <c r="C77" s="122" t="s">
        <v>377</v>
      </c>
      <c r="D77" s="122" t="s">
        <v>378</v>
      </c>
      <c r="E77" s="122" t="s">
        <v>76</v>
      </c>
      <c r="F77" s="122" t="s">
        <v>1213</v>
      </c>
      <c r="G77" s="163" t="s">
        <v>1214</v>
      </c>
      <c r="H77" s="122">
        <v>13</v>
      </c>
      <c r="I77" s="128" t="s">
        <v>197</v>
      </c>
      <c r="J77" s="118">
        <v>97</v>
      </c>
      <c r="K77" s="118">
        <v>73.069999999999993</v>
      </c>
      <c r="L77" s="118">
        <v>1.53</v>
      </c>
      <c r="M77" s="118">
        <v>0.17</v>
      </c>
      <c r="N77" s="118">
        <v>20.309999999999999</v>
      </c>
      <c r="O77" s="118">
        <v>4.0999999999999996</v>
      </c>
      <c r="P77" s="118">
        <v>0.11</v>
      </c>
      <c r="Q77" s="118">
        <v>0.03</v>
      </c>
      <c r="R77" s="118">
        <v>0.55000000000000004</v>
      </c>
      <c r="S77" s="118">
        <v>0.42</v>
      </c>
      <c r="T77" s="118">
        <v>0.28999999999999998</v>
      </c>
      <c r="U77" s="118">
        <v>23</v>
      </c>
      <c r="V77" s="118">
        <v>0</v>
      </c>
      <c r="W77" s="118">
        <v>12.78</v>
      </c>
      <c r="X77" s="118">
        <v>0.9</v>
      </c>
      <c r="Y77" s="118">
        <v>0.46</v>
      </c>
      <c r="Z77" s="118">
        <v>5.5</v>
      </c>
      <c r="AA77" s="118">
        <v>0</v>
      </c>
      <c r="AB77" s="118">
        <v>2.5</v>
      </c>
      <c r="AC77" s="118"/>
      <c r="AD77" s="118">
        <v>188</v>
      </c>
      <c r="AE77" s="118">
        <v>150.80000000000001</v>
      </c>
      <c r="AF77" s="118"/>
      <c r="AG77" s="118"/>
      <c r="AH77" s="118">
        <v>6.78</v>
      </c>
      <c r="AI77" s="118">
        <v>17</v>
      </c>
      <c r="AJ77" s="118">
        <v>0.18</v>
      </c>
      <c r="AK77" s="118">
        <v>0.8</v>
      </c>
      <c r="AL77" s="118">
        <v>17.09</v>
      </c>
      <c r="AM77" s="118">
        <v>0.14000000000000001</v>
      </c>
      <c r="AN77" s="118">
        <v>34.9</v>
      </c>
      <c r="AO77" s="118">
        <v>352.54</v>
      </c>
      <c r="AP77" s="118">
        <v>0.56999999999999995</v>
      </c>
      <c r="AQ77" s="118">
        <v>0.34</v>
      </c>
      <c r="AR77" s="118">
        <v>0.05</v>
      </c>
      <c r="AS77" s="118">
        <v>0.01</v>
      </c>
      <c r="AT77" s="118">
        <v>0.1</v>
      </c>
      <c r="AU77" s="118"/>
      <c r="AV77" s="124">
        <v>7.0449999999999999E-2</v>
      </c>
      <c r="AW77" s="124">
        <v>9.0670000000000001E-2</v>
      </c>
      <c r="AX77" s="124">
        <v>0.16312000000000001</v>
      </c>
      <c r="AY77" s="124">
        <v>9.0150000000000008E-2</v>
      </c>
      <c r="AZ77" s="124">
        <v>3.601E-2</v>
      </c>
      <c r="BA77" s="124">
        <v>4.3990000000000001E-2</v>
      </c>
      <c r="BB77" s="124">
        <v>0.14949999999999999</v>
      </c>
      <c r="BC77" s="124">
        <v>9.8479999999999998E-2</v>
      </c>
      <c r="BD77" s="124">
        <v>2.8979999999999999E-2</v>
      </c>
      <c r="BE77" s="124">
        <v>0.14263999999999999</v>
      </c>
      <c r="BF77" s="124">
        <v>0.15591999999999998</v>
      </c>
      <c r="BG77" s="124">
        <v>0.22256000000000001</v>
      </c>
      <c r="BH77" s="124">
        <v>0.30195</v>
      </c>
      <c r="BI77" s="124">
        <v>0.41431000000000001</v>
      </c>
      <c r="BJ77" s="124">
        <v>0.12068999999999999</v>
      </c>
      <c r="BK77" s="124">
        <v>0.12841</v>
      </c>
      <c r="BL77" s="124">
        <v>0.15825999999999998</v>
      </c>
      <c r="BM77" s="124">
        <v>8.3299999999999999E-2</v>
      </c>
      <c r="BN77" s="118">
        <v>46.3</v>
      </c>
      <c r="BO77" s="118">
        <v>59</v>
      </c>
      <c r="BP77" s="118">
        <v>15</v>
      </c>
      <c r="BQ77" s="118"/>
      <c r="BR77" s="118"/>
    </row>
    <row r="78" spans="1:70">
      <c r="A78" s="122">
        <v>25019</v>
      </c>
      <c r="B78" s="122" t="s">
        <v>380</v>
      </c>
      <c r="C78" s="122" t="s">
        <v>381</v>
      </c>
      <c r="D78" s="122" t="s">
        <v>382</v>
      </c>
      <c r="E78" s="122" t="s">
        <v>76</v>
      </c>
      <c r="F78" s="122" t="s">
        <v>1215</v>
      </c>
      <c r="G78" s="163" t="s">
        <v>1216</v>
      </c>
      <c r="H78" s="122">
        <v>13</v>
      </c>
      <c r="I78" s="128" t="s">
        <v>295</v>
      </c>
      <c r="J78" s="118">
        <v>21.27</v>
      </c>
      <c r="K78" s="118">
        <v>89.14</v>
      </c>
      <c r="L78" s="118">
        <v>1.47</v>
      </c>
      <c r="M78" s="118">
        <v>0.63</v>
      </c>
      <c r="N78" s="118">
        <v>2.15</v>
      </c>
      <c r="O78" s="118">
        <v>5.25</v>
      </c>
      <c r="P78" s="118">
        <v>0.02</v>
      </c>
      <c r="Q78" s="118">
        <v>0.02</v>
      </c>
      <c r="R78" s="118">
        <v>0.28000000000000003</v>
      </c>
      <c r="S78" s="118">
        <v>0.35</v>
      </c>
      <c r="T78" s="118">
        <v>0.13</v>
      </c>
      <c r="U78" s="118">
        <v>49.27</v>
      </c>
      <c r="V78" s="118"/>
      <c r="W78" s="118">
        <v>6.49</v>
      </c>
      <c r="X78" s="118">
        <v>1.29</v>
      </c>
      <c r="Y78" s="118">
        <v>0.19</v>
      </c>
      <c r="Z78" s="118">
        <v>3.38</v>
      </c>
      <c r="AA78" s="118"/>
      <c r="AB78" s="118"/>
      <c r="AC78" s="118"/>
      <c r="AD78" s="118">
        <v>35.36</v>
      </c>
      <c r="AE78" s="118"/>
      <c r="AF78" s="118"/>
      <c r="AG78" s="118"/>
      <c r="AH78" s="118"/>
      <c r="AI78" s="118">
        <v>34.06</v>
      </c>
      <c r="AJ78" s="118">
        <v>0.1</v>
      </c>
      <c r="AK78" s="118">
        <v>0.4</v>
      </c>
      <c r="AL78" s="118">
        <v>39.76</v>
      </c>
      <c r="AM78" s="118">
        <v>1.0900000000000001</v>
      </c>
      <c r="AN78" s="118">
        <v>47.31</v>
      </c>
      <c r="AO78" s="118">
        <v>488</v>
      </c>
      <c r="AP78" s="118">
        <v>2.82</v>
      </c>
      <c r="AQ78" s="118">
        <v>0.42</v>
      </c>
      <c r="AR78" s="118">
        <v>0.27</v>
      </c>
      <c r="AS78" s="118">
        <v>0.03</v>
      </c>
      <c r="AT78" s="118">
        <v>0.2</v>
      </c>
      <c r="AU78" s="118"/>
      <c r="AV78" s="124"/>
      <c r="AW78" s="124"/>
      <c r="AX78" s="124"/>
      <c r="AY78" s="124"/>
      <c r="AZ78" s="124"/>
      <c r="BA78" s="124"/>
      <c r="BB78" s="124"/>
      <c r="BC78" s="124"/>
      <c r="BD78" s="124"/>
      <c r="BE78" s="124"/>
      <c r="BF78" s="124"/>
      <c r="BG78" s="124"/>
      <c r="BH78" s="124"/>
      <c r="BI78" s="124"/>
      <c r="BJ78" s="124"/>
      <c r="BK78" s="124"/>
      <c r="BL78" s="124"/>
      <c r="BM78" s="124"/>
      <c r="BN78" s="118">
        <v>4.43</v>
      </c>
      <c r="BO78" s="118">
        <v>2.52</v>
      </c>
      <c r="BP78" s="118"/>
      <c r="BQ78" s="118"/>
      <c r="BR78" s="118"/>
    </row>
    <row r="79" spans="1:70">
      <c r="A79" s="122">
        <v>25020</v>
      </c>
      <c r="B79" s="122" t="s">
        <v>384</v>
      </c>
      <c r="C79" s="122" t="s">
        <v>385</v>
      </c>
      <c r="D79" s="122" t="s">
        <v>382</v>
      </c>
      <c r="E79" s="122" t="s">
        <v>82</v>
      </c>
      <c r="F79" s="122" t="s">
        <v>386</v>
      </c>
      <c r="G79" s="163" t="s">
        <v>387</v>
      </c>
      <c r="H79" s="122">
        <v>2</v>
      </c>
      <c r="I79" s="128" t="s">
        <v>295</v>
      </c>
      <c r="J79" s="118">
        <v>39.44</v>
      </c>
      <c r="K79" s="118">
        <v>87.53</v>
      </c>
      <c r="L79" s="118">
        <v>0.35</v>
      </c>
      <c r="M79" s="118">
        <v>0.16</v>
      </c>
      <c r="N79" s="118">
        <v>8.64</v>
      </c>
      <c r="O79" s="118">
        <v>2.12</v>
      </c>
      <c r="P79" s="118">
        <v>0.02</v>
      </c>
      <c r="Q79" s="118">
        <v>0.02</v>
      </c>
      <c r="R79" s="118">
        <v>0.18</v>
      </c>
      <c r="S79" s="118">
        <v>0.24</v>
      </c>
      <c r="T79" s="118">
        <v>0.14000000000000001</v>
      </c>
      <c r="U79" s="118">
        <v>12.85</v>
      </c>
      <c r="V79" s="118"/>
      <c r="W79" s="118">
        <v>3.77</v>
      </c>
      <c r="X79" s="118">
        <v>0.32</v>
      </c>
      <c r="Y79" s="118">
        <v>0.02</v>
      </c>
      <c r="Z79" s="118">
        <v>2.5</v>
      </c>
      <c r="AA79" s="118"/>
      <c r="AB79" s="125">
        <f>AA79+1/12*(AD79)+1/24*(AC79)+1/24*(AG79)</f>
        <v>0.19916666666666666</v>
      </c>
      <c r="AC79" s="118"/>
      <c r="AD79" s="118">
        <v>2.39</v>
      </c>
      <c r="AE79" s="118">
        <v>26.3</v>
      </c>
      <c r="AF79" s="118"/>
      <c r="AG79" s="118"/>
      <c r="AH79" s="118">
        <v>3.68</v>
      </c>
      <c r="AI79" s="118">
        <v>11.24</v>
      </c>
      <c r="AJ79" s="118">
        <v>0.04</v>
      </c>
      <c r="AK79" s="118">
        <v>0.26</v>
      </c>
      <c r="AL79" s="118">
        <v>32.82</v>
      </c>
      <c r="AM79" s="118">
        <v>0.1</v>
      </c>
      <c r="AN79" s="118">
        <v>16.309999999999999</v>
      </c>
      <c r="AO79" s="118">
        <v>373</v>
      </c>
      <c r="AP79" s="118">
        <v>0.45</v>
      </c>
      <c r="AQ79" s="118">
        <v>0.14000000000000001</v>
      </c>
      <c r="AR79" s="118">
        <v>2.75E-2</v>
      </c>
      <c r="AS79" s="118">
        <v>2.7100000000000002E-3</v>
      </c>
      <c r="AT79" s="118">
        <v>2.8500000000000001E-2</v>
      </c>
      <c r="AU79" s="118"/>
      <c r="AV79" s="118">
        <v>1.91</v>
      </c>
      <c r="AW79" s="118">
        <v>4.92</v>
      </c>
      <c r="AX79" s="118">
        <v>4.59</v>
      </c>
      <c r="AY79" s="118">
        <v>2.99</v>
      </c>
      <c r="AZ79" s="118">
        <v>1.57</v>
      </c>
      <c r="BA79" s="118">
        <v>0.99</v>
      </c>
      <c r="BB79" s="118">
        <v>4.5</v>
      </c>
      <c r="BC79" s="118">
        <v>4.8600000000000003</v>
      </c>
      <c r="BD79" s="118">
        <v>0.67</v>
      </c>
      <c r="BE79" s="118">
        <v>5.84</v>
      </c>
      <c r="BF79" s="118">
        <v>7.68</v>
      </c>
      <c r="BG79" s="118">
        <v>3.84</v>
      </c>
      <c r="BH79" s="118">
        <v>10.82</v>
      </c>
      <c r="BI79" s="118">
        <v>20.16</v>
      </c>
      <c r="BJ79" s="118">
        <v>4.0599999999999996</v>
      </c>
      <c r="BK79" s="118">
        <v>4.8899999999999997</v>
      </c>
      <c r="BL79" s="118">
        <v>5.0599999999999996</v>
      </c>
      <c r="BM79" s="118">
        <v>2.83</v>
      </c>
      <c r="BN79" s="118">
        <v>12.24</v>
      </c>
      <c r="BO79" s="118">
        <v>15.33</v>
      </c>
      <c r="BP79" s="118">
        <v>213</v>
      </c>
      <c r="BQ79" s="118"/>
      <c r="BR79" s="118"/>
    </row>
    <row r="80" spans="1:70">
      <c r="A80" s="122">
        <v>24006</v>
      </c>
      <c r="B80" s="122" t="s">
        <v>388</v>
      </c>
      <c r="C80" s="122" t="s">
        <v>389</v>
      </c>
      <c r="D80" s="122" t="s">
        <v>360</v>
      </c>
      <c r="E80" s="122" t="s">
        <v>76</v>
      </c>
      <c r="F80" s="122" t="s">
        <v>1217</v>
      </c>
      <c r="G80" s="163" t="s">
        <v>1218</v>
      </c>
      <c r="H80" s="122">
        <v>13</v>
      </c>
      <c r="I80" s="128" t="s">
        <v>197</v>
      </c>
      <c r="J80" s="118">
        <v>74</v>
      </c>
      <c r="K80" s="118">
        <v>78.7</v>
      </c>
      <c r="L80" s="118">
        <v>1.2</v>
      </c>
      <c r="M80" s="118">
        <v>0.12</v>
      </c>
      <c r="N80" s="118">
        <v>15.08</v>
      </c>
      <c r="O80" s="118">
        <v>4.0999999999999996</v>
      </c>
      <c r="P80" s="118">
        <v>0.06</v>
      </c>
      <c r="Q80" s="118">
        <v>7.0000000000000007E-2</v>
      </c>
      <c r="R80" s="118">
        <v>0.7</v>
      </c>
      <c r="S80" s="118"/>
      <c r="T80" s="118">
        <v>0.28000000000000003</v>
      </c>
      <c r="U80" s="118">
        <v>22</v>
      </c>
      <c r="V80" s="118"/>
      <c r="W80" s="118">
        <v>4.5</v>
      </c>
      <c r="X80" s="118">
        <v>0</v>
      </c>
      <c r="Y80" s="118">
        <v>1.43</v>
      </c>
      <c r="Z80" s="118">
        <v>4.8</v>
      </c>
      <c r="AA80" s="118">
        <v>0</v>
      </c>
      <c r="AB80" s="118"/>
      <c r="AC80" s="118"/>
      <c r="AD80" s="118"/>
      <c r="AE80" s="118"/>
      <c r="AF80" s="118"/>
      <c r="AG80" s="118"/>
      <c r="AH80" s="118"/>
      <c r="AI80" s="118">
        <v>50</v>
      </c>
      <c r="AJ80" s="118">
        <v>0.17</v>
      </c>
      <c r="AK80" s="118">
        <v>0.6</v>
      </c>
      <c r="AL80" s="118">
        <v>33</v>
      </c>
      <c r="AM80" s="118">
        <v>0.28000000000000003</v>
      </c>
      <c r="AN80" s="118">
        <v>84</v>
      </c>
      <c r="AO80" s="118">
        <v>591</v>
      </c>
      <c r="AP80" s="118">
        <v>0.59</v>
      </c>
      <c r="AQ80" s="118">
        <v>0.23</v>
      </c>
      <c r="AR80" s="118"/>
      <c r="AS80" s="118"/>
      <c r="AT80" s="118"/>
      <c r="AU80" s="118"/>
      <c r="AV80" s="124"/>
      <c r="AW80" s="124"/>
      <c r="AX80" s="124"/>
      <c r="AY80" s="124"/>
      <c r="AZ80" s="124"/>
      <c r="BA80" s="124"/>
      <c r="BB80" s="124"/>
      <c r="BC80" s="124"/>
      <c r="BD80" s="124"/>
      <c r="BE80" s="124"/>
      <c r="BF80" s="124"/>
      <c r="BG80" s="124"/>
      <c r="BH80" s="124"/>
      <c r="BI80" s="124"/>
      <c r="BJ80" s="124"/>
      <c r="BK80" s="124"/>
      <c r="BL80" s="124"/>
      <c r="BM80" s="124"/>
      <c r="BN80" s="118">
        <v>56.27</v>
      </c>
      <c r="BO80" s="118"/>
      <c r="BP80" s="118"/>
      <c r="BQ80" s="118"/>
      <c r="BR80" s="118"/>
    </row>
    <row r="81" spans="1:70">
      <c r="A81" s="122">
        <v>25021</v>
      </c>
      <c r="B81" s="122" t="s">
        <v>391</v>
      </c>
      <c r="C81" s="122" t="s">
        <v>392</v>
      </c>
      <c r="D81" s="122" t="s">
        <v>393</v>
      </c>
      <c r="E81" s="122" t="s">
        <v>76</v>
      </c>
      <c r="F81" s="122" t="s">
        <v>1219</v>
      </c>
      <c r="G81" s="163" t="s">
        <v>1220</v>
      </c>
      <c r="H81" s="122">
        <v>13</v>
      </c>
      <c r="I81" s="128" t="s">
        <v>295</v>
      </c>
      <c r="J81" s="118">
        <v>43</v>
      </c>
      <c r="K81" s="118">
        <v>85.15</v>
      </c>
      <c r="L81" s="118">
        <v>2.85</v>
      </c>
      <c r="M81" s="118">
        <v>0.2</v>
      </c>
      <c r="N81" s="118">
        <v>5.0999999999999996</v>
      </c>
      <c r="O81" s="118">
        <v>4.8</v>
      </c>
      <c r="P81" s="118">
        <v>0.04</v>
      </c>
      <c r="Q81" s="118">
        <v>0.04</v>
      </c>
      <c r="R81" s="118">
        <v>0.6</v>
      </c>
      <c r="S81" s="118">
        <v>0.56999999999999995</v>
      </c>
      <c r="T81" s="118">
        <v>0.12</v>
      </c>
      <c r="U81" s="118">
        <v>44</v>
      </c>
      <c r="V81" s="118">
        <v>0</v>
      </c>
      <c r="W81" s="118">
        <v>69.87</v>
      </c>
      <c r="X81" s="118">
        <v>1.67</v>
      </c>
      <c r="Y81" s="118"/>
      <c r="Z81" s="118">
        <v>358</v>
      </c>
      <c r="AA81" s="118">
        <v>0</v>
      </c>
      <c r="AB81" s="118">
        <v>25.92</v>
      </c>
      <c r="AC81" s="118"/>
      <c r="AD81" s="118">
        <v>311</v>
      </c>
      <c r="AE81" s="118">
        <v>145</v>
      </c>
      <c r="AF81" s="118"/>
      <c r="AG81" s="118"/>
      <c r="AH81" s="118">
        <v>5.52</v>
      </c>
      <c r="AI81" s="118">
        <v>23.83</v>
      </c>
      <c r="AJ81" s="118">
        <v>0.01</v>
      </c>
      <c r="AK81" s="118">
        <v>0.18</v>
      </c>
      <c r="AL81" s="118">
        <v>28</v>
      </c>
      <c r="AM81" s="118">
        <v>0.19</v>
      </c>
      <c r="AN81" s="118">
        <v>110</v>
      </c>
      <c r="AO81" s="118">
        <v>259</v>
      </c>
      <c r="AP81" s="118">
        <v>3.12</v>
      </c>
      <c r="AQ81" s="118">
        <v>0.16</v>
      </c>
      <c r="AR81" s="118">
        <v>0.03</v>
      </c>
      <c r="AS81" s="118">
        <v>0.05</v>
      </c>
      <c r="AT81" s="118">
        <v>0.03</v>
      </c>
      <c r="AU81" s="118"/>
      <c r="AV81" s="124">
        <v>5.1090000000000003E-2</v>
      </c>
      <c r="AW81" s="124">
        <v>8.0700000000000008E-2</v>
      </c>
      <c r="AX81" s="124">
        <v>0.15668000000000001</v>
      </c>
      <c r="AY81" s="124">
        <v>8.095999999999999E-2</v>
      </c>
      <c r="AZ81" s="124">
        <v>2.8820000000000002E-2</v>
      </c>
      <c r="BA81" s="124">
        <v>2.332E-2</v>
      </c>
      <c r="BB81" s="124">
        <v>8.9870000000000005E-2</v>
      </c>
      <c r="BC81" s="124">
        <v>0.10034999999999999</v>
      </c>
      <c r="BD81" s="124">
        <v>1.3890000000000001E-2</v>
      </c>
      <c r="BE81" s="124">
        <v>0.13152</v>
      </c>
      <c r="BF81" s="124">
        <v>0.14881999999999998</v>
      </c>
      <c r="BG81" s="124">
        <v>0.28637000000000001</v>
      </c>
      <c r="BH81" s="124">
        <v>0.24680000000000002</v>
      </c>
      <c r="BI81" s="124">
        <v>0.61046</v>
      </c>
      <c r="BJ81" s="124">
        <v>0.10244</v>
      </c>
      <c r="BK81" s="124">
        <v>8.8029999999999997E-2</v>
      </c>
      <c r="BL81" s="124">
        <v>0.12052</v>
      </c>
      <c r="BM81" s="124">
        <v>5.6590000000000001E-2</v>
      </c>
      <c r="BN81" s="118">
        <v>139</v>
      </c>
      <c r="BO81" s="118">
        <v>85.74</v>
      </c>
      <c r="BP81" s="118"/>
      <c r="BQ81" s="118"/>
      <c r="BR81" s="118"/>
    </row>
    <row r="82" spans="1:70">
      <c r="A82" s="122">
        <v>22004</v>
      </c>
      <c r="B82" s="122" t="s">
        <v>399</v>
      </c>
      <c r="C82" s="122" t="s">
        <v>396</v>
      </c>
      <c r="D82" s="122" t="s">
        <v>397</v>
      </c>
      <c r="E82" s="122" t="s">
        <v>76</v>
      </c>
      <c r="F82" s="122" t="s">
        <v>1221</v>
      </c>
      <c r="G82" s="163" t="s">
        <v>1222</v>
      </c>
      <c r="H82" s="122">
        <v>13</v>
      </c>
      <c r="I82" s="128" t="s">
        <v>295</v>
      </c>
      <c r="J82" s="118">
        <v>16</v>
      </c>
      <c r="K82" s="118">
        <v>95.01</v>
      </c>
      <c r="L82" s="118">
        <v>1.1000000000000001</v>
      </c>
      <c r="M82" s="118">
        <v>0.2</v>
      </c>
      <c r="N82" s="118">
        <v>1.4</v>
      </c>
      <c r="O82" s="118">
        <v>1.7</v>
      </c>
      <c r="P82" s="118">
        <v>0.04</v>
      </c>
      <c r="Q82" s="118">
        <v>0.04</v>
      </c>
      <c r="R82" s="118">
        <v>0.52</v>
      </c>
      <c r="S82" s="118">
        <v>0.19</v>
      </c>
      <c r="T82" s="118">
        <v>0.05</v>
      </c>
      <c r="U82" s="118">
        <v>15</v>
      </c>
      <c r="V82" s="118">
        <v>0</v>
      </c>
      <c r="W82" s="118">
        <v>12.29</v>
      </c>
      <c r="X82" s="118">
        <v>9.5299999999999994</v>
      </c>
      <c r="Y82" s="118">
        <v>0.25</v>
      </c>
      <c r="Z82" s="118">
        <v>24.12</v>
      </c>
      <c r="AA82" s="118"/>
      <c r="AB82" s="118">
        <v>13</v>
      </c>
      <c r="AC82" s="118">
        <v>101</v>
      </c>
      <c r="AD82" s="118">
        <v>103.85</v>
      </c>
      <c r="AE82" s="118">
        <v>1266</v>
      </c>
      <c r="AF82" s="118">
        <v>2108.5</v>
      </c>
      <c r="AG82" s="118"/>
      <c r="AH82" s="118">
        <v>14.24</v>
      </c>
      <c r="AI82" s="118">
        <v>12.95</v>
      </c>
      <c r="AJ82" s="118">
        <v>0.97</v>
      </c>
      <c r="AK82" s="118">
        <v>0.2</v>
      </c>
      <c r="AL82" s="118">
        <v>7</v>
      </c>
      <c r="AM82" s="118">
        <v>0.09</v>
      </c>
      <c r="AN82" s="118">
        <v>17</v>
      </c>
      <c r="AO82" s="118">
        <v>156</v>
      </c>
      <c r="AP82" s="118"/>
      <c r="AQ82" s="118">
        <v>0.12</v>
      </c>
      <c r="AR82" s="118">
        <v>0.06</v>
      </c>
      <c r="AS82" s="118">
        <v>0.04</v>
      </c>
      <c r="AT82" s="118">
        <v>0.16</v>
      </c>
      <c r="AU82" s="118"/>
      <c r="AV82" s="124">
        <v>2.3699999999999999E-2</v>
      </c>
      <c r="AW82" s="124">
        <v>2.0670000000000001E-2</v>
      </c>
      <c r="AX82" s="124">
        <v>3.6889999999999999E-2</v>
      </c>
      <c r="AY82" s="124">
        <v>2.0250000000000001E-2</v>
      </c>
      <c r="AZ82" s="124">
        <v>5.5999999999999999E-3</v>
      </c>
      <c r="BA82" s="124">
        <v>7.8399999999999997E-3</v>
      </c>
      <c r="BB82" s="124">
        <v>3.669E-2</v>
      </c>
      <c r="BC82" s="124">
        <v>2.1700000000000001E-2</v>
      </c>
      <c r="BD82" s="124">
        <v>4.81E-3</v>
      </c>
      <c r="BE82" s="124">
        <v>2.4899999999999999E-2</v>
      </c>
      <c r="BF82" s="124">
        <v>3.7060000000000003E-2</v>
      </c>
      <c r="BG82" s="124">
        <v>1.9050000000000001E-2</v>
      </c>
      <c r="BH82" s="124">
        <v>0.11193</v>
      </c>
      <c r="BI82" s="124">
        <v>0.31825999999999999</v>
      </c>
      <c r="BJ82" s="124">
        <v>3.1129999999999998E-2</v>
      </c>
      <c r="BK82" s="124">
        <v>2.1999999999999999E-2</v>
      </c>
      <c r="BL82" s="124">
        <v>2.9340000000000001E-2</v>
      </c>
      <c r="BM82" s="124">
        <v>2.2159999999999999E-2</v>
      </c>
      <c r="BN82" s="118">
        <v>26.35</v>
      </c>
      <c r="BO82" s="118">
        <v>2.4900000000000002</v>
      </c>
      <c r="BP82" s="118">
        <v>4</v>
      </c>
      <c r="BQ82" s="118"/>
      <c r="BR82" s="118"/>
    </row>
    <row r="83" spans="1:70">
      <c r="A83" s="122">
        <v>25022</v>
      </c>
      <c r="B83" s="122" t="s">
        <v>401</v>
      </c>
      <c r="C83" s="122" t="s">
        <v>402</v>
      </c>
      <c r="D83" s="122" t="s">
        <v>403</v>
      </c>
      <c r="E83" s="122" t="s">
        <v>76</v>
      </c>
      <c r="F83" s="122" t="s">
        <v>1223</v>
      </c>
      <c r="G83" s="163" t="s">
        <v>1224</v>
      </c>
      <c r="H83" s="122">
        <v>13</v>
      </c>
      <c r="I83" s="128" t="s">
        <v>295</v>
      </c>
      <c r="J83" s="118">
        <v>31</v>
      </c>
      <c r="K83" s="118">
        <v>90.36</v>
      </c>
      <c r="L83" s="118">
        <v>2.06</v>
      </c>
      <c r="M83" s="118">
        <v>0.34</v>
      </c>
      <c r="N83" s="118">
        <v>3.59</v>
      </c>
      <c r="O83" s="118">
        <v>2.6</v>
      </c>
      <c r="P83" s="118">
        <v>0.05</v>
      </c>
      <c r="Q83" s="118">
        <v>0.03</v>
      </c>
      <c r="R83" s="118">
        <v>0.4</v>
      </c>
      <c r="S83" s="118">
        <v>0.21</v>
      </c>
      <c r="T83" s="118"/>
      <c r="U83" s="118">
        <v>45</v>
      </c>
      <c r="V83" s="118">
        <v>0</v>
      </c>
      <c r="W83" s="118">
        <v>90.63</v>
      </c>
      <c r="X83" s="118">
        <v>1.88</v>
      </c>
      <c r="Y83" s="118">
        <v>0.03</v>
      </c>
      <c r="Z83" s="118">
        <v>4.55</v>
      </c>
      <c r="AA83" s="118">
        <v>0</v>
      </c>
      <c r="AB83" s="118">
        <v>23.79</v>
      </c>
      <c r="AC83" s="118">
        <v>95</v>
      </c>
      <c r="AD83" s="118">
        <v>237.97</v>
      </c>
      <c r="AE83" s="118"/>
      <c r="AF83" s="118"/>
      <c r="AG83" s="118"/>
      <c r="AH83" s="118"/>
      <c r="AI83" s="118">
        <v>15.98</v>
      </c>
      <c r="AJ83" s="118">
        <v>0.27</v>
      </c>
      <c r="AK83" s="118">
        <v>1.78</v>
      </c>
      <c r="AL83" s="118">
        <v>31.25</v>
      </c>
      <c r="AM83" s="118">
        <v>0.25</v>
      </c>
      <c r="AN83" s="118">
        <v>19.72</v>
      </c>
      <c r="AO83" s="118">
        <v>182.04</v>
      </c>
      <c r="AP83" s="118">
        <v>4.97</v>
      </c>
      <c r="AQ83" s="118">
        <v>0.35</v>
      </c>
      <c r="AR83" s="118">
        <v>0.14000000000000001</v>
      </c>
      <c r="AS83" s="118">
        <v>0.01</v>
      </c>
      <c r="AT83" s="118">
        <v>0.05</v>
      </c>
      <c r="AU83" s="118"/>
      <c r="AV83" s="124">
        <v>5.0709999999999998E-2</v>
      </c>
      <c r="AW83" s="124">
        <v>6.9589999999999999E-2</v>
      </c>
      <c r="AX83" s="124">
        <v>0.10701999999999999</v>
      </c>
      <c r="AY83" s="124">
        <v>9.348999999999999E-2</v>
      </c>
      <c r="AZ83" s="124">
        <v>2.2679999999999999E-2</v>
      </c>
      <c r="BA83" s="124">
        <v>1.3480000000000001E-2</v>
      </c>
      <c r="BB83" s="124">
        <v>4.249E-2</v>
      </c>
      <c r="BC83" s="124">
        <v>6.8909999999999999E-2</v>
      </c>
      <c r="BD83" s="124">
        <v>1.9559999999999998E-2</v>
      </c>
      <c r="BE83" s="124">
        <v>9.6170000000000005E-2</v>
      </c>
      <c r="BF83" s="124">
        <v>7.4609999999999996E-2</v>
      </c>
      <c r="BG83" s="124">
        <v>0.19344999999999998</v>
      </c>
      <c r="BH83" s="124">
        <v>0.11592</v>
      </c>
      <c r="BI83" s="124">
        <v>0.12720999999999999</v>
      </c>
      <c r="BJ83" s="124">
        <v>7.8109999999999999E-2</v>
      </c>
      <c r="BK83" s="124">
        <v>6.8860000000000005E-2</v>
      </c>
      <c r="BL83" s="124">
        <v>6.2200000000000005E-2</v>
      </c>
      <c r="BM83" s="124">
        <v>6.8430000000000005E-2</v>
      </c>
      <c r="BN83" s="118">
        <v>49.76</v>
      </c>
      <c r="BO83" s="118">
        <v>13.64</v>
      </c>
      <c r="BP83" s="118"/>
      <c r="BQ83" s="118"/>
      <c r="BR83" s="118"/>
    </row>
    <row r="84" spans="1:70">
      <c r="A84" s="122">
        <v>25023</v>
      </c>
      <c r="B84" s="122" t="s">
        <v>405</v>
      </c>
      <c r="C84" s="122" t="s">
        <v>406</v>
      </c>
      <c r="D84" s="127" t="s">
        <v>407</v>
      </c>
      <c r="E84" s="122" t="s">
        <v>103</v>
      </c>
      <c r="F84" s="122">
        <v>16133</v>
      </c>
      <c r="G84" s="163" t="s">
        <v>408</v>
      </c>
      <c r="H84" s="122">
        <v>13</v>
      </c>
      <c r="I84" s="128" t="s">
        <v>295</v>
      </c>
      <c r="J84" s="118">
        <v>347</v>
      </c>
      <c r="K84" s="118">
        <v>8.43</v>
      </c>
      <c r="L84" s="118">
        <v>24.3</v>
      </c>
      <c r="M84" s="118">
        <v>1.31</v>
      </c>
      <c r="N84" s="118">
        <v>61.9</v>
      </c>
      <c r="O84" s="118">
        <v>11</v>
      </c>
      <c r="P84" s="118">
        <v>0.88700000000000001</v>
      </c>
      <c r="Q84" s="118">
        <v>0.23499999999999999</v>
      </c>
      <c r="R84" s="118">
        <v>2.16</v>
      </c>
      <c r="S84" s="118">
        <v>1.56</v>
      </c>
      <c r="T84" s="118">
        <v>0.371</v>
      </c>
      <c r="U84" s="118">
        <v>658</v>
      </c>
      <c r="V84" s="118">
        <v>0</v>
      </c>
      <c r="W84" s="118">
        <v>1.6</v>
      </c>
      <c r="X84" s="118">
        <v>0</v>
      </c>
      <c r="Y84" s="118"/>
      <c r="Z84" s="118"/>
      <c r="AA84" s="118">
        <v>0</v>
      </c>
      <c r="AB84" s="118">
        <v>3</v>
      </c>
      <c r="AC84" s="118"/>
      <c r="AD84" s="118"/>
      <c r="AE84" s="118"/>
      <c r="AF84" s="118"/>
      <c r="AG84" s="118"/>
      <c r="AH84" s="118"/>
      <c r="AI84" s="118">
        <v>138</v>
      </c>
      <c r="AJ84" s="118">
        <v>0.879</v>
      </c>
      <c r="AK84" s="118">
        <v>8.61</v>
      </c>
      <c r="AL84" s="118">
        <v>338</v>
      </c>
      <c r="AM84" s="118">
        <v>1.59</v>
      </c>
      <c r="AN84" s="118">
        <v>559</v>
      </c>
      <c r="AO84" s="118">
        <v>1160</v>
      </c>
      <c r="AP84" s="118">
        <v>8.1999999999999993</v>
      </c>
      <c r="AQ84" s="118">
        <v>3.5</v>
      </c>
      <c r="AR84" s="118">
        <v>0.33900000000000002</v>
      </c>
      <c r="AS84" s="118">
        <v>0.114</v>
      </c>
      <c r="AT84" s="118">
        <v>0.56499999999999995</v>
      </c>
      <c r="AU84" s="118">
        <v>0</v>
      </c>
      <c r="AV84" s="118">
        <v>0.755</v>
      </c>
      <c r="AW84" s="118">
        <v>0.98899999999999999</v>
      </c>
      <c r="AX84" s="118">
        <v>1.86</v>
      </c>
      <c r="AY84" s="118">
        <v>1.65</v>
      </c>
      <c r="AZ84" s="118">
        <v>0.34599999999999997</v>
      </c>
      <c r="BA84" s="118">
        <v>0.26900000000000002</v>
      </c>
      <c r="BB84" s="118">
        <v>1.42</v>
      </c>
      <c r="BC84" s="118">
        <v>0.92600000000000005</v>
      </c>
      <c r="BD84" s="118">
        <v>0.3</v>
      </c>
      <c r="BE84" s="118">
        <v>1.1599999999999999</v>
      </c>
      <c r="BF84" s="118">
        <v>1.1100000000000001</v>
      </c>
      <c r="BG84" s="118">
        <v>1.68</v>
      </c>
      <c r="BH84" s="118">
        <v>2.94</v>
      </c>
      <c r="BI84" s="118">
        <v>4.6100000000000003</v>
      </c>
      <c r="BJ84" s="118">
        <v>1</v>
      </c>
      <c r="BK84" s="118">
        <v>1.0900000000000001</v>
      </c>
      <c r="BL84" s="118">
        <v>1.22</v>
      </c>
      <c r="BM84" s="118">
        <v>0.78600000000000003</v>
      </c>
      <c r="BN84" s="118"/>
      <c r="BO84" s="118"/>
      <c r="BP84" s="118"/>
      <c r="BQ84" s="118"/>
      <c r="BR84" s="118"/>
    </row>
    <row r="85" spans="1:70">
      <c r="A85" s="122">
        <v>25024</v>
      </c>
      <c r="B85" s="122" t="s">
        <v>409</v>
      </c>
      <c r="C85" s="122" t="s">
        <v>410</v>
      </c>
      <c r="D85" s="122" t="s">
        <v>411</v>
      </c>
      <c r="E85" s="122" t="s">
        <v>76</v>
      </c>
      <c r="F85" s="122" t="s">
        <v>1225</v>
      </c>
      <c r="G85" s="163" t="s">
        <v>1226</v>
      </c>
      <c r="H85" s="122">
        <v>13</v>
      </c>
      <c r="I85" s="128" t="s">
        <v>295</v>
      </c>
      <c r="J85" s="118">
        <v>22</v>
      </c>
      <c r="K85" s="118">
        <v>92.88</v>
      </c>
      <c r="L85" s="118">
        <v>1.6</v>
      </c>
      <c r="M85" s="118">
        <v>0.3</v>
      </c>
      <c r="N85" s="118">
        <v>1.8</v>
      </c>
      <c r="O85" s="118">
        <v>3.1</v>
      </c>
      <c r="P85" s="118">
        <v>0.06</v>
      </c>
      <c r="Q85" s="118">
        <v>0.05</v>
      </c>
      <c r="R85" s="118"/>
      <c r="S85" s="118">
        <v>0.45</v>
      </c>
      <c r="T85" s="118">
        <v>0.13</v>
      </c>
      <c r="U85" s="118">
        <v>43</v>
      </c>
      <c r="V85" s="118">
        <v>0</v>
      </c>
      <c r="W85" s="118">
        <v>15.89</v>
      </c>
      <c r="X85" s="118">
        <v>1</v>
      </c>
      <c r="Y85" s="118">
        <v>0.05</v>
      </c>
      <c r="Z85" s="118">
        <v>111</v>
      </c>
      <c r="AA85" s="118">
        <v>0</v>
      </c>
      <c r="AB85" s="118">
        <v>6</v>
      </c>
      <c r="AC85" s="118">
        <v>33</v>
      </c>
      <c r="AD85" s="118">
        <v>59</v>
      </c>
      <c r="AE85" s="118">
        <v>3.98</v>
      </c>
      <c r="AF85" s="118"/>
      <c r="AG85" s="118"/>
      <c r="AH85" s="118"/>
      <c r="AI85" s="118">
        <v>42</v>
      </c>
      <c r="AJ85" s="118">
        <v>0.03</v>
      </c>
      <c r="AK85" s="118">
        <v>0.4</v>
      </c>
      <c r="AL85" s="118">
        <v>15</v>
      </c>
      <c r="AM85" s="118">
        <v>0.19</v>
      </c>
      <c r="AN85" s="118">
        <v>30</v>
      </c>
      <c r="AO85" s="118">
        <v>233</v>
      </c>
      <c r="AP85" s="118">
        <v>1.85</v>
      </c>
      <c r="AQ85" s="118">
        <v>0.38</v>
      </c>
      <c r="AR85" s="118">
        <v>0.05</v>
      </c>
      <c r="AS85" s="118">
        <v>0.03</v>
      </c>
      <c r="AT85" s="118">
        <v>0.09</v>
      </c>
      <c r="AU85" s="118"/>
      <c r="AV85" s="124">
        <v>2.1219999999999999E-2</v>
      </c>
      <c r="AW85" s="124">
        <v>4.8420000000000005E-2</v>
      </c>
      <c r="AX85" s="124">
        <v>7.2219999999999993E-2</v>
      </c>
      <c r="AY85" s="124">
        <v>4.2430000000000002E-2</v>
      </c>
      <c r="AZ85" s="124">
        <v>1.4420000000000001E-2</v>
      </c>
      <c r="BA85" s="124">
        <v>1.2240000000000001E-2</v>
      </c>
      <c r="BB85" s="124">
        <v>3.4820000000000004E-2</v>
      </c>
      <c r="BC85" s="124">
        <v>5.1139999999999998E-2</v>
      </c>
      <c r="BD85" s="124">
        <v>1.265E-2</v>
      </c>
      <c r="BE85" s="124">
        <v>6.5689999999999998E-2</v>
      </c>
      <c r="BF85" s="124">
        <v>8.5140000000000007E-2</v>
      </c>
      <c r="BG85" s="124">
        <v>6.2149999999999997E-2</v>
      </c>
      <c r="BH85" s="124">
        <v>0.14362</v>
      </c>
      <c r="BI85" s="124">
        <v>0.34408</v>
      </c>
      <c r="BJ85" s="124">
        <v>4.4060000000000002E-2</v>
      </c>
      <c r="BK85" s="124">
        <v>5.4130000000000005E-2</v>
      </c>
      <c r="BL85" s="124">
        <v>5.4670000000000003E-2</v>
      </c>
      <c r="BM85" s="124">
        <v>2.87E-2</v>
      </c>
      <c r="BN85" s="118">
        <v>27.97</v>
      </c>
      <c r="BO85" s="118">
        <v>11.77</v>
      </c>
      <c r="BP85" s="118"/>
      <c r="BQ85" s="118"/>
      <c r="BR85" s="118"/>
    </row>
    <row r="86" spans="1:70">
      <c r="A86" s="122">
        <v>25025</v>
      </c>
      <c r="B86" s="122" t="s">
        <v>413</v>
      </c>
      <c r="C86" s="122" t="s">
        <v>414</v>
      </c>
      <c r="D86" s="122" t="s">
        <v>415</v>
      </c>
      <c r="E86" s="122" t="s">
        <v>76</v>
      </c>
      <c r="F86" s="122">
        <v>30023</v>
      </c>
      <c r="G86" s="163" t="s">
        <v>1227</v>
      </c>
      <c r="H86" s="122">
        <v>2</v>
      </c>
      <c r="I86" s="128" t="s">
        <v>295</v>
      </c>
      <c r="J86" s="118">
        <v>61</v>
      </c>
      <c r="K86" s="118">
        <v>83.68</v>
      </c>
      <c r="L86" s="118">
        <v>1.91</v>
      </c>
      <c r="M86" s="118">
        <v>0.47</v>
      </c>
      <c r="N86" s="118">
        <v>11.77</v>
      </c>
      <c r="O86" s="118">
        <v>1.1000000000000001</v>
      </c>
      <c r="P86" s="118">
        <v>0.08</v>
      </c>
      <c r="Q86" s="118">
        <v>0.06</v>
      </c>
      <c r="R86" s="118">
        <v>0.5</v>
      </c>
      <c r="S86" s="118"/>
      <c r="T86" s="118">
        <v>0.04</v>
      </c>
      <c r="U86" s="118">
        <v>16.25</v>
      </c>
      <c r="V86" s="118"/>
      <c r="W86" s="118">
        <v>142.80000000000001</v>
      </c>
      <c r="X86" s="118">
        <v>0</v>
      </c>
      <c r="Y86" s="118">
        <v>0.23</v>
      </c>
      <c r="Z86" s="118"/>
      <c r="AA86" s="118">
        <v>0</v>
      </c>
      <c r="AB86" s="118">
        <v>13.58</v>
      </c>
      <c r="AC86" s="118">
        <v>0</v>
      </c>
      <c r="AD86" s="118">
        <v>163</v>
      </c>
      <c r="AE86" s="118"/>
      <c r="AF86" s="118"/>
      <c r="AG86" s="118"/>
      <c r="AH86" s="118"/>
      <c r="AI86" s="118">
        <v>27.28</v>
      </c>
      <c r="AJ86" s="118">
        <v>0.1</v>
      </c>
      <c r="AK86" s="118">
        <v>2.57</v>
      </c>
      <c r="AL86" s="118">
        <v>19.57</v>
      </c>
      <c r="AM86" s="118"/>
      <c r="AN86" s="118">
        <v>25.88</v>
      </c>
      <c r="AO86" s="118">
        <v>186.34</v>
      </c>
      <c r="AP86" s="118"/>
      <c r="AQ86" s="118">
        <v>0.48</v>
      </c>
      <c r="AR86" s="118"/>
      <c r="AS86" s="118"/>
      <c r="AT86" s="118"/>
      <c r="AU86" s="118"/>
      <c r="AV86" s="124"/>
      <c r="AW86" s="124"/>
      <c r="AX86" s="124"/>
      <c r="AY86" s="124"/>
      <c r="AZ86" s="124"/>
      <c r="BA86" s="124"/>
      <c r="BB86" s="124"/>
      <c r="BC86" s="124"/>
      <c r="BD86" s="124"/>
      <c r="BE86" s="124"/>
      <c r="BF86" s="124"/>
      <c r="BG86" s="124"/>
      <c r="BH86" s="124"/>
      <c r="BI86" s="124"/>
      <c r="BJ86" s="124"/>
      <c r="BK86" s="124"/>
      <c r="BL86" s="124"/>
      <c r="BM86" s="124"/>
      <c r="BN86" s="118"/>
      <c r="BO86" s="118"/>
      <c r="BP86" s="118"/>
      <c r="BQ86" s="118"/>
      <c r="BR86" s="118"/>
    </row>
    <row r="87" spans="1:70">
      <c r="A87" s="122">
        <v>14002</v>
      </c>
      <c r="B87" s="122" t="s">
        <v>417</v>
      </c>
      <c r="C87" s="122" t="s">
        <v>418</v>
      </c>
      <c r="D87" s="122" t="s">
        <v>372</v>
      </c>
      <c r="E87" s="122" t="s">
        <v>103</v>
      </c>
      <c r="F87" s="122" t="s">
        <v>1228</v>
      </c>
      <c r="G87" s="163" t="s">
        <v>1229</v>
      </c>
      <c r="H87" s="122">
        <v>13</v>
      </c>
      <c r="I87" s="122" t="s">
        <v>197</v>
      </c>
      <c r="J87" s="118">
        <v>118</v>
      </c>
      <c r="K87" s="118">
        <v>69.599999999999994</v>
      </c>
      <c r="L87" s="118">
        <v>1.53</v>
      </c>
      <c r="M87" s="118">
        <v>0.17</v>
      </c>
      <c r="N87" s="118">
        <v>27.9</v>
      </c>
      <c r="O87" s="118">
        <v>4.0999999999999996</v>
      </c>
      <c r="P87" s="118">
        <v>0.112</v>
      </c>
      <c r="Q87" s="118">
        <v>3.2000000000000001E-2</v>
      </c>
      <c r="R87" s="118">
        <v>0.55200000000000005</v>
      </c>
      <c r="S87" s="118">
        <v>0.314</v>
      </c>
      <c r="T87" s="118">
        <v>0.29299999999999998</v>
      </c>
      <c r="U87" s="118">
        <v>23</v>
      </c>
      <c r="V87" s="118">
        <v>0</v>
      </c>
      <c r="W87" s="118">
        <v>17.100000000000001</v>
      </c>
      <c r="X87" s="118">
        <v>0</v>
      </c>
      <c r="Y87" s="118">
        <v>0.35</v>
      </c>
      <c r="Z87" s="118">
        <v>2.2999999999999998</v>
      </c>
      <c r="AA87" s="118">
        <v>0</v>
      </c>
      <c r="AB87" s="118">
        <v>7</v>
      </c>
      <c r="AC87" s="118">
        <v>0</v>
      </c>
      <c r="AD87" s="118">
        <v>83</v>
      </c>
      <c r="AE87" s="118">
        <v>0</v>
      </c>
      <c r="AF87" s="118">
        <v>0</v>
      </c>
      <c r="AG87" s="118">
        <v>0</v>
      </c>
      <c r="AH87" s="118">
        <v>0</v>
      </c>
      <c r="AI87" s="118">
        <v>17</v>
      </c>
      <c r="AJ87" s="118">
        <v>0.17799999999999999</v>
      </c>
      <c r="AK87" s="118">
        <v>0.54</v>
      </c>
      <c r="AL87" s="118">
        <v>21</v>
      </c>
      <c r="AM87" s="118">
        <v>0.39700000000000002</v>
      </c>
      <c r="AN87" s="118">
        <v>55</v>
      </c>
      <c r="AO87" s="118">
        <v>816</v>
      </c>
      <c r="AP87" s="118">
        <v>0.7</v>
      </c>
      <c r="AQ87" s="118">
        <v>0.24</v>
      </c>
      <c r="AR87" s="118">
        <v>3.6999999999999998E-2</v>
      </c>
      <c r="AS87" s="118">
        <v>6.0000000000000001E-3</v>
      </c>
      <c r="AT87" s="118">
        <v>7.5999999999999998E-2</v>
      </c>
      <c r="AU87" s="118">
        <v>0</v>
      </c>
      <c r="AV87" s="118">
        <v>3.4000000000000002E-2</v>
      </c>
      <c r="AW87" s="118">
        <v>5.1999999999999998E-2</v>
      </c>
      <c r="AX87" s="118">
        <v>9.6000000000000002E-2</v>
      </c>
      <c r="AY87" s="118">
        <v>5.8999999999999997E-2</v>
      </c>
      <c r="AZ87" s="118">
        <v>2.1000000000000001E-2</v>
      </c>
      <c r="BA87" s="118">
        <v>1.9E-2</v>
      </c>
      <c r="BB87" s="118">
        <v>7.0999999999999994E-2</v>
      </c>
      <c r="BC87" s="118">
        <v>5.3999999999999999E-2</v>
      </c>
      <c r="BD87" s="118">
        <v>1.2E-2</v>
      </c>
      <c r="BE87" s="118">
        <v>6.2E-2</v>
      </c>
      <c r="BF87" s="118">
        <v>6.3E-2</v>
      </c>
      <c r="BG87" s="118">
        <v>0.127</v>
      </c>
      <c r="BH87" s="118">
        <v>0.155</v>
      </c>
      <c r="BI87" s="118">
        <v>0.18099999999999999</v>
      </c>
      <c r="BJ87" s="118">
        <v>5.2999999999999999E-2</v>
      </c>
      <c r="BK87" s="118">
        <v>5.3999999999999999E-2</v>
      </c>
      <c r="BL87" s="118">
        <v>8.1000000000000003E-2</v>
      </c>
      <c r="BM87" s="118">
        <v>0.04</v>
      </c>
      <c r="BN87" s="118"/>
      <c r="BO87" s="118"/>
      <c r="BP87" s="118"/>
      <c r="BQ87" s="118"/>
      <c r="BR87" s="118"/>
    </row>
    <row r="88" spans="1:70">
      <c r="A88" s="122">
        <v>25026</v>
      </c>
      <c r="B88" s="122" t="s">
        <v>419</v>
      </c>
      <c r="C88" s="122" t="s">
        <v>420</v>
      </c>
      <c r="D88" s="122" t="s">
        <v>372</v>
      </c>
      <c r="E88" s="122" t="s">
        <v>76</v>
      </c>
      <c r="F88" s="122" t="s">
        <v>1209</v>
      </c>
      <c r="G88" s="163" t="s">
        <v>1210</v>
      </c>
      <c r="H88" s="122">
        <v>10</v>
      </c>
      <c r="I88" s="128" t="s">
        <v>295</v>
      </c>
      <c r="J88" s="118">
        <v>43.5</v>
      </c>
      <c r="K88" s="125">
        <v>83.599998474121094</v>
      </c>
      <c r="L88" s="125">
        <v>3.4200000762939453</v>
      </c>
      <c r="M88" s="125">
        <v>1.3799999952316284</v>
      </c>
      <c r="N88" s="125">
        <v>3.690000057220459</v>
      </c>
      <c r="O88" s="125">
        <v>5.5999999046325684</v>
      </c>
      <c r="P88" s="125">
        <v>7.9999998211860657E-2</v>
      </c>
      <c r="Q88" s="125">
        <v>7.0000000298023224E-2</v>
      </c>
      <c r="R88" s="125">
        <v>0.80000001192092896</v>
      </c>
      <c r="S88" s="118"/>
      <c r="T88" s="125">
        <v>0.28999999165534973</v>
      </c>
      <c r="U88" s="125">
        <v>159.10000610351563</v>
      </c>
      <c r="V88" s="118">
        <v>0</v>
      </c>
      <c r="W88" s="125">
        <v>40.700000762939453</v>
      </c>
      <c r="X88" s="118"/>
      <c r="Y88" s="125">
        <v>7.0000000298023224E-2</v>
      </c>
      <c r="Z88" s="118"/>
      <c r="AA88" s="118"/>
      <c r="AB88" s="125">
        <v>959.66668701171875</v>
      </c>
      <c r="AC88" s="118"/>
      <c r="AD88" s="125">
        <v>5758</v>
      </c>
      <c r="AE88" s="118"/>
      <c r="AF88" s="118"/>
      <c r="AG88" s="118"/>
      <c r="AH88" s="118"/>
      <c r="AI88" s="125">
        <v>216.10000610351563</v>
      </c>
      <c r="AJ88" s="118"/>
      <c r="AK88" s="125">
        <v>3.4100000858306885</v>
      </c>
      <c r="AL88" s="118"/>
      <c r="AM88" s="118"/>
      <c r="AN88" s="118"/>
      <c r="AO88" s="118"/>
      <c r="AP88" s="118"/>
      <c r="AQ88" s="125">
        <v>0.81999999284744263</v>
      </c>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25">
        <v>14.399999618530273</v>
      </c>
      <c r="BP88" s="118"/>
      <c r="BQ88" s="118"/>
      <c r="BR88" s="118"/>
    </row>
    <row r="89" spans="1:70">
      <c r="A89" s="122">
        <v>25027</v>
      </c>
      <c r="B89" s="122" t="s">
        <v>421</v>
      </c>
      <c r="C89" s="122" t="s">
        <v>422</v>
      </c>
      <c r="D89" s="122" t="s">
        <v>423</v>
      </c>
      <c r="E89" s="122" t="s">
        <v>1152</v>
      </c>
      <c r="F89" s="122" t="s">
        <v>1230</v>
      </c>
      <c r="G89" s="163" t="s">
        <v>1231</v>
      </c>
      <c r="H89" s="122">
        <v>4</v>
      </c>
      <c r="I89" s="122" t="s">
        <v>207</v>
      </c>
      <c r="J89" s="118"/>
      <c r="K89" s="118">
        <v>88.84</v>
      </c>
      <c r="L89" s="118">
        <v>2.81</v>
      </c>
      <c r="M89" s="118">
        <v>0.66</v>
      </c>
      <c r="N89" s="118">
        <v>2.94</v>
      </c>
      <c r="O89" s="118">
        <v>2.44</v>
      </c>
      <c r="P89" s="118"/>
      <c r="Q89" s="118"/>
      <c r="R89" s="118"/>
      <c r="S89" s="118"/>
      <c r="T89" s="118"/>
      <c r="U89" s="118"/>
      <c r="V89" s="118"/>
      <c r="W89" s="118">
        <v>108.08</v>
      </c>
      <c r="X89" s="118"/>
      <c r="Y89" s="118"/>
      <c r="Z89" s="118"/>
      <c r="AA89" s="118"/>
      <c r="AB89" s="118"/>
      <c r="AC89" s="118"/>
      <c r="AD89" s="118"/>
      <c r="AE89" s="118"/>
      <c r="AF89" s="118"/>
      <c r="AG89" s="118"/>
      <c r="AH89" s="118"/>
      <c r="AI89" s="118">
        <v>22.59</v>
      </c>
      <c r="AJ89" s="118"/>
      <c r="AK89" s="118">
        <v>58.4</v>
      </c>
      <c r="AL89" s="118"/>
      <c r="AM89" s="118"/>
      <c r="AN89" s="118"/>
      <c r="AO89" s="118">
        <v>5.23</v>
      </c>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v>2119</v>
      </c>
      <c r="BO89" s="118">
        <v>3.5E-4</v>
      </c>
      <c r="BP89" s="118">
        <v>7.19</v>
      </c>
      <c r="BQ89" s="118"/>
      <c r="BR89" s="118"/>
    </row>
    <row r="90" spans="1:70">
      <c r="A90" s="122">
        <v>63001</v>
      </c>
      <c r="B90" s="122" t="s">
        <v>424</v>
      </c>
      <c r="C90" s="122" t="s">
        <v>425</v>
      </c>
      <c r="D90" s="122" t="s">
        <v>426</v>
      </c>
      <c r="E90" s="122" t="s">
        <v>76</v>
      </c>
      <c r="F90" s="122" t="s">
        <v>1232</v>
      </c>
      <c r="G90" s="163" t="s">
        <v>1233</v>
      </c>
      <c r="H90" s="122">
        <v>21</v>
      </c>
      <c r="I90" s="122" t="s">
        <v>202</v>
      </c>
      <c r="J90" s="118">
        <v>613</v>
      </c>
      <c r="K90" s="118">
        <v>3.9</v>
      </c>
      <c r="L90" s="118">
        <v>24.1</v>
      </c>
      <c r="M90" s="118">
        <v>47.8</v>
      </c>
      <c r="N90" s="118">
        <v>21.8</v>
      </c>
      <c r="O90" s="118">
        <v>3.1</v>
      </c>
      <c r="P90" s="118">
        <v>0.44</v>
      </c>
      <c r="Q90" s="118">
        <v>0.1</v>
      </c>
      <c r="R90" s="118">
        <v>11.35</v>
      </c>
      <c r="S90" s="118">
        <v>1.01</v>
      </c>
      <c r="T90" s="118">
        <v>0.23</v>
      </c>
      <c r="U90" s="118">
        <v>109</v>
      </c>
      <c r="V90" s="118">
        <v>0</v>
      </c>
      <c r="W90" s="118">
        <v>0</v>
      </c>
      <c r="X90" s="118">
        <v>6.14</v>
      </c>
      <c r="Y90" s="118">
        <v>0.28000000000000003</v>
      </c>
      <c r="Z90" s="118">
        <v>2.5</v>
      </c>
      <c r="AA90" s="118">
        <v>0</v>
      </c>
      <c r="AB90" s="118">
        <v>2</v>
      </c>
      <c r="AC90" s="118">
        <v>0</v>
      </c>
      <c r="AD90" s="118">
        <v>18.5</v>
      </c>
      <c r="AE90" s="118">
        <v>4.42</v>
      </c>
      <c r="AF90" s="118"/>
      <c r="AG90" s="118"/>
      <c r="AH90" s="118">
        <v>8.07</v>
      </c>
      <c r="AI90" s="118">
        <v>34</v>
      </c>
      <c r="AJ90" s="118">
        <v>0.92</v>
      </c>
      <c r="AK90" s="118">
        <v>2</v>
      </c>
      <c r="AL90" s="118">
        <v>197</v>
      </c>
      <c r="AM90" s="118">
        <v>1.62</v>
      </c>
      <c r="AN90" s="118">
        <v>391</v>
      </c>
      <c r="AO90" s="118">
        <v>679</v>
      </c>
      <c r="AP90" s="118">
        <v>3.41</v>
      </c>
      <c r="AQ90" s="118">
        <v>3.18</v>
      </c>
      <c r="AR90" s="118">
        <v>8.99</v>
      </c>
      <c r="AS90" s="118">
        <v>19.41</v>
      </c>
      <c r="AT90" s="118">
        <v>15.91</v>
      </c>
      <c r="AU90" s="118">
        <v>0</v>
      </c>
      <c r="AV90" s="124">
        <v>0.52976000000000001</v>
      </c>
      <c r="AW90" s="124">
        <v>1.10446</v>
      </c>
      <c r="AX90" s="124">
        <v>1.5135999999999998</v>
      </c>
      <c r="AY90" s="124">
        <v>0.80174000000000001</v>
      </c>
      <c r="AZ90" s="124">
        <v>0.28617000000000004</v>
      </c>
      <c r="BA90" s="124">
        <v>0.31455</v>
      </c>
      <c r="BB90" s="124">
        <v>1.2770999999999999</v>
      </c>
      <c r="BC90" s="124">
        <v>0.60071000000000008</v>
      </c>
      <c r="BD90" s="124">
        <v>0.21284999999999998</v>
      </c>
      <c r="BE90" s="124">
        <v>0.92708000000000002</v>
      </c>
      <c r="BF90" s="124">
        <v>1.0004</v>
      </c>
      <c r="BG90" s="124">
        <v>2.56603</v>
      </c>
      <c r="BH90" s="124">
        <v>2.7623200000000003</v>
      </c>
      <c r="BI90" s="124">
        <v>4.5904699999999998</v>
      </c>
      <c r="BJ90" s="124">
        <v>1.31494</v>
      </c>
      <c r="BK90" s="124">
        <v>0.88451000000000002</v>
      </c>
      <c r="BL90" s="124">
        <v>1.1943299999999999</v>
      </c>
      <c r="BM90" s="124">
        <v>0.91288999999999998</v>
      </c>
      <c r="BN90" s="118">
        <v>127</v>
      </c>
      <c r="BO90" s="118"/>
      <c r="BP90" s="118"/>
      <c r="BQ90" s="118"/>
      <c r="BR90" s="118"/>
    </row>
    <row r="91" spans="1:70">
      <c r="A91" s="122">
        <v>90819</v>
      </c>
      <c r="B91" s="122" t="s">
        <v>1234</v>
      </c>
      <c r="C91" s="122" t="s">
        <v>429</v>
      </c>
      <c r="D91" s="122" t="s">
        <v>121</v>
      </c>
      <c r="E91" s="122" t="s">
        <v>1235</v>
      </c>
      <c r="F91" s="122">
        <v>2428753</v>
      </c>
      <c r="G91" s="163" t="s">
        <v>1236</v>
      </c>
      <c r="H91" s="122">
        <v>3</v>
      </c>
      <c r="I91" s="122" t="s">
        <v>78</v>
      </c>
      <c r="J91" s="118">
        <v>400</v>
      </c>
      <c r="K91" s="118"/>
      <c r="L91" s="118">
        <v>0</v>
      </c>
      <c r="M91" s="118">
        <v>16.7</v>
      </c>
      <c r="N91" s="118">
        <v>50</v>
      </c>
      <c r="O91" s="118">
        <v>33.299999999999997</v>
      </c>
      <c r="P91" s="118"/>
      <c r="Q91" s="118"/>
      <c r="R91" s="118"/>
      <c r="S91" s="118"/>
      <c r="T91" s="118"/>
      <c r="U91" s="118"/>
      <c r="V91" s="118"/>
      <c r="W91" s="118"/>
      <c r="X91" s="118">
        <v>0</v>
      </c>
      <c r="Y91" s="118"/>
      <c r="Z91" s="118"/>
      <c r="AA91" s="118"/>
      <c r="AB91" s="118"/>
      <c r="AC91" s="118"/>
      <c r="AD91" s="118"/>
      <c r="AE91" s="118"/>
      <c r="AF91" s="118"/>
      <c r="AG91" s="118"/>
      <c r="AH91" s="118"/>
      <c r="AI91" s="118">
        <v>1000</v>
      </c>
      <c r="AJ91" s="118"/>
      <c r="AK91" s="118">
        <v>16.7</v>
      </c>
      <c r="AL91" s="118">
        <v>333</v>
      </c>
      <c r="AM91" s="118"/>
      <c r="AN91" s="118"/>
      <c r="AO91" s="118">
        <v>1670</v>
      </c>
      <c r="AP91" s="118"/>
      <c r="AQ91" s="118"/>
      <c r="AR91" s="118">
        <v>0</v>
      </c>
      <c r="AS91" s="118"/>
      <c r="AT91" s="118"/>
      <c r="AU91" s="118">
        <v>0</v>
      </c>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row>
    <row r="92" spans="1:70">
      <c r="A92" s="122">
        <v>24003</v>
      </c>
      <c r="B92" s="122" t="s">
        <v>438</v>
      </c>
      <c r="C92" s="122" t="s">
        <v>439</v>
      </c>
      <c r="D92" s="122" t="s">
        <v>440</v>
      </c>
      <c r="E92" s="122" t="s">
        <v>76</v>
      </c>
      <c r="F92" s="122" t="s">
        <v>1237</v>
      </c>
      <c r="G92" s="163" t="s">
        <v>1238</v>
      </c>
      <c r="H92" s="122">
        <v>13</v>
      </c>
      <c r="I92" s="122" t="s">
        <v>78</v>
      </c>
      <c r="J92" s="118">
        <v>147</v>
      </c>
      <c r="K92" s="118">
        <v>61.63</v>
      </c>
      <c r="L92" s="118">
        <v>6.85</v>
      </c>
      <c r="M92" s="118">
        <v>0.55000000000000004</v>
      </c>
      <c r="N92" s="118">
        <v>27.62</v>
      </c>
      <c r="O92" s="118">
        <v>2.1</v>
      </c>
      <c r="P92" s="118">
        <v>0.13</v>
      </c>
      <c r="Q92" s="118">
        <v>0.12</v>
      </c>
      <c r="R92" s="118">
        <v>0.5</v>
      </c>
      <c r="S92" s="118">
        <v>1.69</v>
      </c>
      <c r="T92" s="118">
        <v>1.24</v>
      </c>
      <c r="U92" s="118">
        <v>4</v>
      </c>
      <c r="V92" s="118">
        <v>0</v>
      </c>
      <c r="W92" s="118">
        <v>24.1</v>
      </c>
      <c r="X92" s="118">
        <v>2.2400000000000002</v>
      </c>
      <c r="Y92" s="118">
        <v>0.08</v>
      </c>
      <c r="Z92" s="118">
        <v>2.8</v>
      </c>
      <c r="AA92" s="118">
        <v>0</v>
      </c>
      <c r="AB92" s="118">
        <v>0</v>
      </c>
      <c r="AC92" s="118">
        <v>0</v>
      </c>
      <c r="AD92" s="118">
        <v>0</v>
      </c>
      <c r="AE92" s="118">
        <v>4.5599999999999996</v>
      </c>
      <c r="AF92" s="118"/>
      <c r="AG92" s="118"/>
      <c r="AH92" s="118">
        <v>1.56</v>
      </c>
      <c r="AI92" s="118">
        <v>24.5</v>
      </c>
      <c r="AJ92" s="118">
        <v>0.18</v>
      </c>
      <c r="AK92" s="118">
        <v>1.63</v>
      </c>
      <c r="AL92" s="118">
        <v>25</v>
      </c>
      <c r="AM92" s="118">
        <v>0.34</v>
      </c>
      <c r="AN92" s="118">
        <v>161.5</v>
      </c>
      <c r="AO92" s="118">
        <v>510.5</v>
      </c>
      <c r="AP92" s="118"/>
      <c r="AQ92" s="118">
        <v>1.08</v>
      </c>
      <c r="AR92" s="118">
        <v>0.03</v>
      </c>
      <c r="AS92" s="118">
        <v>0.01</v>
      </c>
      <c r="AT92" s="118">
        <v>0.06</v>
      </c>
      <c r="AU92" s="118"/>
      <c r="AV92" s="124">
        <v>8.5919999999999996E-2</v>
      </c>
      <c r="AW92" s="124">
        <v>0.14896000000000001</v>
      </c>
      <c r="AX92" s="124">
        <v>0.26075999999999999</v>
      </c>
      <c r="AY92" s="124">
        <v>0.26706000000000002</v>
      </c>
      <c r="AZ92" s="124">
        <v>5.0090000000000003E-2</v>
      </c>
      <c r="BA92" s="124">
        <v>0.12076000000000001</v>
      </c>
      <c r="BB92" s="124">
        <v>0.22559000000000001</v>
      </c>
      <c r="BC92" s="124">
        <v>0.20768</v>
      </c>
      <c r="BD92" s="124">
        <v>5.1749999999999997E-2</v>
      </c>
      <c r="BE92" s="124">
        <v>0.23089999999999999</v>
      </c>
      <c r="BF92" s="124">
        <v>0.27104</v>
      </c>
      <c r="BG92" s="124">
        <v>1.03241</v>
      </c>
      <c r="BH92" s="124">
        <v>0.71525000000000005</v>
      </c>
      <c r="BI92" s="124">
        <v>1.14686</v>
      </c>
      <c r="BJ92" s="124">
        <v>0.19805</v>
      </c>
      <c r="BK92" s="124">
        <v>0.24515999999999999</v>
      </c>
      <c r="BL92" s="124">
        <v>0.22725000000000001</v>
      </c>
      <c r="BM92" s="124">
        <v>0.21828999999999998</v>
      </c>
      <c r="BN92" s="118">
        <v>95.26</v>
      </c>
      <c r="BO92" s="118">
        <v>34.64</v>
      </c>
      <c r="BP92" s="118"/>
      <c r="BQ92" s="118"/>
      <c r="BR92" s="118"/>
    </row>
    <row r="93" spans="1:70">
      <c r="A93" s="122">
        <v>25028</v>
      </c>
      <c r="B93" s="122" t="s">
        <v>442</v>
      </c>
      <c r="C93" s="122" t="s">
        <v>443</v>
      </c>
      <c r="D93" s="122" t="s">
        <v>444</v>
      </c>
      <c r="E93" s="122" t="s">
        <v>82</v>
      </c>
      <c r="F93" s="122" t="s">
        <v>445</v>
      </c>
      <c r="G93" s="163" t="s">
        <v>446</v>
      </c>
      <c r="H93" s="122">
        <v>13</v>
      </c>
      <c r="I93" s="128" t="s">
        <v>295</v>
      </c>
      <c r="J93" s="118">
        <v>13.15</v>
      </c>
      <c r="K93" s="118">
        <v>94.99</v>
      </c>
      <c r="L93" s="118">
        <v>0.91</v>
      </c>
      <c r="M93" s="118">
        <v>0.14000000000000001</v>
      </c>
      <c r="N93" s="118">
        <v>1.72</v>
      </c>
      <c r="O93" s="118">
        <v>1.81</v>
      </c>
      <c r="P93" s="118">
        <v>0.02</v>
      </c>
      <c r="Q93" s="118">
        <v>0.01</v>
      </c>
      <c r="R93" s="118">
        <v>0.2</v>
      </c>
      <c r="S93" s="118">
        <v>0.28000000000000003</v>
      </c>
      <c r="T93" s="118">
        <v>7.0000000000000007E-2</v>
      </c>
      <c r="U93" s="118">
        <v>29.26</v>
      </c>
      <c r="V93" s="118"/>
      <c r="W93" s="118">
        <v>5.42</v>
      </c>
      <c r="X93" s="118">
        <v>0.37</v>
      </c>
      <c r="Y93" s="118">
        <v>0.02</v>
      </c>
      <c r="Z93" s="118">
        <v>11.23</v>
      </c>
      <c r="AA93" s="118"/>
      <c r="AB93" s="125">
        <f>AA93+1/12*(AD93)+1/24*(AC93)+1/24*(AG93)</f>
        <v>29</v>
      </c>
      <c r="AC93" s="118"/>
      <c r="AD93" s="118">
        <v>348</v>
      </c>
      <c r="AE93" s="118">
        <v>129</v>
      </c>
      <c r="AF93" s="118"/>
      <c r="AG93" s="118"/>
      <c r="AH93" s="118">
        <v>19.5</v>
      </c>
      <c r="AI93" s="118">
        <v>13.7</v>
      </c>
      <c r="AJ93" s="118">
        <v>0.1</v>
      </c>
      <c r="AK93" s="118">
        <v>0.42</v>
      </c>
      <c r="AL93" s="118">
        <v>16.149999999999999</v>
      </c>
      <c r="AM93" s="118">
        <v>0.11</v>
      </c>
      <c r="AN93" s="118">
        <v>33.06</v>
      </c>
      <c r="AO93" s="118">
        <v>118</v>
      </c>
      <c r="AP93" s="118">
        <v>0.59</v>
      </c>
      <c r="AQ93" s="118">
        <v>0.22</v>
      </c>
      <c r="AR93" s="118">
        <v>5.45E-2</v>
      </c>
      <c r="AS93" s="118">
        <v>2.5699999999999998E-3</v>
      </c>
      <c r="AT93" s="118">
        <v>5.5100000000000003E-2</v>
      </c>
      <c r="AU93" s="118"/>
      <c r="AV93" s="118">
        <v>1.87</v>
      </c>
      <c r="AW93" s="118">
        <v>4.5999999999999996</v>
      </c>
      <c r="AX93" s="118">
        <v>5.34</v>
      </c>
      <c r="AY93" s="118">
        <v>4.78</v>
      </c>
      <c r="AZ93" s="118">
        <v>0.98</v>
      </c>
      <c r="BA93" s="118">
        <v>0.4</v>
      </c>
      <c r="BB93" s="118">
        <v>4.21</v>
      </c>
      <c r="BC93" s="118">
        <v>3.68</v>
      </c>
      <c r="BD93" s="118">
        <v>0.72</v>
      </c>
      <c r="BE93" s="118">
        <v>5.95</v>
      </c>
      <c r="BF93" s="118">
        <v>6.47</v>
      </c>
      <c r="BG93" s="118">
        <v>5.15</v>
      </c>
      <c r="BH93" s="118">
        <v>9.98</v>
      </c>
      <c r="BI93" s="118">
        <v>21.06</v>
      </c>
      <c r="BJ93" s="118">
        <v>5.04</v>
      </c>
      <c r="BK93" s="118">
        <v>3.39</v>
      </c>
      <c r="BL93" s="118">
        <v>4.33</v>
      </c>
      <c r="BM93" s="118">
        <v>3.27</v>
      </c>
      <c r="BN93" s="118">
        <v>8.31</v>
      </c>
      <c r="BO93" s="118">
        <v>14.91</v>
      </c>
      <c r="BP93" s="118">
        <v>29.55</v>
      </c>
      <c r="BQ93" s="118"/>
      <c r="BR93" s="118"/>
    </row>
    <row r="94" spans="1:70">
      <c r="A94" s="122">
        <v>25007</v>
      </c>
      <c r="B94" s="122" t="s">
        <v>447</v>
      </c>
      <c r="C94" s="122" t="s">
        <v>448</v>
      </c>
      <c r="D94" s="122" t="s">
        <v>449</v>
      </c>
      <c r="E94" s="122" t="s">
        <v>76</v>
      </c>
      <c r="F94" s="122" t="s">
        <v>1239</v>
      </c>
      <c r="G94" s="163" t="s">
        <v>1240</v>
      </c>
      <c r="H94" s="122">
        <v>21</v>
      </c>
      <c r="I94" s="122" t="s">
        <v>78</v>
      </c>
      <c r="J94" s="118">
        <v>313</v>
      </c>
      <c r="K94" s="118">
        <v>10</v>
      </c>
      <c r="L94" s="118">
        <v>15.9</v>
      </c>
      <c r="M94" s="118">
        <v>6.2</v>
      </c>
      <c r="N94" s="118">
        <v>35.18</v>
      </c>
      <c r="O94" s="118">
        <v>26.62</v>
      </c>
      <c r="P94" s="118">
        <v>0.93</v>
      </c>
      <c r="Q94" s="118">
        <v>0.43</v>
      </c>
      <c r="R94" s="118">
        <v>8.6999999999999993</v>
      </c>
      <c r="S94" s="118">
        <v>0.56999999999999995</v>
      </c>
      <c r="T94" s="118">
        <v>2.4500000000000002</v>
      </c>
      <c r="U94" s="118">
        <v>106</v>
      </c>
      <c r="V94" s="118">
        <v>0</v>
      </c>
      <c r="W94" s="118">
        <v>47.4</v>
      </c>
      <c r="X94" s="118">
        <v>0</v>
      </c>
      <c r="Y94" s="118">
        <v>19.71</v>
      </c>
      <c r="Z94" s="118">
        <v>274</v>
      </c>
      <c r="AA94" s="118">
        <v>0</v>
      </c>
      <c r="AB94" s="118">
        <v>746.91</v>
      </c>
      <c r="AC94" s="118">
        <v>0</v>
      </c>
      <c r="AD94" s="118">
        <v>7840.65</v>
      </c>
      <c r="AE94" s="118">
        <v>1843</v>
      </c>
      <c r="AF94" s="118">
        <v>36.44</v>
      </c>
      <c r="AG94" s="118">
        <v>1599</v>
      </c>
      <c r="AH94" s="118">
        <v>2712</v>
      </c>
      <c r="AI94" s="118">
        <v>160</v>
      </c>
      <c r="AJ94" s="118">
        <v>0.37</v>
      </c>
      <c r="AK94" s="118">
        <v>2.2999999999999998</v>
      </c>
      <c r="AL94" s="118">
        <v>152</v>
      </c>
      <c r="AM94" s="118">
        <v>1.45</v>
      </c>
      <c r="AN94" s="118">
        <v>293</v>
      </c>
      <c r="AO94" s="118">
        <v>2010</v>
      </c>
      <c r="AP94" s="118">
        <v>18.829999999999998</v>
      </c>
      <c r="AQ94" s="118">
        <v>2.48</v>
      </c>
      <c r="AR94" s="118">
        <v>1.1399999999999999</v>
      </c>
      <c r="AS94" s="118">
        <v>0.72</v>
      </c>
      <c r="AT94" s="118">
        <v>3.2629999999999999</v>
      </c>
      <c r="AU94" s="118"/>
      <c r="AV94" s="124">
        <v>0.26776</v>
      </c>
      <c r="AW94" s="124">
        <v>0.47587999999999997</v>
      </c>
      <c r="AX94" s="124">
        <v>0.80962000000000001</v>
      </c>
      <c r="AY94" s="124">
        <v>0.53171000000000002</v>
      </c>
      <c r="AZ94" s="124">
        <v>0.15988999999999998</v>
      </c>
      <c r="BA94" s="124">
        <v>0.22081000000000001</v>
      </c>
      <c r="BB94" s="124">
        <v>0.64591999999999994</v>
      </c>
      <c r="BC94" s="124">
        <v>0.51775000000000004</v>
      </c>
      <c r="BD94" s="124">
        <v>0.11675000000000001</v>
      </c>
      <c r="BE94" s="124">
        <v>0.61165999999999998</v>
      </c>
      <c r="BF94" s="124">
        <v>0.6053099999999999</v>
      </c>
      <c r="BG94" s="124">
        <v>0.62941999999999998</v>
      </c>
      <c r="BH94" s="124">
        <v>1.78295</v>
      </c>
      <c r="BI94" s="124">
        <v>2.1979099999999998</v>
      </c>
      <c r="BJ94" s="124">
        <v>0.65100000000000002</v>
      </c>
      <c r="BK94" s="124">
        <v>0.71951999999999994</v>
      </c>
      <c r="BL94" s="124">
        <v>0.54821000000000009</v>
      </c>
      <c r="BM94" s="124">
        <v>0.39212000000000002</v>
      </c>
      <c r="BN94" s="118">
        <v>211</v>
      </c>
      <c r="BO94" s="118">
        <v>264</v>
      </c>
      <c r="BP94" s="118">
        <v>67</v>
      </c>
      <c r="BQ94" s="118"/>
      <c r="BR94" s="118"/>
    </row>
    <row r="95" spans="1:70">
      <c r="A95" s="122">
        <v>21023</v>
      </c>
      <c r="B95" s="122" t="s">
        <v>450</v>
      </c>
      <c r="C95" s="122" t="s">
        <v>451</v>
      </c>
      <c r="D95" s="122" t="s">
        <v>397</v>
      </c>
      <c r="E95" s="122" t="s">
        <v>76</v>
      </c>
      <c r="F95" s="122" t="s">
        <v>1241</v>
      </c>
      <c r="G95" s="163" t="s">
        <v>1242</v>
      </c>
      <c r="H95" s="122">
        <v>10</v>
      </c>
      <c r="I95" s="122" t="s">
        <v>207</v>
      </c>
      <c r="J95" s="118">
        <v>72</v>
      </c>
      <c r="K95" s="118">
        <v>79.73</v>
      </c>
      <c r="L95" s="118">
        <v>6.7</v>
      </c>
      <c r="M95" s="118">
        <v>1.8</v>
      </c>
      <c r="N95" s="118">
        <v>4.58</v>
      </c>
      <c r="O95" s="118">
        <v>5.2</v>
      </c>
      <c r="P95" s="118">
        <v>0.26</v>
      </c>
      <c r="Q95" s="118">
        <v>0.66</v>
      </c>
      <c r="R95" s="118">
        <v>0.8</v>
      </c>
      <c r="S95" s="118">
        <v>0.39</v>
      </c>
      <c r="T95" s="118">
        <v>1.2</v>
      </c>
      <c r="U95" s="118">
        <v>205</v>
      </c>
      <c r="V95" s="118"/>
      <c r="W95" s="118">
        <v>220</v>
      </c>
      <c r="X95" s="118">
        <v>14.33</v>
      </c>
      <c r="Y95" s="118">
        <v>0.31</v>
      </c>
      <c r="Z95" s="118">
        <v>479</v>
      </c>
      <c r="AA95" s="118">
        <v>0</v>
      </c>
      <c r="AB95" s="118">
        <v>1100</v>
      </c>
      <c r="AC95" s="118">
        <v>0</v>
      </c>
      <c r="AD95" s="118">
        <v>13160</v>
      </c>
      <c r="AE95" s="118">
        <v>15580</v>
      </c>
      <c r="AF95" s="118"/>
      <c r="AG95" s="118"/>
      <c r="AH95" s="118">
        <v>235</v>
      </c>
      <c r="AI95" s="118">
        <v>440</v>
      </c>
      <c r="AJ95" s="118">
        <v>7.0000000000000007E-2</v>
      </c>
      <c r="AK95" s="118">
        <v>0.85</v>
      </c>
      <c r="AL95" s="118">
        <v>42</v>
      </c>
      <c r="AM95" s="118">
        <v>1.26</v>
      </c>
      <c r="AN95" s="118">
        <v>70</v>
      </c>
      <c r="AO95" s="118">
        <v>259</v>
      </c>
      <c r="AP95" s="118">
        <v>5.95</v>
      </c>
      <c r="AQ95" s="118">
        <v>0.16</v>
      </c>
      <c r="AR95" s="118">
        <v>0.56000000000000005</v>
      </c>
      <c r="AS95" s="118">
        <v>0.1</v>
      </c>
      <c r="AT95" s="118">
        <v>0.67</v>
      </c>
      <c r="AU95" s="118"/>
      <c r="AV95" s="124">
        <v>0.13205</v>
      </c>
      <c r="AW95" s="124">
        <v>0.19871</v>
      </c>
      <c r="AX95" s="124">
        <v>0.42947000000000002</v>
      </c>
      <c r="AY95" s="124">
        <v>0.28076000000000001</v>
      </c>
      <c r="AZ95" s="124">
        <v>5.8970000000000002E-2</v>
      </c>
      <c r="BA95" s="124">
        <v>4.8079999999999998E-2</v>
      </c>
      <c r="BB95" s="124">
        <v>0.41344999999999998</v>
      </c>
      <c r="BC95" s="124">
        <v>0.24037999999999998</v>
      </c>
      <c r="BD95" s="124">
        <v>8.1409999999999996E-2</v>
      </c>
      <c r="BE95" s="124">
        <v>0.28076000000000001</v>
      </c>
      <c r="BF95" s="124">
        <v>0.46023999999999998</v>
      </c>
      <c r="BG95" s="124">
        <v>0.35639999999999999</v>
      </c>
      <c r="BH95" s="124">
        <v>0.76534999999999997</v>
      </c>
      <c r="BI95" s="124">
        <v>1.0813699999999999</v>
      </c>
      <c r="BJ95" s="124">
        <v>0.29486000000000001</v>
      </c>
      <c r="BK95" s="124">
        <v>0.25639999999999996</v>
      </c>
      <c r="BL95" s="124">
        <v>0.30704000000000004</v>
      </c>
      <c r="BM95" s="124">
        <v>0.18396999999999999</v>
      </c>
      <c r="BN95" s="118">
        <v>29.9</v>
      </c>
      <c r="BO95" s="118">
        <v>128</v>
      </c>
      <c r="BP95" s="118"/>
      <c r="BQ95" s="118"/>
      <c r="BR95" s="118"/>
    </row>
    <row r="96" spans="1:70">
      <c r="A96" s="122">
        <v>90814</v>
      </c>
      <c r="B96" s="122" t="s">
        <v>453</v>
      </c>
      <c r="C96" s="122" t="s">
        <v>454</v>
      </c>
      <c r="D96" s="122" t="s">
        <v>254</v>
      </c>
      <c r="E96" s="122" t="s">
        <v>76</v>
      </c>
      <c r="F96" s="122" t="s">
        <v>1243</v>
      </c>
      <c r="G96" s="163" t="s">
        <v>1244</v>
      </c>
      <c r="H96" s="122">
        <v>4</v>
      </c>
      <c r="I96" s="122" t="s">
        <v>202</v>
      </c>
      <c r="J96" s="118">
        <v>501</v>
      </c>
      <c r="K96" s="118">
        <v>8.5</v>
      </c>
      <c r="L96" s="118">
        <v>22</v>
      </c>
      <c r="M96" s="118">
        <v>35</v>
      </c>
      <c r="N96" s="118">
        <v>18.510000000000002</v>
      </c>
      <c r="O96" s="118">
        <v>11.78</v>
      </c>
      <c r="P96" s="118">
        <v>0.65</v>
      </c>
      <c r="Q96" s="118">
        <v>0.26</v>
      </c>
      <c r="R96" s="118">
        <v>4.57</v>
      </c>
      <c r="S96" s="118">
        <v>0.48</v>
      </c>
      <c r="T96" s="118">
        <v>0.38</v>
      </c>
      <c r="U96" s="118">
        <v>156.47999999999999</v>
      </c>
      <c r="V96" s="118">
        <v>0</v>
      </c>
      <c r="W96" s="118">
        <v>0</v>
      </c>
      <c r="X96" s="118">
        <v>30.84</v>
      </c>
      <c r="Y96" s="118">
        <v>5.07</v>
      </c>
      <c r="Z96" s="118">
        <v>8.1999999999999993</v>
      </c>
      <c r="AA96" s="118">
        <v>0</v>
      </c>
      <c r="AB96" s="118">
        <v>1.45</v>
      </c>
      <c r="AC96" s="118">
        <v>0</v>
      </c>
      <c r="AD96" s="118">
        <v>17.39</v>
      </c>
      <c r="AE96" s="118">
        <v>5.67</v>
      </c>
      <c r="AF96" s="118"/>
      <c r="AG96" s="118"/>
      <c r="AH96" s="118">
        <v>7.22</v>
      </c>
      <c r="AI96" s="118">
        <v>256.93</v>
      </c>
      <c r="AJ96" s="118">
        <v>0.62</v>
      </c>
      <c r="AK96" s="118">
        <v>8.9</v>
      </c>
      <c r="AL96" s="118">
        <v>357.38</v>
      </c>
      <c r="AM96" s="118">
        <v>4.2300000000000004</v>
      </c>
      <c r="AN96" s="118">
        <v>799.77</v>
      </c>
      <c r="AO96" s="118">
        <v>712.84</v>
      </c>
      <c r="AP96" s="118">
        <v>71.47</v>
      </c>
      <c r="AQ96" s="118">
        <v>5.87</v>
      </c>
      <c r="AR96" s="118">
        <v>2.11</v>
      </c>
      <c r="AS96" s="118">
        <v>21.03</v>
      </c>
      <c r="AT96" s="118">
        <v>8.91</v>
      </c>
      <c r="AU96" s="118"/>
      <c r="AV96" s="124">
        <v>0.74099999999999999</v>
      </c>
      <c r="AW96" s="124">
        <v>0.998</v>
      </c>
      <c r="AX96" s="124">
        <v>1.7549999999999999</v>
      </c>
      <c r="AY96" s="124">
        <v>1.556</v>
      </c>
      <c r="AZ96" s="124">
        <v>0.40699999999999997</v>
      </c>
      <c r="BA96" s="124">
        <v>0.57399999999999995</v>
      </c>
      <c r="BB96" s="124">
        <v>0.98899999999999999</v>
      </c>
      <c r="BC96" s="124">
        <v>0.70699999999999996</v>
      </c>
      <c r="BD96" s="124">
        <v>0.216</v>
      </c>
      <c r="BE96" s="124">
        <v>1.2729999999999999</v>
      </c>
      <c r="BF96" s="124">
        <v>0.98899999999999999</v>
      </c>
      <c r="BG96" s="124">
        <v>1.631</v>
      </c>
      <c r="BH96" s="124">
        <v>2.0539999999999998</v>
      </c>
      <c r="BI96" s="124">
        <v>4.4409999999999998</v>
      </c>
      <c r="BJ96" s="124">
        <v>1.339</v>
      </c>
      <c r="BK96" s="124">
        <v>2.37</v>
      </c>
      <c r="BL96" s="124">
        <v>0.64</v>
      </c>
      <c r="BM96" s="124">
        <v>0.68200000000000005</v>
      </c>
      <c r="BN96" s="118">
        <v>48.81</v>
      </c>
      <c r="BO96" s="118">
        <v>132</v>
      </c>
      <c r="BP96" s="118"/>
      <c r="BQ96" s="118"/>
      <c r="BR96" s="118"/>
    </row>
    <row r="97" spans="1:70">
      <c r="A97" s="122">
        <v>25006</v>
      </c>
      <c r="B97" s="122" t="s">
        <v>456</v>
      </c>
      <c r="C97" s="122" t="s">
        <v>457</v>
      </c>
      <c r="D97" s="122" t="s">
        <v>302</v>
      </c>
      <c r="E97" s="122" t="s">
        <v>76</v>
      </c>
      <c r="F97" s="122" t="s">
        <v>1245</v>
      </c>
      <c r="G97" s="163" t="s">
        <v>1246</v>
      </c>
      <c r="H97" s="122">
        <v>13</v>
      </c>
      <c r="I97" s="128" t="s">
        <v>295</v>
      </c>
      <c r="J97" s="118">
        <v>13</v>
      </c>
      <c r="K97" s="118">
        <v>95.5</v>
      </c>
      <c r="L97" s="118">
        <v>0.9</v>
      </c>
      <c r="M97" s="118">
        <v>0.1</v>
      </c>
      <c r="N97" s="118">
        <v>1.3</v>
      </c>
      <c r="O97" s="118">
        <v>1.5</v>
      </c>
      <c r="P97" s="118">
        <v>0.06</v>
      </c>
      <c r="Q97" s="118">
        <v>0.03</v>
      </c>
      <c r="R97" s="118">
        <v>0.35</v>
      </c>
      <c r="S97" s="118">
        <v>0.32</v>
      </c>
      <c r="T97" s="118">
        <v>7.0000000000000007E-2</v>
      </c>
      <c r="U97" s="118">
        <v>14</v>
      </c>
      <c r="V97" s="118">
        <v>0</v>
      </c>
      <c r="W97" s="118">
        <v>5.52</v>
      </c>
      <c r="X97" s="118">
        <v>1.36</v>
      </c>
      <c r="Y97" s="118">
        <v>0.02</v>
      </c>
      <c r="Z97" s="118">
        <v>8</v>
      </c>
      <c r="AA97" s="118">
        <v>0</v>
      </c>
      <c r="AB97" s="118"/>
      <c r="AC97" s="118"/>
      <c r="AD97" s="118">
        <v>4.8</v>
      </c>
      <c r="AE97" s="118">
        <v>4.8600000000000003</v>
      </c>
      <c r="AF97" s="118"/>
      <c r="AG97" s="118"/>
      <c r="AH97" s="118"/>
      <c r="AI97" s="118">
        <v>18</v>
      </c>
      <c r="AJ97" s="118">
        <v>0.03</v>
      </c>
      <c r="AK97" s="118">
        <v>0.6</v>
      </c>
      <c r="AL97" s="118">
        <v>11</v>
      </c>
      <c r="AM97" s="118">
        <v>0.09</v>
      </c>
      <c r="AN97" s="118">
        <v>30</v>
      </c>
      <c r="AO97" s="118">
        <v>198</v>
      </c>
      <c r="AP97" s="118">
        <v>0.19</v>
      </c>
      <c r="AQ97" s="118">
        <v>0.21</v>
      </c>
      <c r="AR97" s="118">
        <v>7.0000000000000007E-2</v>
      </c>
      <c r="AS97" s="118">
        <v>0.01</v>
      </c>
      <c r="AT97" s="118">
        <v>0.05</v>
      </c>
      <c r="AU97" s="118"/>
      <c r="AV97" s="124">
        <v>1.5269999999999999E-2</v>
      </c>
      <c r="AW97" s="124">
        <v>3.1289999999999998E-2</v>
      </c>
      <c r="AX97" s="124">
        <v>5.0709999999999998E-2</v>
      </c>
      <c r="AY97" s="124">
        <v>2.8050000000000002E-2</v>
      </c>
      <c r="AZ97" s="124">
        <v>7.2199999999999999E-3</v>
      </c>
      <c r="BA97" s="124">
        <v>6.5599999999999999E-3</v>
      </c>
      <c r="BB97" s="124">
        <v>3.4360000000000002E-2</v>
      </c>
      <c r="BC97" s="124">
        <v>2.606E-2</v>
      </c>
      <c r="BD97" s="124">
        <v>5.4800000000000005E-3</v>
      </c>
      <c r="BE97" s="124">
        <v>4.333E-2</v>
      </c>
      <c r="BF97" s="124">
        <v>5.91E-2</v>
      </c>
      <c r="BG97" s="124">
        <v>4.1169999999999998E-2</v>
      </c>
      <c r="BH97" s="124">
        <v>5.8349999999999999E-2</v>
      </c>
      <c r="BI97" s="124">
        <v>0.20128000000000001</v>
      </c>
      <c r="BJ97" s="124">
        <v>4.1000000000000002E-2</v>
      </c>
      <c r="BK97" s="124">
        <v>3.0539999999999998E-2</v>
      </c>
      <c r="BL97" s="124">
        <v>3.27E-2</v>
      </c>
      <c r="BM97" s="124">
        <v>2.1409999999999998E-2</v>
      </c>
      <c r="BN97" s="118">
        <v>13.92</v>
      </c>
      <c r="BO97" s="118">
        <v>16.350000000000001</v>
      </c>
      <c r="BP97" s="118"/>
      <c r="BQ97" s="118"/>
      <c r="BR97" s="118"/>
    </row>
    <row r="98" spans="1:70">
      <c r="A98" s="122">
        <v>25002</v>
      </c>
      <c r="B98" s="122" t="s">
        <v>459</v>
      </c>
      <c r="C98" s="122" t="s">
        <v>460</v>
      </c>
      <c r="D98" s="122" t="s">
        <v>461</v>
      </c>
      <c r="E98" s="122" t="s">
        <v>76</v>
      </c>
      <c r="F98" s="122" t="s">
        <v>1247</v>
      </c>
      <c r="G98" s="163" t="s">
        <v>1248</v>
      </c>
      <c r="H98" s="122">
        <v>13</v>
      </c>
      <c r="I98" s="128" t="s">
        <v>295</v>
      </c>
      <c r="J98" s="118">
        <v>16</v>
      </c>
      <c r="K98" s="118">
        <v>94.28</v>
      </c>
      <c r="L98" s="118">
        <v>0.9</v>
      </c>
      <c r="M98" s="118">
        <v>0.1</v>
      </c>
      <c r="N98" s="118">
        <v>1.7</v>
      </c>
      <c r="O98" s="118">
        <v>2.4</v>
      </c>
      <c r="P98" s="118">
        <v>0.43</v>
      </c>
      <c r="Q98" s="118">
        <v>0.01</v>
      </c>
      <c r="R98" s="118">
        <v>0.3</v>
      </c>
      <c r="S98" s="118">
        <v>0.15</v>
      </c>
      <c r="T98" s="118">
        <v>7.0000000000000007E-2</v>
      </c>
      <c r="U98" s="118">
        <v>25</v>
      </c>
      <c r="V98" s="118"/>
      <c r="W98" s="118">
        <v>17.190000000000001</v>
      </c>
      <c r="X98" s="118">
        <v>0.05</v>
      </c>
      <c r="Y98" s="118">
        <v>0.01</v>
      </c>
      <c r="Z98" s="118">
        <v>2.5</v>
      </c>
      <c r="AA98" s="118">
        <v>0</v>
      </c>
      <c r="AB98" s="118"/>
      <c r="AC98" s="118">
        <v>0</v>
      </c>
      <c r="AD98" s="118">
        <v>1.4</v>
      </c>
      <c r="AE98" s="118">
        <v>5.34</v>
      </c>
      <c r="AF98" s="118"/>
      <c r="AG98" s="118"/>
      <c r="AH98" s="118">
        <v>2.08</v>
      </c>
      <c r="AI98" s="118">
        <v>25</v>
      </c>
      <c r="AJ98" s="118">
        <v>0.03</v>
      </c>
      <c r="AK98" s="118">
        <v>0.4</v>
      </c>
      <c r="AL98" s="118">
        <v>17</v>
      </c>
      <c r="AM98" s="118">
        <v>0.1</v>
      </c>
      <c r="AN98" s="118">
        <v>23</v>
      </c>
      <c r="AO98" s="118">
        <v>142</v>
      </c>
      <c r="AP98" s="118">
        <v>0.1</v>
      </c>
      <c r="AQ98" s="118">
        <v>0.38</v>
      </c>
      <c r="AR98" s="118">
        <v>0.04</v>
      </c>
      <c r="AS98" s="118">
        <v>0.01</v>
      </c>
      <c r="AT98" s="118">
        <v>0.05</v>
      </c>
      <c r="AU98" s="118"/>
      <c r="AV98" s="124">
        <v>1.3710000000000002E-2</v>
      </c>
      <c r="AW98" s="124">
        <v>2.564E-2</v>
      </c>
      <c r="AX98" s="124">
        <v>4.7280000000000003E-2</v>
      </c>
      <c r="AY98" s="124">
        <v>2.325E-2</v>
      </c>
      <c r="AZ98" s="124">
        <v>5.9299999999999995E-3</v>
      </c>
      <c r="BA98" s="124">
        <v>6.5499999999999994E-3</v>
      </c>
      <c r="BB98" s="124">
        <v>2.5100000000000001E-2</v>
      </c>
      <c r="BC98" s="124">
        <v>3.1030000000000002E-2</v>
      </c>
      <c r="BD98" s="124">
        <v>4.0000000000000001E-3</v>
      </c>
      <c r="BE98" s="124">
        <v>4.3659999999999997E-2</v>
      </c>
      <c r="BF98" s="124">
        <v>5.7669999999999999E-2</v>
      </c>
      <c r="BG98" s="124">
        <v>3.1960000000000002E-2</v>
      </c>
      <c r="BH98" s="124">
        <v>7.5310000000000002E-2</v>
      </c>
      <c r="BI98" s="124">
        <v>0.20219999999999999</v>
      </c>
      <c r="BJ98" s="124">
        <v>3.1960000000000002E-2</v>
      </c>
      <c r="BK98" s="124">
        <v>3.2960000000000003E-2</v>
      </c>
      <c r="BL98" s="124">
        <v>3.5040000000000002E-2</v>
      </c>
      <c r="BM98" s="124">
        <v>1.332E-2</v>
      </c>
      <c r="BN98" s="118">
        <v>46.74</v>
      </c>
      <c r="BO98" s="118">
        <v>1.75</v>
      </c>
      <c r="BP98" s="118"/>
      <c r="BQ98" s="118"/>
      <c r="BR98" s="118"/>
    </row>
    <row r="99" spans="1:70">
      <c r="A99" s="122">
        <v>22003</v>
      </c>
      <c r="B99" s="122" t="s">
        <v>462</v>
      </c>
      <c r="C99" s="122" t="s">
        <v>463</v>
      </c>
      <c r="D99" s="122" t="s">
        <v>464</v>
      </c>
      <c r="E99" s="122" t="s">
        <v>76</v>
      </c>
      <c r="F99" s="122" t="s">
        <v>1249</v>
      </c>
      <c r="G99" s="163" t="s">
        <v>1250</v>
      </c>
      <c r="H99" s="122">
        <v>11</v>
      </c>
      <c r="I99" s="122" t="s">
        <v>308</v>
      </c>
      <c r="J99" s="118">
        <v>33</v>
      </c>
      <c r="K99" s="118">
        <v>89.1</v>
      </c>
      <c r="L99" s="118">
        <v>0.9</v>
      </c>
      <c r="M99" s="118">
        <v>0.3</v>
      </c>
      <c r="N99" s="118">
        <v>5.4</v>
      </c>
      <c r="O99" s="118">
        <v>2.6</v>
      </c>
      <c r="P99" s="118">
        <v>0.04</v>
      </c>
      <c r="Q99" s="118">
        <v>0.08</v>
      </c>
      <c r="R99" s="118">
        <v>0.25</v>
      </c>
      <c r="S99" s="118">
        <v>0.3</v>
      </c>
      <c r="T99" s="118">
        <v>0.13</v>
      </c>
      <c r="U99" s="118">
        <v>19</v>
      </c>
      <c r="V99" s="118">
        <v>0</v>
      </c>
      <c r="W99" s="118">
        <v>1.44</v>
      </c>
      <c r="X99" s="118">
        <v>1.08</v>
      </c>
      <c r="Y99" s="118">
        <v>0.21</v>
      </c>
      <c r="Z99" s="118">
        <v>18.350000000000001</v>
      </c>
      <c r="AA99" s="118">
        <v>0</v>
      </c>
      <c r="AB99" s="118">
        <v>445</v>
      </c>
      <c r="AC99" s="118">
        <v>2654</v>
      </c>
      <c r="AD99" s="118">
        <v>3945.96</v>
      </c>
      <c r="AE99" s="118"/>
      <c r="AF99" s="118"/>
      <c r="AG99" s="118"/>
      <c r="AH99" s="118"/>
      <c r="AI99" s="118">
        <v>26</v>
      </c>
      <c r="AJ99" s="118">
        <v>0.23</v>
      </c>
      <c r="AK99" s="118">
        <v>0.4</v>
      </c>
      <c r="AL99" s="118">
        <v>16</v>
      </c>
      <c r="AM99" s="118">
        <v>0.23</v>
      </c>
      <c r="AN99" s="118">
        <v>34</v>
      </c>
      <c r="AO99" s="118">
        <v>145</v>
      </c>
      <c r="AP99" s="118">
        <v>0.22</v>
      </c>
      <c r="AQ99" s="118">
        <v>7.0000000000000007E-2</v>
      </c>
      <c r="AR99" s="118">
        <v>0.09</v>
      </c>
      <c r="AS99" s="118">
        <v>0.02</v>
      </c>
      <c r="AT99" s="118">
        <v>0.27</v>
      </c>
      <c r="AU99" s="118"/>
      <c r="AV99" s="124">
        <v>1.311E-2</v>
      </c>
      <c r="AW99" s="124">
        <v>3.3820000000000003E-2</v>
      </c>
      <c r="AX99" s="124">
        <v>4.598E-2</v>
      </c>
      <c r="AY99" s="124">
        <v>3.1920000000000004E-2</v>
      </c>
      <c r="AZ99" s="124">
        <v>7.4099999999999999E-3</v>
      </c>
      <c r="BA99" s="124">
        <v>8.5500000000000003E-3</v>
      </c>
      <c r="BB99" s="124">
        <v>2.6980000000000001E-2</v>
      </c>
      <c r="BC99" s="124">
        <v>3.7810000000000003E-2</v>
      </c>
      <c r="BD99" s="124">
        <v>9.5999999999999992E-3</v>
      </c>
      <c r="BE99" s="124">
        <v>4.351E-2</v>
      </c>
      <c r="BF99" s="124">
        <v>9.9180000000000004E-2</v>
      </c>
      <c r="BG99" s="124">
        <v>3.1350000000000003E-2</v>
      </c>
      <c r="BH99" s="124">
        <v>0.13633000000000001</v>
      </c>
      <c r="BI99" s="124">
        <v>0.25231999999999999</v>
      </c>
      <c r="BJ99" s="124">
        <v>3.458E-2</v>
      </c>
      <c r="BK99" s="124">
        <v>3.5529999999999999E-2</v>
      </c>
      <c r="BL99" s="124">
        <v>3.5340000000000003E-2</v>
      </c>
      <c r="BM99" s="124">
        <v>1.6250000000000001E-2</v>
      </c>
      <c r="BN99" s="118">
        <v>49.44</v>
      </c>
      <c r="BO99" s="118">
        <v>19.600000000000001</v>
      </c>
      <c r="BP99" s="118">
        <v>6</v>
      </c>
      <c r="BQ99" s="118"/>
      <c r="BR99" s="118"/>
    </row>
    <row r="100" spans="1:70">
      <c r="A100" s="122">
        <v>25003</v>
      </c>
      <c r="B100" s="122" t="s">
        <v>466</v>
      </c>
      <c r="C100" s="122" t="s">
        <v>467</v>
      </c>
      <c r="D100" s="122" t="s">
        <v>468</v>
      </c>
      <c r="E100" s="122" t="s">
        <v>76</v>
      </c>
      <c r="F100" s="122" t="s">
        <v>1251</v>
      </c>
      <c r="G100" s="163" t="s">
        <v>1252</v>
      </c>
      <c r="H100" s="122">
        <v>13</v>
      </c>
      <c r="I100" s="128" t="s">
        <v>295</v>
      </c>
      <c r="J100" s="118">
        <v>59</v>
      </c>
      <c r="K100" s="118">
        <v>83.73</v>
      </c>
      <c r="L100" s="118">
        <v>1.38</v>
      </c>
      <c r="M100" s="118">
        <v>7.0000000000000007E-2</v>
      </c>
      <c r="N100" s="118">
        <v>12.22</v>
      </c>
      <c r="O100" s="118">
        <v>1.93</v>
      </c>
      <c r="P100" s="118">
        <v>0.05</v>
      </c>
      <c r="Q100" s="118">
        <v>0.14000000000000001</v>
      </c>
      <c r="R100" s="118">
        <v>0.12</v>
      </c>
      <c r="S100" s="118">
        <v>0.22</v>
      </c>
      <c r="T100" s="118">
        <v>0.17</v>
      </c>
      <c r="U100" s="118">
        <v>19</v>
      </c>
      <c r="V100" s="118">
        <v>0</v>
      </c>
      <c r="W100" s="118">
        <v>4.5</v>
      </c>
      <c r="X100" s="118">
        <v>0.43</v>
      </c>
      <c r="Y100" s="118">
        <v>0.02</v>
      </c>
      <c r="Z100" s="118">
        <v>4.5</v>
      </c>
      <c r="AA100" s="118">
        <v>0</v>
      </c>
      <c r="AB100" s="118">
        <v>1.9</v>
      </c>
      <c r="AC100" s="118"/>
      <c r="AD100" s="118">
        <v>22.78</v>
      </c>
      <c r="AE100" s="118">
        <v>8.5299999999999994</v>
      </c>
      <c r="AF100" s="118"/>
      <c r="AG100" s="118"/>
      <c r="AH100" s="118">
        <v>1.75</v>
      </c>
      <c r="AI100" s="118">
        <v>23.97</v>
      </c>
      <c r="AJ100" s="118">
        <v>0.36</v>
      </c>
      <c r="AK100" s="118">
        <v>0.94</v>
      </c>
      <c r="AL100" s="118">
        <v>24.12</v>
      </c>
      <c r="AM100" s="118">
        <v>0.24</v>
      </c>
      <c r="AN100" s="118">
        <v>29</v>
      </c>
      <c r="AO100" s="118">
        <v>209.75</v>
      </c>
      <c r="AP100" s="118">
        <v>0.35</v>
      </c>
      <c r="AQ100" s="118">
        <v>0.41</v>
      </c>
      <c r="AR100" s="118">
        <v>0.05</v>
      </c>
      <c r="AS100" s="118">
        <v>0.03</v>
      </c>
      <c r="AT100" s="118">
        <v>0.04</v>
      </c>
      <c r="AU100" s="118"/>
      <c r="AV100" s="124">
        <v>2.7309999999999997E-2</v>
      </c>
      <c r="AW100" s="124">
        <v>4.972E-2</v>
      </c>
      <c r="AX100" s="124">
        <v>6.8640000000000007E-2</v>
      </c>
      <c r="AY100" s="124">
        <v>5.0959999999999998E-2</v>
      </c>
      <c r="AZ100" s="124">
        <v>2.291E-2</v>
      </c>
      <c r="BA100" s="124">
        <v>1.8760000000000002E-2</v>
      </c>
      <c r="BB100" s="124">
        <v>5.7270000000000001E-2</v>
      </c>
      <c r="BC100" s="124">
        <v>4.7479999999999994E-2</v>
      </c>
      <c r="BD100" s="124">
        <v>1.627E-2</v>
      </c>
      <c r="BE100" s="124">
        <v>5.5439999999999996E-2</v>
      </c>
      <c r="BF100" s="124">
        <v>7.5450000000000003E-2</v>
      </c>
      <c r="BG100" s="124">
        <v>0.21156999999999998</v>
      </c>
      <c r="BH100" s="124">
        <v>0.15330000000000002</v>
      </c>
      <c r="BI100" s="124">
        <v>0.41864999999999997</v>
      </c>
      <c r="BJ100" s="124">
        <v>8.5989999999999997E-2</v>
      </c>
      <c r="BK100" s="124">
        <v>4.6149999999999997E-2</v>
      </c>
      <c r="BL100" s="124">
        <v>4.7390000000000002E-2</v>
      </c>
      <c r="BM100" s="124">
        <v>3.4529999999999998E-2</v>
      </c>
      <c r="BN100" s="118">
        <v>35.119999999999997</v>
      </c>
      <c r="BO100" s="118">
        <v>11.09</v>
      </c>
      <c r="BP100" s="118">
        <v>3</v>
      </c>
      <c r="BQ100" s="118"/>
      <c r="BR100" s="118"/>
    </row>
    <row r="101" spans="1:70">
      <c r="A101" s="122">
        <v>25004</v>
      </c>
      <c r="B101" s="122" t="s">
        <v>470</v>
      </c>
      <c r="C101" s="122" t="s">
        <v>471</v>
      </c>
      <c r="D101" s="122" t="s">
        <v>449</v>
      </c>
      <c r="E101" s="122" t="s">
        <v>76</v>
      </c>
      <c r="F101" s="122" t="s">
        <v>1253</v>
      </c>
      <c r="G101" s="163" t="s">
        <v>1254</v>
      </c>
      <c r="H101" s="122">
        <v>13</v>
      </c>
      <c r="I101" s="128" t="s">
        <v>295</v>
      </c>
      <c r="J101" s="118">
        <v>45</v>
      </c>
      <c r="K101" s="118">
        <v>85.51</v>
      </c>
      <c r="L101" s="118">
        <v>2.78</v>
      </c>
      <c r="M101" s="118">
        <v>0.13</v>
      </c>
      <c r="N101" s="118">
        <v>5.9</v>
      </c>
      <c r="O101" s="118">
        <v>4.7</v>
      </c>
      <c r="P101" s="118">
        <v>0.03</v>
      </c>
      <c r="Q101" s="118">
        <v>0.05</v>
      </c>
      <c r="R101" s="118">
        <v>0.9</v>
      </c>
      <c r="S101" s="118">
        <v>0.22</v>
      </c>
      <c r="T101" s="118">
        <v>0.23</v>
      </c>
      <c r="U101" s="118">
        <v>10</v>
      </c>
      <c r="V101" s="118"/>
      <c r="W101" s="118">
        <v>102.27</v>
      </c>
      <c r="X101" s="118">
        <v>2.97</v>
      </c>
      <c r="Y101" s="118">
        <v>0.28999999999999998</v>
      </c>
      <c r="Z101" s="118">
        <v>19.18</v>
      </c>
      <c r="AA101" s="118">
        <v>0</v>
      </c>
      <c r="AB101" s="118">
        <v>9.57</v>
      </c>
      <c r="AC101" s="118"/>
      <c r="AD101" s="118">
        <v>114.83</v>
      </c>
      <c r="AE101" s="118">
        <v>261</v>
      </c>
      <c r="AF101" s="118"/>
      <c r="AG101" s="118"/>
      <c r="AH101" s="118">
        <v>31.47</v>
      </c>
      <c r="AI101" s="118">
        <v>22.04</v>
      </c>
      <c r="AJ101" s="118">
        <v>0.87</v>
      </c>
      <c r="AK101" s="118">
        <v>1.65</v>
      </c>
      <c r="AL101" s="118">
        <v>43.35</v>
      </c>
      <c r="AM101" s="118">
        <v>0.28000000000000003</v>
      </c>
      <c r="AN101" s="118">
        <v>30</v>
      </c>
      <c r="AO101" s="118">
        <v>281.74</v>
      </c>
      <c r="AP101" s="118"/>
      <c r="AQ101" s="118">
        <v>1.97</v>
      </c>
      <c r="AR101" s="118">
        <v>0.13</v>
      </c>
      <c r="AS101" s="118">
        <v>0.03</v>
      </c>
      <c r="AT101" s="118">
        <v>0.41</v>
      </c>
      <c r="AU101" s="118"/>
      <c r="AV101" s="124">
        <v>4.0590000000000001E-2</v>
      </c>
      <c r="AW101" s="124">
        <v>7.4099999999999999E-2</v>
      </c>
      <c r="AX101" s="124">
        <v>0.11918000000000001</v>
      </c>
      <c r="AY101" s="124">
        <v>8.6379999999999998E-2</v>
      </c>
      <c r="AZ101" s="124">
        <v>2.572E-2</v>
      </c>
      <c r="BA101" s="124">
        <v>3.304E-2</v>
      </c>
      <c r="BB101" s="124">
        <v>0.11068</v>
      </c>
      <c r="BC101" s="124">
        <v>8.6379999999999998E-2</v>
      </c>
      <c r="BD101" s="124">
        <v>1.8170000000000002E-2</v>
      </c>
      <c r="BE101" s="124">
        <v>9.487000000000001E-2</v>
      </c>
      <c r="BF101" s="124">
        <v>0.1147</v>
      </c>
      <c r="BG101" s="124">
        <v>0.11304</v>
      </c>
      <c r="BH101" s="124">
        <v>0.40686</v>
      </c>
      <c r="BI101" s="124">
        <v>0.42337999999999998</v>
      </c>
      <c r="BJ101" s="124">
        <v>0.10526000000000001</v>
      </c>
      <c r="BK101" s="124">
        <v>6.726E-2</v>
      </c>
      <c r="BL101" s="124">
        <v>0.10431</v>
      </c>
      <c r="BM101" s="124">
        <v>6.2299999999999994E-2</v>
      </c>
      <c r="BN101" s="118">
        <v>55.66</v>
      </c>
      <c r="BO101" s="118">
        <v>13.38</v>
      </c>
      <c r="BP101" s="118">
        <v>29</v>
      </c>
      <c r="BQ101" s="118"/>
      <c r="BR101" s="118"/>
    </row>
    <row r="102" spans="1:70" ht="17.25" customHeight="1">
      <c r="A102" s="122">
        <v>25005</v>
      </c>
      <c r="B102" s="122" t="s">
        <v>473</v>
      </c>
      <c r="C102" s="122" t="s">
        <v>474</v>
      </c>
      <c r="D102" s="122" t="s">
        <v>449</v>
      </c>
      <c r="E102" s="122" t="s">
        <v>82</v>
      </c>
      <c r="F102" s="122" t="s">
        <v>475</v>
      </c>
      <c r="G102" s="163" t="s">
        <v>476</v>
      </c>
      <c r="H102" s="122">
        <v>13</v>
      </c>
      <c r="I102" s="128" t="s">
        <v>295</v>
      </c>
      <c r="J102" s="118">
        <v>16.25</v>
      </c>
      <c r="K102" s="118">
        <v>93.89</v>
      </c>
      <c r="L102" s="118">
        <v>1.1000000000000001</v>
      </c>
      <c r="M102" s="118">
        <v>0.34</v>
      </c>
      <c r="N102" s="118">
        <v>1.84</v>
      </c>
      <c r="O102" s="118">
        <v>2.06</v>
      </c>
      <c r="P102" s="118">
        <v>0.05</v>
      </c>
      <c r="Q102" s="118">
        <v>0.03</v>
      </c>
      <c r="R102" s="118">
        <v>0.56000000000000005</v>
      </c>
      <c r="S102" s="118">
        <v>0.21</v>
      </c>
      <c r="T102" s="118">
        <v>0.15</v>
      </c>
      <c r="U102" s="118">
        <v>51.85</v>
      </c>
      <c r="V102" s="118"/>
      <c r="W102" s="118">
        <v>123</v>
      </c>
      <c r="X102" s="118">
        <v>0.7</v>
      </c>
      <c r="Y102" s="118">
        <v>7.0000000000000007E-2</v>
      </c>
      <c r="Z102" s="118">
        <v>24.66</v>
      </c>
      <c r="AA102" s="118"/>
      <c r="AB102" s="125">
        <f>AA102+1/12*(AD102)+1/24*(AC102)+1/24*(AG102)</f>
        <v>28.5</v>
      </c>
      <c r="AC102" s="118">
        <v>21</v>
      </c>
      <c r="AD102" s="118">
        <v>328</v>
      </c>
      <c r="AE102" s="118">
        <v>164</v>
      </c>
      <c r="AF102" s="118"/>
      <c r="AG102" s="118">
        <v>7</v>
      </c>
      <c r="AH102" s="118">
        <v>21.41</v>
      </c>
      <c r="AI102" s="118">
        <v>14.75</v>
      </c>
      <c r="AJ102" s="118">
        <v>0.06</v>
      </c>
      <c r="AK102" s="118">
        <v>0.48</v>
      </c>
      <c r="AL102" s="118">
        <v>11.84</v>
      </c>
      <c r="AM102" s="118">
        <v>0.1</v>
      </c>
      <c r="AN102" s="118">
        <v>23</v>
      </c>
      <c r="AO102" s="118">
        <v>154</v>
      </c>
      <c r="AP102" s="118">
        <v>0.18</v>
      </c>
      <c r="AQ102" s="118">
        <v>0.15</v>
      </c>
      <c r="AR102" s="118">
        <v>7.7030000000000001E-2</v>
      </c>
      <c r="AS102" s="118">
        <v>1.2699999999999999E-2</v>
      </c>
      <c r="AT102" s="118">
        <v>0.17199999999999999</v>
      </c>
      <c r="AU102" s="118"/>
      <c r="AV102" s="118">
        <v>1.72</v>
      </c>
      <c r="AW102" s="118">
        <v>3.79</v>
      </c>
      <c r="AX102" s="118">
        <v>5.68</v>
      </c>
      <c r="AY102" s="118">
        <v>3.47</v>
      </c>
      <c r="AZ102" s="118">
        <v>1.24</v>
      </c>
      <c r="BA102" s="118">
        <v>0.98</v>
      </c>
      <c r="BB102" s="118">
        <v>3.49</v>
      </c>
      <c r="BC102" s="118">
        <v>4.05</v>
      </c>
      <c r="BD102" s="118">
        <v>0.96</v>
      </c>
      <c r="BE102" s="118">
        <v>5.17</v>
      </c>
      <c r="BF102" s="118">
        <v>6.43</v>
      </c>
      <c r="BG102" s="118">
        <v>3.07</v>
      </c>
      <c r="BH102" s="118">
        <v>14.89</v>
      </c>
      <c r="BI102" s="118">
        <v>24.82</v>
      </c>
      <c r="BJ102" s="118">
        <v>4.8600000000000003</v>
      </c>
      <c r="BK102" s="118">
        <v>3.83</v>
      </c>
      <c r="BL102" s="118">
        <v>4.3</v>
      </c>
      <c r="BM102" s="118">
        <v>2.91</v>
      </c>
      <c r="BN102" s="118">
        <v>10.82</v>
      </c>
      <c r="BO102" s="118">
        <v>15.96</v>
      </c>
      <c r="BP102" s="118">
        <v>19.12</v>
      </c>
      <c r="BQ102" s="118"/>
      <c r="BR102" s="118"/>
    </row>
    <row r="103" spans="1:70">
      <c r="A103" s="122">
        <v>90823</v>
      </c>
      <c r="B103" s="122" t="s">
        <v>477</v>
      </c>
      <c r="C103" s="122" t="s">
        <v>478</v>
      </c>
      <c r="D103" s="122" t="s">
        <v>264</v>
      </c>
      <c r="E103" s="122" t="s">
        <v>76</v>
      </c>
      <c r="F103" s="122" t="s">
        <v>1163</v>
      </c>
      <c r="G103" s="163" t="s">
        <v>1164</v>
      </c>
      <c r="H103" s="122">
        <v>21</v>
      </c>
      <c r="I103" s="122" t="s">
        <v>78</v>
      </c>
      <c r="J103" s="118">
        <v>30</v>
      </c>
      <c r="K103" s="118">
        <v>87.88</v>
      </c>
      <c r="L103" s="118">
        <v>3.34</v>
      </c>
      <c r="M103" s="118">
        <v>0.52</v>
      </c>
      <c r="N103" s="118">
        <v>0.1</v>
      </c>
      <c r="O103" s="118">
        <v>5.92</v>
      </c>
      <c r="P103" s="118">
        <v>0.05</v>
      </c>
      <c r="Q103" s="118">
        <v>0.06</v>
      </c>
      <c r="R103" s="118">
        <v>1.1100000000000001</v>
      </c>
      <c r="S103" s="118">
        <v>0.63</v>
      </c>
      <c r="T103" s="118">
        <v>0.15</v>
      </c>
      <c r="U103" s="118">
        <v>62</v>
      </c>
      <c r="V103" s="118">
        <v>0</v>
      </c>
      <c r="W103" s="118">
        <v>105.69</v>
      </c>
      <c r="X103" s="118">
        <v>3.55</v>
      </c>
      <c r="Y103" s="118">
        <v>2.5</v>
      </c>
      <c r="Z103" s="118">
        <v>274</v>
      </c>
      <c r="AA103" s="118">
        <v>0</v>
      </c>
      <c r="AB103" s="118">
        <v>132.46</v>
      </c>
      <c r="AC103" s="118">
        <v>36</v>
      </c>
      <c r="AD103" s="118">
        <v>1470.54</v>
      </c>
      <c r="AE103" s="118">
        <v>6351</v>
      </c>
      <c r="AF103" s="118"/>
      <c r="AG103" s="118"/>
      <c r="AH103" s="118">
        <v>28.3</v>
      </c>
      <c r="AI103" s="118">
        <v>160.44</v>
      </c>
      <c r="AJ103" s="118">
        <v>0.14000000000000001</v>
      </c>
      <c r="AK103" s="118">
        <v>1.42</v>
      </c>
      <c r="AL103" s="118">
        <v>33.700000000000003</v>
      </c>
      <c r="AM103" s="118">
        <v>0.96</v>
      </c>
      <c r="AN103" s="118">
        <v>30.29</v>
      </c>
      <c r="AO103" s="118">
        <v>396.48</v>
      </c>
      <c r="AP103" s="118">
        <v>0.45</v>
      </c>
      <c r="AQ103" s="118">
        <v>0.32</v>
      </c>
      <c r="AR103" s="118">
        <v>0.23</v>
      </c>
      <c r="AS103" s="118">
        <v>0.01</v>
      </c>
      <c r="AT103" s="118">
        <v>0.32</v>
      </c>
      <c r="AU103" s="118"/>
      <c r="AV103" s="124">
        <v>6.0899999999999996E-2</v>
      </c>
      <c r="AW103" s="124">
        <v>0.13200000000000001</v>
      </c>
      <c r="AX103" s="124">
        <v>0.22914999999999999</v>
      </c>
      <c r="AY103" s="124">
        <v>0.12883</v>
      </c>
      <c r="AZ103" s="124">
        <v>1.7600000000000001E-2</v>
      </c>
      <c r="BA103" s="124">
        <v>2.112E-2</v>
      </c>
      <c r="BB103" s="124">
        <v>0.1232</v>
      </c>
      <c r="BC103" s="124">
        <v>0.13658000000000001</v>
      </c>
      <c r="BD103" s="124">
        <v>5.7729999999999997E-2</v>
      </c>
      <c r="BE103" s="124">
        <v>0.13797999999999999</v>
      </c>
      <c r="BF103" s="124">
        <v>0.19571</v>
      </c>
      <c r="BG103" s="124">
        <v>0.17740999999999998</v>
      </c>
      <c r="BH103" s="124">
        <v>0.51919999999999999</v>
      </c>
      <c r="BI103" s="124">
        <v>0.43331000000000003</v>
      </c>
      <c r="BJ103" s="124">
        <v>0.17846000000000001</v>
      </c>
      <c r="BK103" s="124">
        <v>0.14396999999999999</v>
      </c>
      <c r="BL103" s="124">
        <v>0.13869000000000001</v>
      </c>
      <c r="BM103" s="124">
        <v>0.12038</v>
      </c>
      <c r="BN103" s="118">
        <v>60.28</v>
      </c>
      <c r="BO103" s="118">
        <v>40.99</v>
      </c>
      <c r="BP103" s="118">
        <v>47</v>
      </c>
      <c r="BQ103" s="118"/>
      <c r="BR103" s="118"/>
    </row>
    <row r="104" spans="1:70">
      <c r="A104" s="122">
        <v>24001</v>
      </c>
      <c r="B104" s="122" t="s">
        <v>479</v>
      </c>
      <c r="C104" s="122" t="s">
        <v>480</v>
      </c>
      <c r="D104" s="122" t="s">
        <v>102</v>
      </c>
      <c r="E104" s="122" t="s">
        <v>76</v>
      </c>
      <c r="F104" s="122" t="s">
        <v>1255</v>
      </c>
      <c r="G104" s="163" t="s">
        <v>1256</v>
      </c>
      <c r="H104" s="122">
        <v>21</v>
      </c>
      <c r="I104" s="122" t="s">
        <v>78</v>
      </c>
      <c r="J104" s="118">
        <v>72</v>
      </c>
      <c r="K104" s="118">
        <v>81.099999999999994</v>
      </c>
      <c r="L104" s="118">
        <v>1.91</v>
      </c>
      <c r="M104" s="118">
        <v>0.79</v>
      </c>
      <c r="N104" s="118">
        <v>13.29</v>
      </c>
      <c r="O104" s="118">
        <v>2</v>
      </c>
      <c r="P104" s="118">
        <v>0.03</v>
      </c>
      <c r="Q104" s="118">
        <v>0.03</v>
      </c>
      <c r="R104" s="118">
        <v>0.77</v>
      </c>
      <c r="S104" s="118">
        <v>0.24</v>
      </c>
      <c r="T104" s="118">
        <v>0.16</v>
      </c>
      <c r="U104" s="118">
        <v>11</v>
      </c>
      <c r="V104" s="118">
        <v>0</v>
      </c>
      <c r="W104" s="118">
        <v>5</v>
      </c>
      <c r="X104" s="118">
        <v>4.09</v>
      </c>
      <c r="Y104" s="118">
        <v>0.26</v>
      </c>
      <c r="Z104" s="118">
        <v>25.55</v>
      </c>
      <c r="AA104" s="118">
        <v>0</v>
      </c>
      <c r="AB104" s="118">
        <v>0</v>
      </c>
      <c r="AC104" s="118">
        <v>0</v>
      </c>
      <c r="AD104" s="118">
        <v>0</v>
      </c>
      <c r="AE104" s="118">
        <v>15.04</v>
      </c>
      <c r="AF104" s="118"/>
      <c r="AG104" s="118"/>
      <c r="AH104" s="118">
        <v>5.97</v>
      </c>
      <c r="AI104" s="118">
        <v>17.25</v>
      </c>
      <c r="AJ104" s="118">
        <v>0.17</v>
      </c>
      <c r="AK104" s="118">
        <v>1.1000000000000001</v>
      </c>
      <c r="AL104" s="118">
        <v>40.33</v>
      </c>
      <c r="AM104" s="118">
        <v>3.85</v>
      </c>
      <c r="AN104" s="118">
        <v>31.67</v>
      </c>
      <c r="AO104" s="118">
        <v>386.67</v>
      </c>
      <c r="AP104" s="118"/>
      <c r="AQ104" s="118">
        <v>0.36</v>
      </c>
      <c r="AR104" s="118">
        <v>0.23</v>
      </c>
      <c r="AS104" s="118">
        <v>7.0000000000000007E-2</v>
      </c>
      <c r="AT104" s="118">
        <v>0.38</v>
      </c>
      <c r="AU104" s="118"/>
      <c r="AV104" s="124">
        <v>3.508E-2</v>
      </c>
      <c r="AW104" s="124">
        <v>8.8359999999999994E-2</v>
      </c>
      <c r="AX104" s="124">
        <v>0.14408000000000001</v>
      </c>
      <c r="AY104" s="124">
        <v>5.1279999999999999E-2</v>
      </c>
      <c r="AZ104" s="124">
        <v>1.9760000000000003E-2</v>
      </c>
      <c r="BA104" s="124">
        <v>1.8200000000000001E-2</v>
      </c>
      <c r="BB104" s="124">
        <v>9.6790000000000001E-2</v>
      </c>
      <c r="BC104" s="124">
        <v>9.6569999999999989E-2</v>
      </c>
      <c r="BD104" s="124">
        <v>2.198E-2</v>
      </c>
      <c r="BE104" s="124">
        <v>9.6569999999999989E-2</v>
      </c>
      <c r="BF104" s="124">
        <v>0.10501000000000001</v>
      </c>
      <c r="BG104" s="124">
        <v>0.13165000000000002</v>
      </c>
      <c r="BH104" s="124">
        <v>0.34055000000000002</v>
      </c>
      <c r="BI104" s="124">
        <v>0.30680000000000002</v>
      </c>
      <c r="BJ104" s="124">
        <v>0.109</v>
      </c>
      <c r="BK104" s="124">
        <v>7.2819999999999996E-2</v>
      </c>
      <c r="BL104" s="124">
        <v>0.10656</v>
      </c>
      <c r="BM104" s="124">
        <v>8.3920000000000008E-2</v>
      </c>
      <c r="BN104" s="118">
        <v>225</v>
      </c>
      <c r="BO104" s="118">
        <v>14.5</v>
      </c>
      <c r="BP104" s="118"/>
      <c r="BQ104" s="118"/>
      <c r="BR104" s="118"/>
    </row>
    <row r="105" spans="1:70">
      <c r="A105" s="122">
        <v>25029</v>
      </c>
      <c r="B105" s="122" t="s">
        <v>482</v>
      </c>
      <c r="C105" s="122" t="s">
        <v>483</v>
      </c>
      <c r="D105" s="122" t="s">
        <v>484</v>
      </c>
      <c r="E105" s="122" t="s">
        <v>76</v>
      </c>
      <c r="F105" s="122" t="s">
        <v>1257</v>
      </c>
      <c r="G105" s="163" t="s">
        <v>1258</v>
      </c>
      <c r="H105" s="122">
        <v>13</v>
      </c>
      <c r="I105" s="128" t="s">
        <v>295</v>
      </c>
      <c r="J105" s="118">
        <v>25</v>
      </c>
      <c r="K105" s="118">
        <v>91.9</v>
      </c>
      <c r="L105" s="118">
        <v>2.4</v>
      </c>
      <c r="M105" s="118">
        <v>0.3</v>
      </c>
      <c r="N105" s="118">
        <v>1.8</v>
      </c>
      <c r="O105" s="118">
        <v>2.9</v>
      </c>
      <c r="P105" s="118">
        <v>0.03</v>
      </c>
      <c r="Q105" s="118">
        <v>0.03</v>
      </c>
      <c r="R105" s="118">
        <v>0.6</v>
      </c>
      <c r="S105" s="118">
        <v>0.62</v>
      </c>
      <c r="T105" s="118">
        <v>0.13</v>
      </c>
      <c r="U105" s="118">
        <v>57</v>
      </c>
      <c r="V105" s="118">
        <v>0</v>
      </c>
      <c r="W105" s="118">
        <v>72.7</v>
      </c>
      <c r="X105" s="118">
        <v>1.32</v>
      </c>
      <c r="Y105" s="118">
        <v>0.02</v>
      </c>
      <c r="Z105" s="118">
        <v>14.33</v>
      </c>
      <c r="AA105" s="118">
        <v>0</v>
      </c>
      <c r="AB105" s="118">
        <v>1</v>
      </c>
      <c r="AC105" s="118">
        <v>0</v>
      </c>
      <c r="AD105" s="118">
        <v>8</v>
      </c>
      <c r="AE105" s="118">
        <v>31.37</v>
      </c>
      <c r="AF105" s="118"/>
      <c r="AG105" s="118"/>
      <c r="AH105" s="118">
        <v>5.77</v>
      </c>
      <c r="AI105" s="118">
        <v>33</v>
      </c>
      <c r="AJ105" s="118">
        <v>0.03</v>
      </c>
      <c r="AK105" s="118">
        <v>1.3</v>
      </c>
      <c r="AL105" s="118">
        <v>19</v>
      </c>
      <c r="AM105" s="118">
        <v>0.23</v>
      </c>
      <c r="AN105" s="118">
        <v>47</v>
      </c>
      <c r="AO105" s="118">
        <v>329</v>
      </c>
      <c r="AP105" s="118">
        <v>0.47</v>
      </c>
      <c r="AQ105" s="118">
        <v>0.41</v>
      </c>
      <c r="AR105" s="118">
        <v>0.18</v>
      </c>
      <c r="AS105" s="118">
        <v>0.02</v>
      </c>
      <c r="AT105" s="118">
        <v>0.22</v>
      </c>
      <c r="AU105" s="118"/>
      <c r="AV105" s="124">
        <v>3.8700000000000005E-2</v>
      </c>
      <c r="AW105" s="124">
        <v>8.2560000000000008E-2</v>
      </c>
      <c r="AX105" s="124">
        <v>0.12922</v>
      </c>
      <c r="AY105" s="124">
        <v>8.8800000000000004E-2</v>
      </c>
      <c r="AZ105" s="124">
        <v>2.172E-2</v>
      </c>
      <c r="BA105" s="124">
        <v>1.2039999999999999E-2</v>
      </c>
      <c r="BB105" s="124">
        <v>8.3420000000000008E-2</v>
      </c>
      <c r="BC105" s="124">
        <v>8.6430000000000007E-2</v>
      </c>
      <c r="BD105" s="124">
        <v>2.2789999999999998E-2</v>
      </c>
      <c r="BE105" s="124">
        <v>0.12492</v>
      </c>
      <c r="BF105" s="124">
        <v>0.17113999999999999</v>
      </c>
      <c r="BG105" s="124">
        <v>8.9230000000000004E-2</v>
      </c>
      <c r="BH105" s="124">
        <v>0.22812000000000002</v>
      </c>
      <c r="BI105" s="124">
        <v>0.44505</v>
      </c>
      <c r="BJ105" s="124">
        <v>8.9230000000000004E-2</v>
      </c>
      <c r="BK105" s="124">
        <v>7.418000000000001E-2</v>
      </c>
      <c r="BL105" s="124">
        <v>0.11073000000000001</v>
      </c>
      <c r="BM105" s="124">
        <v>6.2140000000000001E-2</v>
      </c>
      <c r="BN105" s="118">
        <v>32.409999999999997</v>
      </c>
      <c r="BO105" s="118">
        <v>18.48</v>
      </c>
      <c r="BP105" s="118"/>
      <c r="BQ105" s="118"/>
      <c r="BR105" s="118"/>
    </row>
    <row r="106" spans="1:70">
      <c r="A106" s="122">
        <v>24004</v>
      </c>
      <c r="B106" s="122" t="s">
        <v>486</v>
      </c>
      <c r="C106" s="122" t="s">
        <v>487</v>
      </c>
      <c r="D106" s="122" t="s">
        <v>440</v>
      </c>
      <c r="E106" s="122" t="s">
        <v>76</v>
      </c>
      <c r="F106" s="122" t="s">
        <v>1237</v>
      </c>
      <c r="G106" s="163" t="s">
        <v>1238</v>
      </c>
      <c r="H106" s="122">
        <v>21</v>
      </c>
      <c r="I106" s="122" t="s">
        <v>78</v>
      </c>
      <c r="J106" s="118">
        <v>147</v>
      </c>
      <c r="K106" s="118">
        <v>61.63</v>
      </c>
      <c r="L106" s="118">
        <v>6.85</v>
      </c>
      <c r="M106" s="118">
        <v>0.55000000000000004</v>
      </c>
      <c r="N106" s="118">
        <v>27.62</v>
      </c>
      <c r="O106" s="118">
        <v>2.1</v>
      </c>
      <c r="P106" s="118">
        <v>0.13</v>
      </c>
      <c r="Q106" s="118">
        <v>0.12</v>
      </c>
      <c r="R106" s="118">
        <v>0.5</v>
      </c>
      <c r="S106" s="118">
        <v>1.69</v>
      </c>
      <c r="T106" s="118">
        <v>1.24</v>
      </c>
      <c r="U106" s="118">
        <v>4</v>
      </c>
      <c r="V106" s="118">
        <v>0</v>
      </c>
      <c r="W106" s="118">
        <v>24.1</v>
      </c>
      <c r="X106" s="118">
        <v>2.2400000000000002</v>
      </c>
      <c r="Y106" s="118">
        <v>0.08</v>
      </c>
      <c r="Z106" s="118">
        <v>2.8</v>
      </c>
      <c r="AA106" s="118">
        <v>0</v>
      </c>
      <c r="AB106" s="118">
        <v>0</v>
      </c>
      <c r="AC106" s="118">
        <v>0</v>
      </c>
      <c r="AD106" s="118">
        <v>0</v>
      </c>
      <c r="AE106" s="118">
        <v>4.5599999999999996</v>
      </c>
      <c r="AF106" s="118"/>
      <c r="AG106" s="118"/>
      <c r="AH106" s="118">
        <v>1.56</v>
      </c>
      <c r="AI106" s="118">
        <v>24.5</v>
      </c>
      <c r="AJ106" s="118">
        <v>0.18</v>
      </c>
      <c r="AK106" s="118">
        <v>1.63</v>
      </c>
      <c r="AL106" s="118">
        <v>25</v>
      </c>
      <c r="AM106" s="118">
        <v>0.34</v>
      </c>
      <c r="AN106" s="118">
        <v>161.5</v>
      </c>
      <c r="AO106" s="118">
        <v>510.5</v>
      </c>
      <c r="AP106" s="118"/>
      <c r="AQ106" s="118">
        <v>1.08</v>
      </c>
      <c r="AR106" s="118">
        <v>0.03</v>
      </c>
      <c r="AS106" s="118">
        <v>0.01</v>
      </c>
      <c r="AT106" s="118">
        <v>0.06</v>
      </c>
      <c r="AU106" s="118"/>
      <c r="AV106" s="124">
        <v>8.5919999999999996E-2</v>
      </c>
      <c r="AW106" s="124">
        <v>0.14896000000000001</v>
      </c>
      <c r="AX106" s="124">
        <v>0.26075999999999999</v>
      </c>
      <c r="AY106" s="124">
        <v>0.26706000000000002</v>
      </c>
      <c r="AZ106" s="124">
        <v>5.0090000000000003E-2</v>
      </c>
      <c r="BA106" s="124">
        <v>0.12076000000000001</v>
      </c>
      <c r="BB106" s="124">
        <v>0.22559000000000001</v>
      </c>
      <c r="BC106" s="124">
        <v>0.20768</v>
      </c>
      <c r="BD106" s="124">
        <v>5.1749999999999997E-2</v>
      </c>
      <c r="BE106" s="124">
        <v>0.23089999999999999</v>
      </c>
      <c r="BF106" s="124">
        <v>0.27104</v>
      </c>
      <c r="BG106" s="124">
        <v>1.03241</v>
      </c>
      <c r="BH106" s="124">
        <v>0.71525000000000005</v>
      </c>
      <c r="BI106" s="124">
        <v>1.14686</v>
      </c>
      <c r="BJ106" s="124">
        <v>0.19805</v>
      </c>
      <c r="BK106" s="124">
        <v>0.24515999999999999</v>
      </c>
      <c r="BL106" s="124">
        <v>0.22725000000000001</v>
      </c>
      <c r="BM106" s="124">
        <v>0.21828999999999998</v>
      </c>
      <c r="BN106" s="118">
        <v>95.26</v>
      </c>
      <c r="BO106" s="118">
        <v>34.64</v>
      </c>
      <c r="BP106" s="118"/>
      <c r="BQ106" s="118"/>
      <c r="BR106" s="118"/>
    </row>
    <row r="107" spans="1:70">
      <c r="A107" s="122">
        <v>25030</v>
      </c>
      <c r="B107" s="122" t="s">
        <v>488</v>
      </c>
      <c r="C107" s="122" t="s">
        <v>489</v>
      </c>
      <c r="D107" s="122" t="s">
        <v>490</v>
      </c>
      <c r="E107" s="122" t="s">
        <v>103</v>
      </c>
      <c r="F107" s="122">
        <v>11090</v>
      </c>
      <c r="G107" s="163" t="s">
        <v>491</v>
      </c>
      <c r="H107" s="122">
        <v>13</v>
      </c>
      <c r="I107" s="128" t="s">
        <v>295</v>
      </c>
      <c r="J107" s="118">
        <v>34</v>
      </c>
      <c r="K107" s="118">
        <v>89.3</v>
      </c>
      <c r="L107" s="118">
        <v>2.82</v>
      </c>
      <c r="M107" s="118">
        <v>0.37</v>
      </c>
      <c r="N107" s="118">
        <v>6.64</v>
      </c>
      <c r="O107" s="118">
        <v>2.6</v>
      </c>
      <c r="P107" s="118">
        <v>7.0999999999999994E-2</v>
      </c>
      <c r="Q107" s="118">
        <v>0.11700000000000001</v>
      </c>
      <c r="R107" s="118">
        <v>0.63900000000000001</v>
      </c>
      <c r="S107" s="118">
        <v>0.57299999999999995</v>
      </c>
      <c r="T107" s="118">
        <v>0.17499999999999999</v>
      </c>
      <c r="U107" s="118">
        <v>63</v>
      </c>
      <c r="V107" s="118">
        <v>0</v>
      </c>
      <c r="W107" s="118">
        <v>89.2</v>
      </c>
      <c r="X107" s="118">
        <v>0</v>
      </c>
      <c r="Y107" s="118">
        <v>0.78</v>
      </c>
      <c r="Z107" s="118">
        <v>102</v>
      </c>
      <c r="AA107" s="118">
        <v>0</v>
      </c>
      <c r="AB107" s="118">
        <v>31</v>
      </c>
      <c r="AC107" s="118">
        <v>25</v>
      </c>
      <c r="AD107" s="118">
        <v>361</v>
      </c>
      <c r="AE107" s="118"/>
      <c r="AF107" s="118">
        <v>0</v>
      </c>
      <c r="AG107" s="118">
        <v>1</v>
      </c>
      <c r="AH107" s="118"/>
      <c r="AI107" s="118">
        <v>47</v>
      </c>
      <c r="AJ107" s="118">
        <v>4.9000000000000002E-2</v>
      </c>
      <c r="AK107" s="118">
        <v>0.73</v>
      </c>
      <c r="AL107" s="118">
        <v>21</v>
      </c>
      <c r="AM107" s="118">
        <v>0.21</v>
      </c>
      <c r="AN107" s="118">
        <v>66</v>
      </c>
      <c r="AO107" s="118">
        <v>316</v>
      </c>
      <c r="AP107" s="118">
        <v>2.5</v>
      </c>
      <c r="AQ107" s="118">
        <v>0.41</v>
      </c>
      <c r="AR107" s="118">
        <v>0.114</v>
      </c>
      <c r="AS107" s="118">
        <v>3.1E-2</v>
      </c>
      <c r="AT107" s="118">
        <v>0.112</v>
      </c>
      <c r="AU107" s="118">
        <v>0</v>
      </c>
      <c r="AV107" s="118">
        <v>5.8999999999999997E-2</v>
      </c>
      <c r="AW107" s="118">
        <v>7.9000000000000001E-2</v>
      </c>
      <c r="AX107" s="118">
        <v>0.129</v>
      </c>
      <c r="AY107" s="118">
        <v>0.13500000000000001</v>
      </c>
      <c r="AZ107" s="118">
        <v>3.7999999999999999E-2</v>
      </c>
      <c r="BA107" s="118">
        <v>2.8000000000000001E-2</v>
      </c>
      <c r="BB107" s="118">
        <v>0.11700000000000001</v>
      </c>
      <c r="BC107" s="118">
        <v>8.7999999999999995E-2</v>
      </c>
      <c r="BD107" s="118">
        <v>3.3000000000000002E-2</v>
      </c>
      <c r="BE107" s="118">
        <v>0.125</v>
      </c>
      <c r="BF107" s="118">
        <v>0.104</v>
      </c>
      <c r="BG107" s="118">
        <v>0.191</v>
      </c>
      <c r="BH107" s="118">
        <v>0.32500000000000001</v>
      </c>
      <c r="BI107" s="118">
        <v>0.54200000000000004</v>
      </c>
      <c r="BJ107" s="118">
        <v>8.8999999999999996E-2</v>
      </c>
      <c r="BK107" s="118">
        <v>0.11</v>
      </c>
      <c r="BL107" s="118">
        <v>0.121</v>
      </c>
      <c r="BM107" s="118">
        <v>0.05</v>
      </c>
      <c r="BN107" s="118"/>
      <c r="BO107" s="118"/>
      <c r="BP107" s="118"/>
      <c r="BQ107" s="118"/>
      <c r="BR107" s="118"/>
    </row>
    <row r="108" spans="1:70">
      <c r="A108" s="122">
        <v>25031</v>
      </c>
      <c r="B108" s="122" t="s">
        <v>496</v>
      </c>
      <c r="C108" s="122" t="s">
        <v>497</v>
      </c>
      <c r="D108" s="122" t="s">
        <v>498</v>
      </c>
      <c r="E108" s="122" t="s">
        <v>76</v>
      </c>
      <c r="F108" s="122" t="s">
        <v>1259</v>
      </c>
      <c r="G108" s="163" t="s">
        <v>1260</v>
      </c>
      <c r="H108" s="122">
        <v>13</v>
      </c>
      <c r="I108" s="128" t="s">
        <v>295</v>
      </c>
      <c r="J108" s="118">
        <v>327</v>
      </c>
      <c r="K108" s="118">
        <v>11.71</v>
      </c>
      <c r="L108" s="118">
        <v>22.12</v>
      </c>
      <c r="M108" s="118">
        <v>2.1</v>
      </c>
      <c r="N108" s="118">
        <v>48.3</v>
      </c>
      <c r="O108" s="118">
        <v>13</v>
      </c>
      <c r="P108" s="118">
        <v>0.47</v>
      </c>
      <c r="Q108" s="118">
        <v>0.13</v>
      </c>
      <c r="R108" s="118">
        <v>2.5</v>
      </c>
      <c r="S108" s="118">
        <v>1.26</v>
      </c>
      <c r="T108" s="118">
        <v>0.08</v>
      </c>
      <c r="U108" s="118">
        <v>33</v>
      </c>
      <c r="V108" s="118">
        <v>0</v>
      </c>
      <c r="W108" s="118"/>
      <c r="X108" s="118">
        <v>0</v>
      </c>
      <c r="Y108" s="118">
        <v>1.04</v>
      </c>
      <c r="Z108" s="118">
        <v>24.8</v>
      </c>
      <c r="AA108" s="118">
        <v>0</v>
      </c>
      <c r="AB108" s="118">
        <v>3.21</v>
      </c>
      <c r="AC108" s="118">
        <v>13.13</v>
      </c>
      <c r="AD108" s="118">
        <v>32</v>
      </c>
      <c r="AE108" s="118"/>
      <c r="AF108" s="118"/>
      <c r="AG108" s="118"/>
      <c r="AH108" s="118"/>
      <c r="AI108" s="118">
        <v>75</v>
      </c>
      <c r="AJ108" s="118">
        <v>1.29</v>
      </c>
      <c r="AK108" s="118">
        <v>4.8</v>
      </c>
      <c r="AL108" s="118">
        <v>101.94</v>
      </c>
      <c r="AM108" s="118">
        <v>0.41</v>
      </c>
      <c r="AN108" s="118">
        <v>298</v>
      </c>
      <c r="AO108" s="118">
        <v>709</v>
      </c>
      <c r="AP108" s="118">
        <v>1.8</v>
      </c>
      <c r="AQ108" s="118">
        <v>3.49</v>
      </c>
      <c r="AR108" s="118">
        <v>0.24</v>
      </c>
      <c r="AS108" s="118">
        <v>0.4</v>
      </c>
      <c r="AT108" s="118">
        <v>0.87</v>
      </c>
      <c r="AU108" s="118"/>
      <c r="AV108" s="124">
        <v>0.49</v>
      </c>
      <c r="AW108" s="124">
        <v>0.92</v>
      </c>
      <c r="AX108" s="124">
        <v>1.4</v>
      </c>
      <c r="AY108" s="124">
        <v>1.5</v>
      </c>
      <c r="AZ108" s="124">
        <v>0.17</v>
      </c>
      <c r="BA108" s="124">
        <v>0.15</v>
      </c>
      <c r="BB108" s="124">
        <v>0.92</v>
      </c>
      <c r="BC108" s="124">
        <v>0.74</v>
      </c>
      <c r="BD108" s="124">
        <v>0.18</v>
      </c>
      <c r="BE108" s="124">
        <v>1.2</v>
      </c>
      <c r="BF108" s="124">
        <v>0.92</v>
      </c>
      <c r="BG108" s="124">
        <v>2</v>
      </c>
      <c r="BH108" s="124">
        <v>2.5</v>
      </c>
      <c r="BI108" s="124">
        <v>3.3</v>
      </c>
      <c r="BJ108" s="124">
        <v>0.85</v>
      </c>
      <c r="BK108" s="124">
        <v>0.88</v>
      </c>
      <c r="BL108" s="124">
        <v>1.1000000000000001</v>
      </c>
      <c r="BM108" s="124">
        <v>0.53</v>
      </c>
      <c r="BN108" s="118"/>
      <c r="BO108" s="118">
        <v>377</v>
      </c>
      <c r="BP108" s="118"/>
      <c r="BQ108" s="118"/>
      <c r="BR108" s="118"/>
    </row>
    <row r="109" spans="1:70">
      <c r="A109" s="122">
        <v>90815</v>
      </c>
      <c r="B109" s="122" t="s">
        <v>500</v>
      </c>
      <c r="C109" s="122" t="s">
        <v>501</v>
      </c>
      <c r="D109" s="122" t="s">
        <v>502</v>
      </c>
      <c r="E109" s="122" t="s">
        <v>76</v>
      </c>
      <c r="F109" s="122" t="s">
        <v>1261</v>
      </c>
      <c r="G109" s="163" t="s">
        <v>1262</v>
      </c>
      <c r="H109" s="122">
        <v>4</v>
      </c>
      <c r="I109" s="122" t="s">
        <v>202</v>
      </c>
      <c r="J109" s="118">
        <v>563</v>
      </c>
      <c r="K109" s="118">
        <v>5.3</v>
      </c>
      <c r="L109" s="118">
        <v>17.73</v>
      </c>
      <c r="M109" s="118">
        <v>45.75</v>
      </c>
      <c r="N109" s="118">
        <v>14.3</v>
      </c>
      <c r="O109" s="118">
        <v>11.72</v>
      </c>
      <c r="P109" s="118">
        <v>0.79</v>
      </c>
      <c r="Q109" s="118">
        <v>0.34</v>
      </c>
      <c r="R109" s="118">
        <v>4.45</v>
      </c>
      <c r="S109" s="118">
        <v>0.49</v>
      </c>
      <c r="T109" s="118">
        <v>0.78</v>
      </c>
      <c r="U109" s="118">
        <v>97</v>
      </c>
      <c r="V109" s="118">
        <v>0</v>
      </c>
      <c r="W109" s="118">
        <v>0</v>
      </c>
      <c r="X109" s="118">
        <v>69.03</v>
      </c>
      <c r="Y109" s="118">
        <v>2</v>
      </c>
      <c r="Z109" s="118">
        <v>110</v>
      </c>
      <c r="AA109" s="118">
        <v>0</v>
      </c>
      <c r="AB109" s="118">
        <v>0</v>
      </c>
      <c r="AC109" s="118">
        <v>0</v>
      </c>
      <c r="AD109" s="118">
        <v>4.6100000000000003</v>
      </c>
      <c r="AE109" s="118">
        <v>19.87</v>
      </c>
      <c r="AF109" s="118"/>
      <c r="AG109" s="118"/>
      <c r="AH109" s="118">
        <v>2.3199999999999998</v>
      </c>
      <c r="AI109" s="118">
        <v>969</v>
      </c>
      <c r="AJ109" s="118">
        <v>4.0599999999999996</v>
      </c>
      <c r="AK109" s="118">
        <v>10.5</v>
      </c>
      <c r="AL109" s="118">
        <v>348.75</v>
      </c>
      <c r="AM109" s="118">
        <v>2.5299999999999998</v>
      </c>
      <c r="AN109" s="118">
        <v>624.97</v>
      </c>
      <c r="AO109" s="118">
        <v>465</v>
      </c>
      <c r="AP109" s="118">
        <v>15.7</v>
      </c>
      <c r="AQ109" s="118">
        <v>7.7</v>
      </c>
      <c r="AR109" s="118">
        <v>6.17</v>
      </c>
      <c r="AS109" s="118">
        <v>17.21</v>
      </c>
      <c r="AT109" s="118">
        <v>20.07</v>
      </c>
      <c r="AU109" s="118">
        <v>0</v>
      </c>
      <c r="AV109" s="124">
        <v>0.49298000000000003</v>
      </c>
      <c r="AW109" s="124">
        <v>1.16093</v>
      </c>
      <c r="AX109" s="124">
        <v>1.2143900000000001</v>
      </c>
      <c r="AY109" s="124">
        <v>0.54088999999999998</v>
      </c>
      <c r="AZ109" s="124">
        <v>0.57629999999999992</v>
      </c>
      <c r="BA109" s="124">
        <v>0.25413000000000002</v>
      </c>
      <c r="BB109" s="124">
        <v>0.89915999999999996</v>
      </c>
      <c r="BC109" s="124">
        <v>0.74919000000000002</v>
      </c>
      <c r="BD109" s="124">
        <v>0.38327</v>
      </c>
      <c r="BE109" s="124">
        <v>0.73112999999999995</v>
      </c>
      <c r="BF109" s="124">
        <v>1.19495</v>
      </c>
      <c r="BG109" s="124">
        <v>2.3260200000000002</v>
      </c>
      <c r="BH109" s="124">
        <v>1.82887</v>
      </c>
      <c r="BI109" s="124">
        <v>4.2284899999999999</v>
      </c>
      <c r="BJ109" s="124">
        <v>1.2192499999999999</v>
      </c>
      <c r="BK109" s="124">
        <v>0.76376999999999995</v>
      </c>
      <c r="BL109" s="124">
        <v>1.1484300000000001</v>
      </c>
      <c r="BM109" s="124">
        <v>0.68600000000000005</v>
      </c>
      <c r="BN109" s="118">
        <v>153</v>
      </c>
      <c r="BO109" s="118">
        <v>897.67</v>
      </c>
      <c r="BP109" s="118"/>
      <c r="BQ109" s="118"/>
      <c r="BR109" s="118"/>
    </row>
    <row r="110" spans="1:70">
      <c r="A110" s="122">
        <v>90816</v>
      </c>
      <c r="B110" s="122" t="s">
        <v>504</v>
      </c>
      <c r="C110" s="122" t="s">
        <v>505</v>
      </c>
      <c r="D110" s="122" t="s">
        <v>506</v>
      </c>
      <c r="E110" s="122" t="s">
        <v>76</v>
      </c>
      <c r="F110" s="122" t="s">
        <v>1263</v>
      </c>
      <c r="G110" s="163" t="s">
        <v>1264</v>
      </c>
      <c r="H110" s="122">
        <v>4</v>
      </c>
      <c r="I110" s="122" t="s">
        <v>202</v>
      </c>
      <c r="J110" s="118">
        <v>500</v>
      </c>
      <c r="K110" s="118">
        <v>6.5</v>
      </c>
      <c r="L110" s="118">
        <v>17.21</v>
      </c>
      <c r="M110" s="118">
        <v>39.119999999999997</v>
      </c>
      <c r="N110" s="118">
        <v>6.15</v>
      </c>
      <c r="O110" s="118">
        <v>27.3</v>
      </c>
      <c r="P110" s="118">
        <v>1.64</v>
      </c>
      <c r="Q110" s="118">
        <v>0.16</v>
      </c>
      <c r="R110" s="118">
        <v>3.08</v>
      </c>
      <c r="S110" s="118">
        <v>0.37</v>
      </c>
      <c r="T110" s="118">
        <v>0.47</v>
      </c>
      <c r="U110" s="118">
        <v>87</v>
      </c>
      <c r="V110" s="118">
        <v>0</v>
      </c>
      <c r="W110" s="118">
        <v>0</v>
      </c>
      <c r="X110" s="118">
        <v>0.55000000000000004</v>
      </c>
      <c r="Y110" s="118">
        <v>10.35</v>
      </c>
      <c r="Z110" s="118">
        <v>19.170000000000002</v>
      </c>
      <c r="AA110" s="118">
        <v>0</v>
      </c>
      <c r="AB110" s="118">
        <v>0</v>
      </c>
      <c r="AC110" s="118">
        <v>0</v>
      </c>
      <c r="AD110" s="118">
        <v>1.05</v>
      </c>
      <c r="AE110" s="118">
        <v>5.67</v>
      </c>
      <c r="AF110" s="118"/>
      <c r="AG110" s="118"/>
      <c r="AH110" s="118">
        <v>7.22</v>
      </c>
      <c r="AI110" s="118">
        <v>255</v>
      </c>
      <c r="AJ110" s="118">
        <v>1.22</v>
      </c>
      <c r="AK110" s="118">
        <v>5.73</v>
      </c>
      <c r="AL110" s="118">
        <v>392</v>
      </c>
      <c r="AM110" s="118">
        <v>2.14</v>
      </c>
      <c r="AN110" s="118">
        <v>642</v>
      </c>
      <c r="AO110" s="118">
        <v>813</v>
      </c>
      <c r="AP110" s="118">
        <v>46.87</v>
      </c>
      <c r="AQ110" s="118">
        <v>4.34</v>
      </c>
      <c r="AR110" s="118">
        <v>3.41</v>
      </c>
      <c r="AS110" s="118">
        <v>6.94</v>
      </c>
      <c r="AT110" s="118">
        <v>26.5</v>
      </c>
      <c r="AU110" s="118">
        <v>0</v>
      </c>
      <c r="AV110" s="124">
        <v>0.44400000000000001</v>
      </c>
      <c r="AW110" s="124">
        <v>0.84299999999999997</v>
      </c>
      <c r="AX110" s="124">
        <v>1.1619999999999999</v>
      </c>
      <c r="AY110" s="124">
        <v>0.81100000000000005</v>
      </c>
      <c r="AZ110" s="124">
        <v>0.34799999999999998</v>
      </c>
      <c r="BA110" s="124">
        <v>0.32</v>
      </c>
      <c r="BB110" s="124">
        <v>0.90100000000000002</v>
      </c>
      <c r="BC110" s="124">
        <v>0.72099999999999997</v>
      </c>
      <c r="BD110" s="124">
        <v>0.28000000000000003</v>
      </c>
      <c r="BE110" s="124">
        <v>1.0089999999999999</v>
      </c>
      <c r="BF110" s="124">
        <v>0.871</v>
      </c>
      <c r="BG110" s="124">
        <v>1.8120000000000001</v>
      </c>
      <c r="BH110" s="124">
        <v>1.9259999999999999</v>
      </c>
      <c r="BI110" s="124">
        <v>3.8010000000000002</v>
      </c>
      <c r="BJ110" s="124">
        <v>1.175</v>
      </c>
      <c r="BK110" s="124">
        <v>0.75900000000000001</v>
      </c>
      <c r="BL110" s="124">
        <v>0.91300000000000003</v>
      </c>
      <c r="BM110" s="124">
        <v>0.46400000000000002</v>
      </c>
      <c r="BN110" s="118">
        <v>31.6</v>
      </c>
      <c r="BO110" s="118">
        <v>1859</v>
      </c>
      <c r="BP110" s="118"/>
      <c r="BQ110" s="118"/>
      <c r="BR110" s="118"/>
    </row>
    <row r="111" spans="1:70">
      <c r="A111" s="122">
        <v>25032</v>
      </c>
      <c r="B111" s="122" t="s">
        <v>508</v>
      </c>
      <c r="C111" s="122" t="s">
        <v>509</v>
      </c>
      <c r="D111" s="122"/>
      <c r="E111" s="122" t="s">
        <v>76</v>
      </c>
      <c r="F111" s="122" t="s">
        <v>1205</v>
      </c>
      <c r="G111" s="163" t="s">
        <v>1206</v>
      </c>
      <c r="H111" s="122">
        <v>13</v>
      </c>
      <c r="I111" s="128" t="s">
        <v>295</v>
      </c>
      <c r="J111" s="118">
        <v>16</v>
      </c>
      <c r="K111" s="118">
        <v>94.3</v>
      </c>
      <c r="L111" s="118">
        <v>0.9</v>
      </c>
      <c r="M111" s="118">
        <v>0.2</v>
      </c>
      <c r="N111" s="118">
        <v>1.6</v>
      </c>
      <c r="O111" s="118">
        <v>2.2000000000000002</v>
      </c>
      <c r="P111" s="118">
        <v>0.02</v>
      </c>
      <c r="Q111" s="118">
        <v>0.03</v>
      </c>
      <c r="R111" s="118">
        <v>0.22</v>
      </c>
      <c r="S111" s="118">
        <v>0.5</v>
      </c>
      <c r="T111" s="118">
        <v>7.0000000000000007E-2</v>
      </c>
      <c r="U111" s="118">
        <v>25.32</v>
      </c>
      <c r="V111" s="118">
        <v>0</v>
      </c>
      <c r="W111" s="118">
        <v>5.8</v>
      </c>
      <c r="X111" s="118">
        <v>0.14000000000000001</v>
      </c>
      <c r="Y111" s="118">
        <v>0.09</v>
      </c>
      <c r="Z111" s="118">
        <v>33.68</v>
      </c>
      <c r="AA111" s="118"/>
      <c r="AB111" s="118">
        <v>4</v>
      </c>
      <c r="AC111" s="118"/>
      <c r="AD111" s="118">
        <v>2.2999999999999998</v>
      </c>
      <c r="AE111" s="118">
        <v>99.6</v>
      </c>
      <c r="AF111" s="118"/>
      <c r="AG111" s="118"/>
      <c r="AH111" s="118">
        <v>1.96</v>
      </c>
      <c r="AI111" s="118">
        <v>40</v>
      </c>
      <c r="AJ111" s="118">
        <v>0.08</v>
      </c>
      <c r="AK111" s="118">
        <v>0.6</v>
      </c>
      <c r="AL111" s="118">
        <v>20</v>
      </c>
      <c r="AM111" s="118">
        <v>0.37</v>
      </c>
      <c r="AN111" s="118">
        <v>31</v>
      </c>
      <c r="AO111" s="118">
        <v>414</v>
      </c>
      <c r="AP111" s="118">
        <v>1.48</v>
      </c>
      <c r="AQ111" s="118">
        <v>0.2</v>
      </c>
      <c r="AR111" s="118">
        <v>7.0000000000000007E-2</v>
      </c>
      <c r="AS111" s="118">
        <v>0.01</v>
      </c>
      <c r="AT111" s="118">
        <v>0.11</v>
      </c>
      <c r="AU111" s="118"/>
      <c r="AV111" s="124">
        <v>2.1569999999999999E-2</v>
      </c>
      <c r="AW111" s="124">
        <v>3.8770000000000006E-2</v>
      </c>
      <c r="AX111" s="124">
        <v>6.5519999999999995E-2</v>
      </c>
      <c r="AY111" s="124">
        <v>3.0300000000000001E-2</v>
      </c>
      <c r="AZ111" s="124">
        <v>1.0919999999999999E-2</v>
      </c>
      <c r="BA111" s="124">
        <v>7.28E-3</v>
      </c>
      <c r="BB111" s="124">
        <v>3.7670000000000002E-2</v>
      </c>
      <c r="BC111" s="124">
        <v>3.8399999999999997E-2</v>
      </c>
      <c r="BD111" s="124">
        <v>6.6400000000000001E-3</v>
      </c>
      <c r="BE111" s="124">
        <v>5.4240000000000003E-2</v>
      </c>
      <c r="BF111" s="124">
        <v>6.7069999999999991E-2</v>
      </c>
      <c r="BG111" s="124">
        <v>4.2770000000000002E-2</v>
      </c>
      <c r="BH111" s="124">
        <v>0.10773999999999999</v>
      </c>
      <c r="BI111" s="124">
        <v>0.10773999999999999</v>
      </c>
      <c r="BJ111" s="124">
        <v>6.0880000000000004E-2</v>
      </c>
      <c r="BK111" s="124">
        <v>3.7670000000000002E-2</v>
      </c>
      <c r="BL111" s="124">
        <v>4.4950000000000004E-2</v>
      </c>
      <c r="BM111" s="124">
        <v>2.8030000000000003E-2</v>
      </c>
      <c r="BN111" s="118">
        <v>11.66</v>
      </c>
      <c r="BO111" s="118">
        <v>26.49</v>
      </c>
      <c r="BP111" s="118"/>
      <c r="BQ111" s="118"/>
      <c r="BR111" s="118"/>
    </row>
    <row r="112" spans="1:70">
      <c r="A112" s="122">
        <v>43001</v>
      </c>
      <c r="B112" s="122" t="s">
        <v>510</v>
      </c>
      <c r="C112" s="122" t="s">
        <v>511</v>
      </c>
      <c r="D112" s="122" t="s">
        <v>512</v>
      </c>
      <c r="E112" s="122" t="s">
        <v>76</v>
      </c>
      <c r="F112" s="122" t="s">
        <v>1265</v>
      </c>
      <c r="G112" s="163" t="s">
        <v>1266</v>
      </c>
      <c r="H112" s="122">
        <v>8</v>
      </c>
      <c r="I112" s="122" t="s">
        <v>514</v>
      </c>
      <c r="J112" s="118">
        <v>90</v>
      </c>
      <c r="K112" s="118">
        <v>76.7</v>
      </c>
      <c r="L112" s="118">
        <v>16.600000000000001</v>
      </c>
      <c r="M112" s="118">
        <v>2.67</v>
      </c>
      <c r="N112" s="118">
        <v>0</v>
      </c>
      <c r="O112" s="118">
        <v>0</v>
      </c>
      <c r="P112" s="118">
        <v>0.05</v>
      </c>
      <c r="Q112" s="118">
        <v>7.0000000000000007E-2</v>
      </c>
      <c r="R112" s="118">
        <v>0.7</v>
      </c>
      <c r="S112" s="118">
        <v>1.18</v>
      </c>
      <c r="T112" s="118">
        <v>0.11</v>
      </c>
      <c r="U112" s="118"/>
      <c r="V112" s="118">
        <v>5</v>
      </c>
      <c r="W112" s="118"/>
      <c r="X112" s="118">
        <v>0.84</v>
      </c>
      <c r="Y112" s="118"/>
      <c r="Z112" s="118"/>
      <c r="AA112" s="118"/>
      <c r="AB112" s="118"/>
      <c r="AC112" s="118"/>
      <c r="AD112" s="118"/>
      <c r="AE112" s="118"/>
      <c r="AF112" s="118"/>
      <c r="AG112" s="118"/>
      <c r="AH112" s="118"/>
      <c r="AI112" s="118">
        <v>650</v>
      </c>
      <c r="AJ112" s="118">
        <v>0.35</v>
      </c>
      <c r="AK112" s="118">
        <v>1</v>
      </c>
      <c r="AL112" s="118">
        <v>12</v>
      </c>
      <c r="AM112" s="118">
        <v>0.04</v>
      </c>
      <c r="AN112" s="118">
        <v>175</v>
      </c>
      <c r="AO112" s="118">
        <v>288</v>
      </c>
      <c r="AP112" s="118">
        <v>51.5</v>
      </c>
      <c r="AQ112" s="118">
        <v>1.1299999999999999</v>
      </c>
      <c r="AR112" s="118">
        <v>0.21</v>
      </c>
      <c r="AS112" s="118">
        <v>0.14000000000000001</v>
      </c>
      <c r="AT112" s="118">
        <v>0.26</v>
      </c>
      <c r="AU112" s="118">
        <v>52.91</v>
      </c>
      <c r="AV112" s="124">
        <v>0.94016999999999995</v>
      </c>
      <c r="AW112" s="124">
        <v>0.80613999999999997</v>
      </c>
      <c r="AX112" s="124">
        <v>1.2358199999999999</v>
      </c>
      <c r="AY112" s="124">
        <v>1.5827100000000001</v>
      </c>
      <c r="AZ112" s="124">
        <v>1.09785</v>
      </c>
      <c r="BA112" s="124">
        <v>2.9821200000000001</v>
      </c>
      <c r="BB112" s="124">
        <v>1.0367500000000001</v>
      </c>
      <c r="BC112" s="124">
        <v>0.57159000000000004</v>
      </c>
      <c r="BD112" s="124">
        <v>0.20498</v>
      </c>
      <c r="BE112" s="124">
        <v>1.0623699999999998</v>
      </c>
      <c r="BF112" s="124">
        <v>0.4829</v>
      </c>
      <c r="BG112" s="124">
        <v>0.72533000000000003</v>
      </c>
      <c r="BH112" s="124">
        <v>0.2858</v>
      </c>
      <c r="BI112" s="124">
        <v>1.4171500000000001</v>
      </c>
      <c r="BJ112" s="124">
        <v>1.8921600000000001</v>
      </c>
      <c r="BK112" s="124">
        <v>1.2634100000000001</v>
      </c>
      <c r="BL112" s="124">
        <v>0.9125700000000001</v>
      </c>
      <c r="BM112" s="124">
        <v>0.67013999999999996</v>
      </c>
      <c r="BN112" s="118"/>
      <c r="BO112" s="118"/>
      <c r="BP112" s="118"/>
      <c r="BQ112" s="118"/>
      <c r="BR112" s="118"/>
    </row>
    <row r="113" spans="1:70">
      <c r="A113" s="122">
        <v>43002</v>
      </c>
      <c r="B113" s="122" t="s">
        <v>515</v>
      </c>
      <c r="C113" s="122" t="s">
        <v>516</v>
      </c>
      <c r="D113" s="122" t="s">
        <v>517</v>
      </c>
      <c r="E113" s="122" t="s">
        <v>103</v>
      </c>
      <c r="F113" s="122">
        <v>15114</v>
      </c>
      <c r="G113" s="163" t="s">
        <v>518</v>
      </c>
      <c r="H113" s="122">
        <v>8</v>
      </c>
      <c r="I113" s="122" t="s">
        <v>514</v>
      </c>
      <c r="J113" s="118">
        <v>148</v>
      </c>
      <c r="K113" s="118">
        <v>71.400000000000006</v>
      </c>
      <c r="L113" s="118">
        <v>20.8</v>
      </c>
      <c r="M113" s="118">
        <v>6.61</v>
      </c>
      <c r="N113" s="118">
        <v>0</v>
      </c>
      <c r="O113" s="118">
        <v>0</v>
      </c>
      <c r="P113" s="118">
        <v>0.35</v>
      </c>
      <c r="Q113" s="118">
        <v>0.33</v>
      </c>
      <c r="R113" s="118">
        <v>4.5</v>
      </c>
      <c r="S113" s="118">
        <v>1.94</v>
      </c>
      <c r="T113" s="118">
        <v>0.2</v>
      </c>
      <c r="U113" s="118">
        <v>13</v>
      </c>
      <c r="V113" s="118">
        <v>7.79</v>
      </c>
      <c r="W113" s="118">
        <v>0.5</v>
      </c>
      <c r="X113" s="118">
        <v>3.9</v>
      </c>
      <c r="Y113" s="118">
        <v>0.2</v>
      </c>
      <c r="Z113" s="118">
        <v>0.1</v>
      </c>
      <c r="AA113" s="118">
        <v>17</v>
      </c>
      <c r="AB113" s="118">
        <v>17</v>
      </c>
      <c r="AC113" s="118">
        <v>0</v>
      </c>
      <c r="AD113" s="118">
        <v>0</v>
      </c>
      <c r="AE113" s="118">
        <v>0</v>
      </c>
      <c r="AF113" s="118">
        <v>0</v>
      </c>
      <c r="AG113" s="118">
        <v>0</v>
      </c>
      <c r="AH113" s="118">
        <v>0</v>
      </c>
      <c r="AI113" s="118">
        <v>43</v>
      </c>
      <c r="AJ113" s="118">
        <v>0.188</v>
      </c>
      <c r="AK113" s="118">
        <v>1.5</v>
      </c>
      <c r="AL113" s="118">
        <v>22</v>
      </c>
      <c r="AM113" s="118">
        <v>0.85099999999999998</v>
      </c>
      <c r="AN113" s="118">
        <v>245</v>
      </c>
      <c r="AO113" s="118">
        <v>361</v>
      </c>
      <c r="AP113" s="118">
        <v>12.6</v>
      </c>
      <c r="AQ113" s="118">
        <v>0.66</v>
      </c>
      <c r="AR113" s="118">
        <v>1.1499999999999999</v>
      </c>
      <c r="AS113" s="118">
        <v>3.25</v>
      </c>
      <c r="AT113" s="118">
        <v>1.5</v>
      </c>
      <c r="AU113" s="118">
        <v>58</v>
      </c>
      <c r="AV113" s="118">
        <v>0.61099999999999999</v>
      </c>
      <c r="AW113" s="118">
        <v>0.95699999999999996</v>
      </c>
      <c r="AX113" s="118">
        <v>1.69</v>
      </c>
      <c r="AY113" s="118">
        <v>1.91</v>
      </c>
      <c r="AZ113" s="118">
        <v>0.61499999999999999</v>
      </c>
      <c r="BA113" s="118">
        <v>0.223</v>
      </c>
      <c r="BB113" s="118">
        <v>0.81100000000000005</v>
      </c>
      <c r="BC113" s="118">
        <v>0.91100000000000003</v>
      </c>
      <c r="BD113" s="118">
        <v>0.23300000000000001</v>
      </c>
      <c r="BE113" s="118">
        <v>1.07</v>
      </c>
      <c r="BF113" s="118">
        <v>1.26</v>
      </c>
      <c r="BG113" s="118">
        <v>1.24</v>
      </c>
      <c r="BH113" s="118">
        <v>2.13</v>
      </c>
      <c r="BI113" s="118">
        <v>3.1</v>
      </c>
      <c r="BJ113" s="118">
        <v>0.997</v>
      </c>
      <c r="BK113" s="118">
        <v>0.73399999999999999</v>
      </c>
      <c r="BL113" s="118">
        <v>0.84699999999999998</v>
      </c>
      <c r="BM113" s="118">
        <v>0.70099999999999996</v>
      </c>
      <c r="BN113" s="118"/>
      <c r="BO113" s="118"/>
      <c r="BP113" s="118"/>
      <c r="BQ113" s="118"/>
      <c r="BR113" s="118"/>
    </row>
    <row r="114" spans="1:70">
      <c r="A114" s="122">
        <v>43003</v>
      </c>
      <c r="B114" s="122" t="s">
        <v>519</v>
      </c>
      <c r="C114" s="122" t="s">
        <v>520</v>
      </c>
      <c r="D114" s="122" t="s">
        <v>521</v>
      </c>
      <c r="E114" s="122" t="s">
        <v>76</v>
      </c>
      <c r="F114" s="122" t="s">
        <v>1267</v>
      </c>
      <c r="G114" s="163" t="s">
        <v>1268</v>
      </c>
      <c r="H114" s="122">
        <v>8</v>
      </c>
      <c r="I114" s="122" t="s">
        <v>514</v>
      </c>
      <c r="J114" s="118">
        <v>162</v>
      </c>
      <c r="K114" s="118">
        <v>70.84</v>
      </c>
      <c r="L114" s="118">
        <v>15.9</v>
      </c>
      <c r="M114" s="118">
        <v>10.96</v>
      </c>
      <c r="N114" s="118">
        <v>0</v>
      </c>
      <c r="O114" s="118">
        <v>0</v>
      </c>
      <c r="P114" s="118">
        <v>0.15</v>
      </c>
      <c r="Q114" s="118">
        <v>0.06</v>
      </c>
      <c r="R114" s="118">
        <v>0.6</v>
      </c>
      <c r="S114" s="118">
        <v>0.66</v>
      </c>
      <c r="T114" s="118">
        <v>0.11</v>
      </c>
      <c r="U114" s="118">
        <v>1323</v>
      </c>
      <c r="V114" s="118">
        <v>1</v>
      </c>
      <c r="W114" s="118"/>
      <c r="X114" s="118">
        <v>0.19</v>
      </c>
      <c r="Y114" s="118">
        <v>2.8</v>
      </c>
      <c r="Z114" s="118"/>
      <c r="AA114" s="118">
        <v>5.14</v>
      </c>
      <c r="AB114" s="118">
        <v>5.14</v>
      </c>
      <c r="AC114" s="118"/>
      <c r="AD114" s="118"/>
      <c r="AE114" s="118"/>
      <c r="AF114" s="118"/>
      <c r="AG114" s="118"/>
      <c r="AH114" s="118"/>
      <c r="AI114" s="118">
        <v>14.37</v>
      </c>
      <c r="AJ114" s="118">
        <v>7.0000000000000007E-2</v>
      </c>
      <c r="AK114" s="118">
        <v>0.15</v>
      </c>
      <c r="AL114" s="118">
        <v>28.93</v>
      </c>
      <c r="AM114" s="118">
        <v>0.01</v>
      </c>
      <c r="AN114" s="118">
        <v>130</v>
      </c>
      <c r="AO114" s="118">
        <v>169</v>
      </c>
      <c r="AP114" s="118">
        <v>42.33</v>
      </c>
      <c r="AQ114" s="118">
        <v>1.85</v>
      </c>
      <c r="AR114" s="118">
        <v>4.05</v>
      </c>
      <c r="AS114" s="118">
        <v>4.3499999999999996</v>
      </c>
      <c r="AT114" s="118">
        <v>1.69</v>
      </c>
      <c r="AU114" s="118">
        <v>66.89</v>
      </c>
      <c r="AV114" s="124">
        <v>0.32400000000000001</v>
      </c>
      <c r="AW114" s="124">
        <v>0.622</v>
      </c>
      <c r="AX114" s="124">
        <v>1.139</v>
      </c>
      <c r="AY114" s="124">
        <v>1.2509999999999999</v>
      </c>
      <c r="AZ114" s="124">
        <v>0.56299999999999994</v>
      </c>
      <c r="BA114" s="124">
        <v>0.14399999999999999</v>
      </c>
      <c r="BB114" s="124">
        <v>0.625</v>
      </c>
      <c r="BC114" s="124">
        <v>0.68300000000000005</v>
      </c>
      <c r="BD114" s="124">
        <v>0.23400000000000001</v>
      </c>
      <c r="BE114" s="124">
        <v>0.76200000000000001</v>
      </c>
      <c r="BF114" s="124">
        <v>1.6319999999999999</v>
      </c>
      <c r="BG114" s="124">
        <v>0.99</v>
      </c>
      <c r="BH114" s="124">
        <v>1.339</v>
      </c>
      <c r="BI114" s="124">
        <v>2.581</v>
      </c>
      <c r="BJ114" s="124">
        <v>1.137</v>
      </c>
      <c r="BK114" s="124">
        <v>0.751</v>
      </c>
      <c r="BL114" s="124">
        <v>0.629</v>
      </c>
      <c r="BM114" s="124">
        <v>0.46899999999999997</v>
      </c>
      <c r="BN114" s="118"/>
      <c r="BO114" s="118"/>
      <c r="BP114" s="118"/>
      <c r="BQ114" s="118"/>
      <c r="BR114" s="118"/>
    </row>
    <row r="115" spans="1:70">
      <c r="A115" s="122">
        <v>42002</v>
      </c>
      <c r="B115" s="122" t="s">
        <v>523</v>
      </c>
      <c r="C115" s="122" t="s">
        <v>524</v>
      </c>
      <c r="D115" s="122" t="s">
        <v>525</v>
      </c>
      <c r="E115" s="122" t="s">
        <v>76</v>
      </c>
      <c r="F115" s="122" t="s">
        <v>1269</v>
      </c>
      <c r="G115" s="163" t="s">
        <v>1270</v>
      </c>
      <c r="H115" s="122">
        <v>8</v>
      </c>
      <c r="I115" s="122" t="s">
        <v>514</v>
      </c>
      <c r="J115" s="118">
        <v>223</v>
      </c>
      <c r="K115" s="118">
        <v>62.7</v>
      </c>
      <c r="L115" s="118">
        <v>17.96</v>
      </c>
      <c r="M115" s="118">
        <v>16.78</v>
      </c>
      <c r="N115" s="118">
        <v>0</v>
      </c>
      <c r="O115" s="118">
        <v>0</v>
      </c>
      <c r="P115" s="118">
        <v>0.12</v>
      </c>
      <c r="Q115" s="118">
        <v>0.14000000000000001</v>
      </c>
      <c r="R115" s="118">
        <v>2.2599999999999998</v>
      </c>
      <c r="S115" s="118">
        <v>2.33</v>
      </c>
      <c r="T115" s="118">
        <v>0.42</v>
      </c>
      <c r="U115" s="118">
        <v>2875</v>
      </c>
      <c r="V115" s="118">
        <v>2.2999999999999998</v>
      </c>
      <c r="W115" s="118"/>
      <c r="X115" s="118">
        <v>4.6399999999999997</v>
      </c>
      <c r="Y115" s="118">
        <v>1.35</v>
      </c>
      <c r="Z115" s="118"/>
      <c r="AA115" s="118">
        <v>7.42</v>
      </c>
      <c r="AB115" s="118"/>
      <c r="AC115" s="118"/>
      <c r="AD115" s="118"/>
      <c r="AE115" s="118"/>
      <c r="AF115" s="118"/>
      <c r="AG115" s="118"/>
      <c r="AH115" s="118"/>
      <c r="AI115" s="118">
        <v>85.96</v>
      </c>
      <c r="AJ115" s="118">
        <v>0.18</v>
      </c>
      <c r="AK115" s="118">
        <v>1.29</v>
      </c>
      <c r="AL115" s="118">
        <v>25.69</v>
      </c>
      <c r="AM115" s="118">
        <v>0.08</v>
      </c>
      <c r="AN115" s="118">
        <v>195.46</v>
      </c>
      <c r="AO115" s="118">
        <v>162</v>
      </c>
      <c r="AP115" s="118">
        <v>37.619999999999997</v>
      </c>
      <c r="AQ115" s="118">
        <v>0.54</v>
      </c>
      <c r="AR115" s="118">
        <v>11.98</v>
      </c>
      <c r="AS115" s="118">
        <v>9.84</v>
      </c>
      <c r="AT115" s="118">
        <v>2.48</v>
      </c>
      <c r="AU115" s="118">
        <v>123.32</v>
      </c>
      <c r="AV115" s="124">
        <v>0.69499999999999995</v>
      </c>
      <c r="AW115" s="124">
        <v>0.73</v>
      </c>
      <c r="AX115" s="124">
        <v>1.3540000000000001</v>
      </c>
      <c r="AY115" s="124">
        <v>1.621</v>
      </c>
      <c r="AZ115" s="124">
        <v>0.55200000000000005</v>
      </c>
      <c r="BA115" s="124" t="s">
        <v>1098</v>
      </c>
      <c r="BB115" s="124">
        <v>0.73</v>
      </c>
      <c r="BC115" s="124">
        <v>0.90900000000000003</v>
      </c>
      <c r="BD115" s="124" t="s">
        <v>1098</v>
      </c>
      <c r="BE115" s="124">
        <v>0.90900000000000003</v>
      </c>
      <c r="BF115" s="124">
        <v>1.087</v>
      </c>
      <c r="BG115" s="124">
        <v>0.998</v>
      </c>
      <c r="BH115" s="124">
        <v>1.746</v>
      </c>
      <c r="BI115" s="124">
        <v>2.4049999999999998</v>
      </c>
      <c r="BJ115" s="124">
        <v>0.67700000000000005</v>
      </c>
      <c r="BK115" s="124">
        <v>0.55200000000000005</v>
      </c>
      <c r="BL115" s="124">
        <v>0.499</v>
      </c>
      <c r="BM115" s="124">
        <v>0.69499999999999995</v>
      </c>
      <c r="BN115" s="118"/>
      <c r="BO115" s="118"/>
      <c r="BP115" s="118"/>
      <c r="BQ115" s="118"/>
      <c r="BR115" s="118"/>
    </row>
    <row r="116" spans="1:70">
      <c r="A116" s="122">
        <v>42003</v>
      </c>
      <c r="B116" s="122" t="s">
        <v>527</v>
      </c>
      <c r="C116" s="122" t="s">
        <v>528</v>
      </c>
      <c r="D116" s="122" t="s">
        <v>529</v>
      </c>
      <c r="E116" s="122" t="s">
        <v>82</v>
      </c>
      <c r="F116" s="122" t="s">
        <v>530</v>
      </c>
      <c r="G116" s="163" t="s">
        <v>531</v>
      </c>
      <c r="H116" s="122">
        <v>8</v>
      </c>
      <c r="I116" s="122" t="s">
        <v>514</v>
      </c>
      <c r="J116" s="118">
        <v>107.79</v>
      </c>
      <c r="K116" s="118">
        <v>75.569999999999993</v>
      </c>
      <c r="L116" s="118">
        <v>20.41</v>
      </c>
      <c r="M116" s="118">
        <v>2.63</v>
      </c>
      <c r="N116" s="118"/>
      <c r="O116" s="118"/>
      <c r="P116" s="118"/>
      <c r="Q116" s="118">
        <v>0.31</v>
      </c>
      <c r="R116" s="118">
        <v>2.2999999999999998</v>
      </c>
      <c r="S116" s="118">
        <v>1.52</v>
      </c>
      <c r="T116" s="118">
        <v>0.11</v>
      </c>
      <c r="U116" s="118">
        <v>12.94</v>
      </c>
      <c r="V116" s="118">
        <v>3</v>
      </c>
      <c r="W116" s="118">
        <v>1.8</v>
      </c>
      <c r="X116" s="118">
        <v>3.81</v>
      </c>
      <c r="Y116" s="118">
        <v>1.8</v>
      </c>
      <c r="Z116" s="118"/>
      <c r="AA116" s="118">
        <v>866</v>
      </c>
      <c r="AB116" s="125">
        <f>AA116+1/12*(AD116)+1/24*(AC116)+1/24*(AG116)</f>
        <v>866</v>
      </c>
      <c r="AC116" s="118"/>
      <c r="AD116" s="118"/>
      <c r="AE116" s="118"/>
      <c r="AF116" s="118"/>
      <c r="AG116" s="118"/>
      <c r="AH116" s="118"/>
      <c r="AI116" s="118">
        <v>52.99</v>
      </c>
      <c r="AJ116" s="118">
        <v>2.72</v>
      </c>
      <c r="AK116" s="118">
        <v>1.54</v>
      </c>
      <c r="AL116" s="118">
        <v>42.5</v>
      </c>
      <c r="AM116" s="118">
        <v>0.13</v>
      </c>
      <c r="AN116" s="118">
        <v>361</v>
      </c>
      <c r="AO116" s="118">
        <v>450</v>
      </c>
      <c r="AP116" s="118">
        <v>67.319999999999993</v>
      </c>
      <c r="AQ116" s="118">
        <v>2.23</v>
      </c>
      <c r="AR116" s="118">
        <v>0.98099999999999998</v>
      </c>
      <c r="AS116" s="118">
        <v>0.73299999999999998</v>
      </c>
      <c r="AT116" s="118">
        <v>0.6</v>
      </c>
      <c r="AU116" s="118">
        <v>58.64</v>
      </c>
      <c r="AV116" s="118">
        <v>3.67</v>
      </c>
      <c r="AW116" s="118">
        <v>3.43</v>
      </c>
      <c r="AX116" s="118">
        <v>3.41</v>
      </c>
      <c r="AY116" s="118">
        <v>5.94</v>
      </c>
      <c r="AZ116" s="118">
        <v>4.62</v>
      </c>
      <c r="BA116" s="118">
        <v>10.94</v>
      </c>
      <c r="BB116" s="118">
        <v>4.07</v>
      </c>
      <c r="BC116" s="118">
        <v>3.46</v>
      </c>
      <c r="BD116" s="118">
        <v>1.22</v>
      </c>
      <c r="BE116" s="118">
        <v>4.5599999999999996</v>
      </c>
      <c r="BF116" s="118">
        <v>2.06</v>
      </c>
      <c r="BG116" s="118">
        <v>4.0599999999999996</v>
      </c>
      <c r="BH116" s="118">
        <v>1.1200000000000001</v>
      </c>
      <c r="BI116" s="118">
        <v>7.74</v>
      </c>
      <c r="BJ116" s="118">
        <v>6.53</v>
      </c>
      <c r="BK116" s="118">
        <v>5.97</v>
      </c>
      <c r="BL116" s="118">
        <v>3.52</v>
      </c>
      <c r="BM116" s="118">
        <v>3.78</v>
      </c>
      <c r="BN116" s="118"/>
      <c r="BO116" s="118"/>
      <c r="BP116" s="118"/>
      <c r="BQ116" s="118"/>
      <c r="BR116" s="118"/>
    </row>
    <row r="117" spans="1:70">
      <c r="A117" s="122">
        <v>42004</v>
      </c>
      <c r="B117" s="122" t="s">
        <v>532</v>
      </c>
      <c r="C117" s="122" t="s">
        <v>533</v>
      </c>
      <c r="D117" s="122" t="s">
        <v>534</v>
      </c>
      <c r="E117" s="122" t="s">
        <v>103</v>
      </c>
      <c r="F117" s="122">
        <v>15028</v>
      </c>
      <c r="G117" s="163" t="s">
        <v>535</v>
      </c>
      <c r="H117" s="122">
        <v>8</v>
      </c>
      <c r="I117" s="122" t="s">
        <v>514</v>
      </c>
      <c r="J117" s="118">
        <v>70</v>
      </c>
      <c r="K117" s="118">
        <v>84.6</v>
      </c>
      <c r="L117" s="118">
        <v>12.4</v>
      </c>
      <c r="M117" s="118">
        <v>1.93</v>
      </c>
      <c r="N117" s="118">
        <v>0</v>
      </c>
      <c r="O117" s="118">
        <v>0</v>
      </c>
      <c r="P117" s="118">
        <v>2.1999999999999999E-2</v>
      </c>
      <c r="Q117" s="118">
        <v>0.02</v>
      </c>
      <c r="R117" s="118">
        <v>1.04</v>
      </c>
      <c r="S117" s="118">
        <v>0.185</v>
      </c>
      <c r="T117" s="118">
        <v>9.8000000000000004E-2</v>
      </c>
      <c r="U117" s="118">
        <v>5</v>
      </c>
      <c r="V117" s="118">
        <v>1.1299999999999999</v>
      </c>
      <c r="W117" s="118">
        <v>0</v>
      </c>
      <c r="X117" s="118">
        <v>2.8</v>
      </c>
      <c r="Y117" s="118">
        <v>0.63</v>
      </c>
      <c r="Z117" s="118">
        <v>0.1</v>
      </c>
      <c r="AA117" s="118">
        <v>10</v>
      </c>
      <c r="AB117" s="118">
        <v>10</v>
      </c>
      <c r="AC117" s="118">
        <v>0</v>
      </c>
      <c r="AD117" s="118">
        <v>0</v>
      </c>
      <c r="AE117" s="118">
        <v>0</v>
      </c>
      <c r="AF117" s="118">
        <v>0</v>
      </c>
      <c r="AG117" s="118">
        <v>0</v>
      </c>
      <c r="AH117" s="118">
        <v>0</v>
      </c>
      <c r="AI117" s="118">
        <v>21</v>
      </c>
      <c r="AJ117" s="118">
        <v>1.9E-2</v>
      </c>
      <c r="AK117" s="118">
        <v>0.18</v>
      </c>
      <c r="AL117" s="118">
        <v>18</v>
      </c>
      <c r="AM117" s="118">
        <v>1.4E-2</v>
      </c>
      <c r="AN117" s="118">
        <v>252</v>
      </c>
      <c r="AO117" s="118">
        <v>160</v>
      </c>
      <c r="AP117" s="118">
        <v>26.6</v>
      </c>
      <c r="AQ117" s="118">
        <v>0.32</v>
      </c>
      <c r="AR117" s="118">
        <v>0.441</v>
      </c>
      <c r="AS117" s="118">
        <v>0.53500000000000003</v>
      </c>
      <c r="AT117" s="118">
        <v>0.374</v>
      </c>
      <c r="AU117" s="118">
        <v>45</v>
      </c>
      <c r="AV117" s="118">
        <v>0.30399999999999999</v>
      </c>
      <c r="AW117" s="118">
        <v>0.61399999999999999</v>
      </c>
      <c r="AX117" s="118">
        <v>1.0900000000000001</v>
      </c>
      <c r="AY117" s="118">
        <v>1.27</v>
      </c>
      <c r="AZ117" s="118">
        <v>0.45500000000000002</v>
      </c>
      <c r="BA117" s="118">
        <v>0.14899999999999999</v>
      </c>
      <c r="BB117" s="118">
        <v>0.50800000000000001</v>
      </c>
      <c r="BC117" s="118">
        <v>0.58499999999999996</v>
      </c>
      <c r="BD117" s="118">
        <v>0.161</v>
      </c>
      <c r="BE117" s="118">
        <v>0.65100000000000002</v>
      </c>
      <c r="BF117" s="118">
        <v>0.77100000000000002</v>
      </c>
      <c r="BG117" s="118">
        <v>0.89500000000000002</v>
      </c>
      <c r="BH117" s="118">
        <v>1.38</v>
      </c>
      <c r="BI117" s="118">
        <v>2.13</v>
      </c>
      <c r="BJ117" s="118">
        <v>0.64</v>
      </c>
      <c r="BK117" s="118">
        <v>0.48699999999999999</v>
      </c>
      <c r="BL117" s="118">
        <v>0.57899999999999996</v>
      </c>
      <c r="BM117" s="118">
        <v>0.47899999999999998</v>
      </c>
      <c r="BN117" s="118"/>
      <c r="BO117" s="118"/>
      <c r="BP117" s="118"/>
      <c r="BQ117" s="118"/>
      <c r="BR117" s="118"/>
    </row>
    <row r="118" spans="1:70">
      <c r="A118" s="122">
        <v>42005</v>
      </c>
      <c r="B118" s="122" t="s">
        <v>536</v>
      </c>
      <c r="C118" s="122" t="s">
        <v>537</v>
      </c>
      <c r="D118" s="122" t="s">
        <v>538</v>
      </c>
      <c r="E118" s="122" t="s">
        <v>76</v>
      </c>
      <c r="F118" s="122" t="s">
        <v>1271</v>
      </c>
      <c r="G118" s="163" t="s">
        <v>1272</v>
      </c>
      <c r="H118" s="122">
        <v>8</v>
      </c>
      <c r="I118" s="122" t="s">
        <v>514</v>
      </c>
      <c r="J118" s="118">
        <v>103</v>
      </c>
      <c r="K118" s="118">
        <v>77.569999999999993</v>
      </c>
      <c r="L118" s="118">
        <v>15.56</v>
      </c>
      <c r="M118" s="118">
        <v>4.58</v>
      </c>
      <c r="N118" s="118">
        <v>0</v>
      </c>
      <c r="O118" s="118">
        <v>0</v>
      </c>
      <c r="P118" s="118">
        <v>0.03</v>
      </c>
      <c r="Q118" s="118">
        <v>0.06</v>
      </c>
      <c r="R118" s="118">
        <v>1.7</v>
      </c>
      <c r="S118" s="118"/>
      <c r="T118" s="118">
        <v>0.25</v>
      </c>
      <c r="U118" s="118"/>
      <c r="V118" s="118">
        <v>4.83</v>
      </c>
      <c r="W118" s="118"/>
      <c r="X118" s="118"/>
      <c r="Y118" s="118"/>
      <c r="Z118" s="118"/>
      <c r="AA118" s="118">
        <v>10</v>
      </c>
      <c r="AB118" s="118">
        <v>15.33</v>
      </c>
      <c r="AC118" s="118"/>
      <c r="AD118" s="118">
        <v>64</v>
      </c>
      <c r="AE118" s="118"/>
      <c r="AF118" s="118"/>
      <c r="AG118" s="118"/>
      <c r="AH118" s="118"/>
      <c r="AI118" s="118">
        <v>26.77</v>
      </c>
      <c r="AJ118" s="118">
        <v>0.06</v>
      </c>
      <c r="AK118" s="118">
        <v>0.76</v>
      </c>
      <c r="AL118" s="118">
        <v>24.75</v>
      </c>
      <c r="AM118" s="118">
        <v>0.02</v>
      </c>
      <c r="AN118" s="118">
        <v>180</v>
      </c>
      <c r="AO118" s="118">
        <v>344.47</v>
      </c>
      <c r="AP118" s="118">
        <v>71.03</v>
      </c>
      <c r="AQ118" s="118">
        <v>0.53</v>
      </c>
      <c r="AR118" s="118">
        <v>4.66</v>
      </c>
      <c r="AS118" s="118">
        <v>4.0999999999999996</v>
      </c>
      <c r="AT118" s="118">
        <v>1.1000000000000001</v>
      </c>
      <c r="AU118" s="118">
        <v>142.9</v>
      </c>
      <c r="AV118" s="124">
        <v>0.31</v>
      </c>
      <c r="AW118" s="124">
        <v>0.72299999999999998</v>
      </c>
      <c r="AX118" s="124">
        <v>1.2310000000000001</v>
      </c>
      <c r="AY118" s="124">
        <v>1.3779999999999999</v>
      </c>
      <c r="AZ118" s="124">
        <v>0.33</v>
      </c>
      <c r="BA118" s="124" t="s">
        <v>1098</v>
      </c>
      <c r="BB118" s="124">
        <v>0.63400000000000001</v>
      </c>
      <c r="BC118" s="124">
        <v>0.68600000000000005</v>
      </c>
      <c r="BD118" s="124" t="s">
        <v>1098</v>
      </c>
      <c r="BE118" s="124">
        <v>0.76300000000000001</v>
      </c>
      <c r="BF118" s="124">
        <v>0.97899999999999998</v>
      </c>
      <c r="BG118" s="124">
        <v>0.93200000000000005</v>
      </c>
      <c r="BH118" s="124">
        <v>1.5660000000000001</v>
      </c>
      <c r="BI118" s="124" t="s">
        <v>1098</v>
      </c>
      <c r="BJ118" s="124">
        <v>1.0429999999999999</v>
      </c>
      <c r="BK118" s="124">
        <v>0.65300000000000002</v>
      </c>
      <c r="BL118" s="124">
        <v>0.54400000000000004</v>
      </c>
      <c r="BM118" s="124">
        <v>0.373</v>
      </c>
      <c r="BN118" s="118"/>
      <c r="BO118" s="118"/>
      <c r="BP118" s="118"/>
      <c r="BQ118" s="118"/>
      <c r="BR118" s="118"/>
    </row>
    <row r="119" spans="1:70">
      <c r="A119" s="122">
        <v>42006</v>
      </c>
      <c r="B119" s="122" t="s">
        <v>540</v>
      </c>
      <c r="C119" s="122" t="s">
        <v>541</v>
      </c>
      <c r="D119" s="122" t="s">
        <v>542</v>
      </c>
      <c r="E119" s="122" t="s">
        <v>76</v>
      </c>
      <c r="F119" s="122" t="s">
        <v>543</v>
      </c>
      <c r="G119" s="163" t="s">
        <v>544</v>
      </c>
      <c r="H119" s="122">
        <v>8</v>
      </c>
      <c r="I119" s="122" t="s">
        <v>514</v>
      </c>
      <c r="J119" s="118">
        <v>130</v>
      </c>
      <c r="K119" s="118">
        <v>73.03</v>
      </c>
      <c r="L119" s="118">
        <v>17.52</v>
      </c>
      <c r="M119" s="118">
        <v>6.61</v>
      </c>
      <c r="N119" s="118">
        <v>0</v>
      </c>
      <c r="O119" s="118">
        <v>0</v>
      </c>
      <c r="P119" s="118">
        <v>0.03</v>
      </c>
      <c r="Q119" s="118">
        <v>0.18</v>
      </c>
      <c r="R119" s="118">
        <v>2.6</v>
      </c>
      <c r="S119" s="118"/>
      <c r="T119" s="118">
        <v>0.12</v>
      </c>
      <c r="U119" s="118">
        <v>5</v>
      </c>
      <c r="V119" s="118">
        <v>2.38</v>
      </c>
      <c r="W119" s="118">
        <v>0.5</v>
      </c>
      <c r="X119" s="118"/>
      <c r="Y119" s="118"/>
      <c r="Z119" s="118"/>
      <c r="AA119" s="118">
        <v>209</v>
      </c>
      <c r="AB119" s="118">
        <v>215.17</v>
      </c>
      <c r="AC119" s="118"/>
      <c r="AD119" s="118">
        <v>74</v>
      </c>
      <c r="AE119" s="118"/>
      <c r="AF119" s="118"/>
      <c r="AG119" s="118"/>
      <c r="AH119" s="118"/>
      <c r="AI119" s="118">
        <v>410</v>
      </c>
      <c r="AJ119" s="118">
        <v>0.04</v>
      </c>
      <c r="AK119" s="118">
        <v>1.21</v>
      </c>
      <c r="AL119" s="118">
        <v>53.06</v>
      </c>
      <c r="AM119" s="118"/>
      <c r="AN119" s="118">
        <v>390.28</v>
      </c>
      <c r="AO119" s="118">
        <v>213.84</v>
      </c>
      <c r="AP119" s="118"/>
      <c r="AQ119" s="118">
        <v>1.1299999999999999</v>
      </c>
      <c r="AR119" s="118"/>
      <c r="AS119" s="118"/>
      <c r="AT119" s="118"/>
      <c r="AU119" s="118"/>
      <c r="AV119" s="124"/>
      <c r="AW119" s="124"/>
      <c r="AX119" s="124"/>
      <c r="AY119" s="124"/>
      <c r="AZ119" s="124"/>
      <c r="BA119" s="124"/>
      <c r="BB119" s="124"/>
      <c r="BC119" s="124"/>
      <c r="BD119" s="124"/>
      <c r="BE119" s="124"/>
      <c r="BF119" s="124"/>
      <c r="BG119" s="124"/>
      <c r="BH119" s="124"/>
      <c r="BI119" s="124"/>
      <c r="BJ119" s="124"/>
      <c r="BK119" s="124"/>
      <c r="BL119" s="124"/>
      <c r="BM119" s="124"/>
      <c r="BN119" s="118"/>
      <c r="BO119" s="118"/>
      <c r="BP119" s="118"/>
      <c r="BQ119" s="118"/>
      <c r="BR119" s="118"/>
    </row>
    <row r="120" spans="1:70">
      <c r="A120" s="122">
        <v>42007</v>
      </c>
      <c r="B120" s="122" t="s">
        <v>545</v>
      </c>
      <c r="C120" s="122" t="s">
        <v>546</v>
      </c>
      <c r="D120" s="122" t="s">
        <v>547</v>
      </c>
      <c r="E120" s="122" t="s">
        <v>76</v>
      </c>
      <c r="F120" s="122">
        <v>90070</v>
      </c>
      <c r="G120" s="163" t="s">
        <v>548</v>
      </c>
      <c r="H120" s="122">
        <v>8</v>
      </c>
      <c r="I120" s="122" t="s">
        <v>514</v>
      </c>
      <c r="J120" s="118">
        <v>101</v>
      </c>
      <c r="K120" s="118">
        <v>78.39</v>
      </c>
      <c r="L120" s="118">
        <v>17.739999999999998</v>
      </c>
      <c r="M120" s="118">
        <v>3.3</v>
      </c>
      <c r="N120" s="118">
        <v>0</v>
      </c>
      <c r="O120" s="118">
        <v>0</v>
      </c>
      <c r="P120" s="118">
        <v>0.04</v>
      </c>
      <c r="Q120" s="118">
        <v>0.05</v>
      </c>
      <c r="R120" s="118">
        <v>2</v>
      </c>
      <c r="S120" s="118"/>
      <c r="T120" s="118">
        <v>0.24</v>
      </c>
      <c r="U120" s="118"/>
      <c r="V120" s="118">
        <v>1.2</v>
      </c>
      <c r="W120" s="118"/>
      <c r="X120" s="118"/>
      <c r="Y120" s="118"/>
      <c r="Z120" s="118"/>
      <c r="AA120" s="118"/>
      <c r="AB120" s="118"/>
      <c r="AC120" s="118"/>
      <c r="AD120" s="118"/>
      <c r="AE120" s="118"/>
      <c r="AF120" s="118"/>
      <c r="AG120" s="118"/>
      <c r="AH120" s="118"/>
      <c r="AI120" s="118">
        <v>103.82</v>
      </c>
      <c r="AJ120" s="118">
        <v>0.2</v>
      </c>
      <c r="AK120" s="118">
        <v>1.04</v>
      </c>
      <c r="AL120" s="118">
        <v>42.65</v>
      </c>
      <c r="AM120" s="118"/>
      <c r="AN120" s="118">
        <v>130.29</v>
      </c>
      <c r="AO120" s="118">
        <v>362.43</v>
      </c>
      <c r="AP120" s="118"/>
      <c r="AQ120" s="118">
        <v>0.31</v>
      </c>
      <c r="AR120" s="118">
        <v>1.01</v>
      </c>
      <c r="AS120" s="118">
        <v>0.85</v>
      </c>
      <c r="AT120" s="118">
        <v>0.48</v>
      </c>
      <c r="AU120" s="118">
        <v>38.94</v>
      </c>
      <c r="AV120" s="124"/>
      <c r="AW120" s="124"/>
      <c r="AX120" s="124"/>
      <c r="AY120" s="124"/>
      <c r="AZ120" s="124"/>
      <c r="BA120" s="124"/>
      <c r="BB120" s="124"/>
      <c r="BC120" s="124"/>
      <c r="BD120" s="124"/>
      <c r="BE120" s="124"/>
      <c r="BF120" s="124"/>
      <c r="BG120" s="124"/>
      <c r="BH120" s="124"/>
      <c r="BI120" s="124"/>
      <c r="BJ120" s="124"/>
      <c r="BK120" s="124"/>
      <c r="BL120" s="124"/>
      <c r="BM120" s="124"/>
      <c r="BN120" s="118"/>
      <c r="BO120" s="118"/>
      <c r="BP120" s="118"/>
      <c r="BQ120" s="118"/>
      <c r="BR120" s="118"/>
    </row>
    <row r="121" spans="1:70">
      <c r="A121" s="122">
        <v>42008</v>
      </c>
      <c r="B121" s="122" t="s">
        <v>549</v>
      </c>
      <c r="C121" s="122" t="s">
        <v>550</v>
      </c>
      <c r="D121" s="122" t="s">
        <v>551</v>
      </c>
      <c r="E121" s="122" t="s">
        <v>76</v>
      </c>
      <c r="F121" s="122" t="s">
        <v>1273</v>
      </c>
      <c r="G121" s="163" t="s">
        <v>1274</v>
      </c>
      <c r="H121" s="122">
        <v>8</v>
      </c>
      <c r="I121" s="122" t="s">
        <v>514</v>
      </c>
      <c r="J121" s="118">
        <v>123</v>
      </c>
      <c r="K121" s="118">
        <v>75.89</v>
      </c>
      <c r="L121" s="118">
        <v>17.2</v>
      </c>
      <c r="M121" s="118">
        <v>6.2</v>
      </c>
      <c r="N121" s="118">
        <v>0</v>
      </c>
      <c r="O121" s="118">
        <v>0</v>
      </c>
      <c r="P121" s="118">
        <v>0.02</v>
      </c>
      <c r="Q121" s="118">
        <v>0.02</v>
      </c>
      <c r="R121" s="118">
        <v>1.87</v>
      </c>
      <c r="S121" s="118"/>
      <c r="T121" s="118">
        <v>136</v>
      </c>
      <c r="U121" s="118">
        <v>8</v>
      </c>
      <c r="V121" s="118"/>
      <c r="W121" s="118">
        <v>0</v>
      </c>
      <c r="X121" s="118">
        <v>0.68</v>
      </c>
      <c r="Y121" s="118">
        <v>0.49</v>
      </c>
      <c r="Z121" s="118"/>
      <c r="AA121" s="118">
        <v>6.74</v>
      </c>
      <c r="AB121" s="118">
        <v>7</v>
      </c>
      <c r="AC121" s="118"/>
      <c r="AD121" s="118"/>
      <c r="AE121" s="118"/>
      <c r="AF121" s="118"/>
      <c r="AG121" s="118"/>
      <c r="AH121" s="118"/>
      <c r="AI121" s="118">
        <v>22</v>
      </c>
      <c r="AJ121" s="118">
        <v>0.02</v>
      </c>
      <c r="AK121" s="118">
        <v>2.1</v>
      </c>
      <c r="AL121" s="118">
        <v>28</v>
      </c>
      <c r="AM121" s="118"/>
      <c r="AN121" s="118">
        <v>187</v>
      </c>
      <c r="AO121" s="118">
        <v>225</v>
      </c>
      <c r="AP121" s="118"/>
      <c r="AQ121" s="118">
        <v>0.23</v>
      </c>
      <c r="AR121" s="118">
        <v>1.83</v>
      </c>
      <c r="AS121" s="118">
        <v>1.96</v>
      </c>
      <c r="AT121" s="118">
        <v>0.89</v>
      </c>
      <c r="AU121" s="118">
        <v>68.540000000000006</v>
      </c>
      <c r="AV121" s="124">
        <v>0.97911999999999999</v>
      </c>
      <c r="AW121" s="124">
        <v>1.0312300000000001</v>
      </c>
      <c r="AX121" s="124">
        <v>1.5717999999999999</v>
      </c>
      <c r="AY121" s="124">
        <v>1.3264800000000001</v>
      </c>
      <c r="AZ121" s="124">
        <v>0.92049999999999998</v>
      </c>
      <c r="BA121" s="124">
        <v>0.30610999999999999</v>
      </c>
      <c r="BB121" s="124">
        <v>1.1549700000000001</v>
      </c>
      <c r="BC121" s="124">
        <v>1.0182</v>
      </c>
      <c r="BD121" s="124">
        <v>0.25401000000000001</v>
      </c>
      <c r="BE121" s="124">
        <v>1.0355699999999999</v>
      </c>
      <c r="BF121" s="124">
        <v>0.71860000000000002</v>
      </c>
      <c r="BG121" s="124">
        <v>0.86188999999999993</v>
      </c>
      <c r="BH121" s="124">
        <v>2.04725</v>
      </c>
      <c r="BI121" s="124">
        <v>2.9851300000000003</v>
      </c>
      <c r="BJ121" s="124">
        <v>2.13192</v>
      </c>
      <c r="BK121" s="124">
        <v>1.67601</v>
      </c>
      <c r="BL121" s="124">
        <v>0.98563000000000001</v>
      </c>
      <c r="BM121" s="124">
        <v>0.73814000000000002</v>
      </c>
      <c r="BN121" s="118"/>
      <c r="BO121" s="118"/>
      <c r="BP121" s="118"/>
      <c r="BQ121" s="118"/>
      <c r="BR121" s="118"/>
    </row>
    <row r="122" spans="1:70">
      <c r="A122" s="122">
        <v>41001</v>
      </c>
      <c r="B122" s="122" t="s">
        <v>553</v>
      </c>
      <c r="C122" s="122" t="s">
        <v>554</v>
      </c>
      <c r="D122" s="122" t="s">
        <v>555</v>
      </c>
      <c r="E122" s="122" t="s">
        <v>82</v>
      </c>
      <c r="F122" s="122" t="s">
        <v>556</v>
      </c>
      <c r="G122" s="163" t="s">
        <v>557</v>
      </c>
      <c r="H122" s="122">
        <v>8</v>
      </c>
      <c r="I122" s="122" t="s">
        <v>514</v>
      </c>
      <c r="J122" s="118">
        <v>125.72</v>
      </c>
      <c r="K122" s="118">
        <v>74.209999999999994</v>
      </c>
      <c r="L122" s="118">
        <v>20.74</v>
      </c>
      <c r="M122" s="118">
        <v>4.6900000000000004</v>
      </c>
      <c r="N122" s="118"/>
      <c r="O122" s="118"/>
      <c r="P122" s="118">
        <v>7.0000000000000007E-2</v>
      </c>
      <c r="Q122" s="118">
        <v>7.0000000000000007E-2</v>
      </c>
      <c r="R122" s="118">
        <v>1.83</v>
      </c>
      <c r="S122" s="118">
        <v>1.72</v>
      </c>
      <c r="T122" s="118">
        <v>0.14000000000000001</v>
      </c>
      <c r="U122" s="118">
        <v>7.72</v>
      </c>
      <c r="V122" s="118"/>
      <c r="W122" s="118"/>
      <c r="X122" s="118">
        <v>0.48</v>
      </c>
      <c r="Y122" s="118">
        <v>1.2</v>
      </c>
      <c r="Z122" s="118"/>
      <c r="AA122" s="118">
        <v>8.94</v>
      </c>
      <c r="AB122" s="125">
        <f>AA122+1/12*(AD122)+1/24*(AC122)+1/24*(AG122)</f>
        <v>8.94</v>
      </c>
      <c r="AC122" s="118"/>
      <c r="AD122" s="118"/>
      <c r="AE122" s="118"/>
      <c r="AF122" s="118"/>
      <c r="AG122" s="118"/>
      <c r="AH122" s="118"/>
      <c r="AI122" s="118">
        <v>29.18</v>
      </c>
      <c r="AJ122" s="118">
        <v>0.16</v>
      </c>
      <c r="AK122" s="118">
        <v>1.67</v>
      </c>
      <c r="AL122" s="118">
        <v>37.14</v>
      </c>
      <c r="AM122" s="118">
        <v>0.04</v>
      </c>
      <c r="AN122" s="118">
        <v>169</v>
      </c>
      <c r="AO122" s="118">
        <v>157</v>
      </c>
      <c r="AP122" s="118">
        <v>30.02</v>
      </c>
      <c r="AQ122" s="118">
        <v>0.93</v>
      </c>
      <c r="AR122" s="118">
        <v>2.9289999999999998</v>
      </c>
      <c r="AS122" s="118">
        <v>0.93200000000000005</v>
      </c>
      <c r="AT122" s="118">
        <v>0.374</v>
      </c>
      <c r="AU122" s="118">
        <v>68.88</v>
      </c>
      <c r="AV122" s="118">
        <v>4.9400000000000004</v>
      </c>
      <c r="AW122" s="118">
        <v>4.8899999999999997</v>
      </c>
      <c r="AX122" s="118">
        <v>8.27</v>
      </c>
      <c r="AY122" s="118">
        <v>5.84</v>
      </c>
      <c r="AZ122" s="118">
        <v>3.12</v>
      </c>
      <c r="BA122" s="118">
        <v>2.0099999999999998</v>
      </c>
      <c r="BB122" s="118">
        <v>4.7300000000000004</v>
      </c>
      <c r="BC122" s="118">
        <v>4.6399999999999997</v>
      </c>
      <c r="BD122" s="118">
        <v>1.22</v>
      </c>
      <c r="BE122" s="118">
        <v>5.54</v>
      </c>
      <c r="BF122" s="118">
        <v>5.67</v>
      </c>
      <c r="BG122" s="118">
        <v>5.74</v>
      </c>
      <c r="BH122" s="118">
        <v>11.43</v>
      </c>
      <c r="BI122" s="118">
        <v>14.7</v>
      </c>
      <c r="BJ122" s="118">
        <v>5.36</v>
      </c>
      <c r="BK122" s="118">
        <v>3.58</v>
      </c>
      <c r="BL122" s="118">
        <v>4.07</v>
      </c>
      <c r="BM122" s="118">
        <v>4.26</v>
      </c>
      <c r="BN122" s="118"/>
      <c r="BO122" s="118"/>
      <c r="BP122" s="118"/>
      <c r="BQ122" s="118"/>
      <c r="BR122" s="118"/>
    </row>
    <row r="123" spans="1:70">
      <c r="A123" s="122">
        <v>41002</v>
      </c>
      <c r="B123" s="122" t="s">
        <v>558</v>
      </c>
      <c r="C123" s="122" t="s">
        <v>559</v>
      </c>
      <c r="D123" s="122" t="s">
        <v>560</v>
      </c>
      <c r="E123" s="122" t="s">
        <v>76</v>
      </c>
      <c r="F123" s="122" t="s">
        <v>1275</v>
      </c>
      <c r="G123" s="163" t="s">
        <v>1276</v>
      </c>
      <c r="H123" s="122">
        <v>8</v>
      </c>
      <c r="I123" s="122" t="s">
        <v>514</v>
      </c>
      <c r="J123" s="118">
        <v>86</v>
      </c>
      <c r="K123" s="118">
        <v>78.53</v>
      </c>
      <c r="L123" s="118">
        <v>18.809999999999999</v>
      </c>
      <c r="M123" s="118">
        <v>1.25</v>
      </c>
      <c r="N123" s="118">
        <v>0</v>
      </c>
      <c r="O123" s="118">
        <v>0</v>
      </c>
      <c r="P123" s="118"/>
      <c r="Q123" s="118"/>
      <c r="R123" s="118"/>
      <c r="S123" s="118"/>
      <c r="T123" s="118"/>
      <c r="U123" s="118"/>
      <c r="V123" s="118"/>
      <c r="W123" s="118"/>
      <c r="X123" s="118"/>
      <c r="Y123" s="118"/>
      <c r="Z123" s="118"/>
      <c r="AA123" s="118">
        <v>1</v>
      </c>
      <c r="AB123" s="118">
        <v>1.56</v>
      </c>
      <c r="AC123" s="118"/>
      <c r="AD123" s="118">
        <v>6.73</v>
      </c>
      <c r="AE123" s="118"/>
      <c r="AF123" s="118"/>
      <c r="AG123" s="118"/>
      <c r="AH123" s="118"/>
      <c r="AI123" s="118">
        <v>15.52</v>
      </c>
      <c r="AJ123" s="118">
        <v>0.56999999999999995</v>
      </c>
      <c r="AK123" s="118">
        <v>0.55000000000000004</v>
      </c>
      <c r="AL123" s="118">
        <v>18.899999999999999</v>
      </c>
      <c r="AM123" s="118">
        <v>0.02</v>
      </c>
      <c r="AN123" s="118">
        <v>140.84</v>
      </c>
      <c r="AO123" s="118">
        <v>375.3</v>
      </c>
      <c r="AP123" s="118">
        <v>19.920000000000002</v>
      </c>
      <c r="AQ123" s="118">
        <v>1.06</v>
      </c>
      <c r="AR123" s="118"/>
      <c r="AS123" s="118"/>
      <c r="AT123" s="118"/>
      <c r="AU123" s="118"/>
      <c r="AV123" s="124"/>
      <c r="AW123" s="124"/>
      <c r="AX123" s="124"/>
      <c r="AY123" s="124"/>
      <c r="AZ123" s="124"/>
      <c r="BA123" s="124"/>
      <c r="BB123" s="124"/>
      <c r="BC123" s="124"/>
      <c r="BD123" s="124"/>
      <c r="BE123" s="124"/>
      <c r="BF123" s="124"/>
      <c r="BG123" s="124"/>
      <c r="BH123" s="124"/>
      <c r="BI123" s="124"/>
      <c r="BJ123" s="124"/>
      <c r="BK123" s="124"/>
      <c r="BL123" s="124"/>
      <c r="BM123" s="124"/>
      <c r="BN123" s="118"/>
      <c r="BO123" s="118"/>
      <c r="BP123" s="118"/>
      <c r="BQ123" s="118"/>
      <c r="BR123" s="118"/>
    </row>
    <row r="124" spans="1:70">
      <c r="A124" s="122">
        <v>41003</v>
      </c>
      <c r="B124" s="122" t="s">
        <v>563</v>
      </c>
      <c r="C124" s="122" t="s">
        <v>564</v>
      </c>
      <c r="D124" s="122" t="s">
        <v>565</v>
      </c>
      <c r="E124" s="122" t="s">
        <v>76</v>
      </c>
      <c r="F124" s="122" t="s">
        <v>1277</v>
      </c>
      <c r="G124" s="163" t="s">
        <v>1278</v>
      </c>
      <c r="H124" s="122">
        <v>8</v>
      </c>
      <c r="I124" s="122" t="s">
        <v>514</v>
      </c>
      <c r="J124" s="118">
        <v>110</v>
      </c>
      <c r="K124" s="118">
        <v>76.209999999999994</v>
      </c>
      <c r="L124" s="118">
        <v>20.8</v>
      </c>
      <c r="M124" s="118">
        <v>3.03</v>
      </c>
      <c r="N124" s="118">
        <v>0</v>
      </c>
      <c r="O124" s="118">
        <v>0</v>
      </c>
      <c r="P124" s="118">
        <v>0.97</v>
      </c>
      <c r="Q124" s="118">
        <v>0.09</v>
      </c>
      <c r="R124" s="118">
        <v>3.1</v>
      </c>
      <c r="S124" s="118">
        <v>0.78</v>
      </c>
      <c r="T124" s="118">
        <v>0.11</v>
      </c>
      <c r="U124" s="118">
        <v>24</v>
      </c>
      <c r="V124" s="118"/>
      <c r="W124" s="118"/>
      <c r="X124" s="118">
        <v>0.83</v>
      </c>
      <c r="Y124" s="118">
        <v>0.71</v>
      </c>
      <c r="Z124" s="118"/>
      <c r="AA124" s="118">
        <v>2.0299999999999998</v>
      </c>
      <c r="AB124" s="118">
        <v>2.0299999999999998</v>
      </c>
      <c r="AC124" s="118"/>
      <c r="AD124" s="118"/>
      <c r="AE124" s="118"/>
      <c r="AF124" s="118"/>
      <c r="AG124" s="118"/>
      <c r="AH124" s="118"/>
      <c r="AI124" s="118">
        <v>19.3</v>
      </c>
      <c r="AJ124" s="118">
        <v>0.11</v>
      </c>
      <c r="AK124" s="118">
        <v>0.49</v>
      </c>
      <c r="AL124" s="118">
        <v>35.880000000000003</v>
      </c>
      <c r="AM124" s="118">
        <v>0.1</v>
      </c>
      <c r="AN124" s="118">
        <v>350</v>
      </c>
      <c r="AO124" s="118">
        <v>340.51</v>
      </c>
      <c r="AP124" s="118">
        <v>20.85</v>
      </c>
      <c r="AQ124" s="118">
        <v>1.4</v>
      </c>
      <c r="AR124" s="118">
        <v>1.08</v>
      </c>
      <c r="AS124" s="118">
        <v>1.1599999999999999</v>
      </c>
      <c r="AT124" s="118">
        <v>0.44</v>
      </c>
      <c r="AU124" s="118">
        <v>50</v>
      </c>
      <c r="AV124" s="124">
        <v>0.48299999999999998</v>
      </c>
      <c r="AW124" s="124">
        <v>0.76200000000000001</v>
      </c>
      <c r="AX124" s="124">
        <v>1.4930000000000001</v>
      </c>
      <c r="AY124" s="124">
        <v>1.5980000000000001</v>
      </c>
      <c r="AZ124" s="124">
        <v>0.67600000000000005</v>
      </c>
      <c r="BA124" s="124">
        <v>0.14499999999999999</v>
      </c>
      <c r="BB124" s="124">
        <v>0.82</v>
      </c>
      <c r="BC124" s="124">
        <v>0.89700000000000002</v>
      </c>
      <c r="BD124" s="124">
        <v>0.29599999999999999</v>
      </c>
      <c r="BE124" s="124">
        <v>0.94199999999999995</v>
      </c>
      <c r="BF124" s="124">
        <v>2.2200000000000002</v>
      </c>
      <c r="BG124" s="124">
        <v>1.2749999999999999</v>
      </c>
      <c r="BH124" s="124">
        <v>1.9019999999999999</v>
      </c>
      <c r="BI124" s="124">
        <v>3.4910000000000001</v>
      </c>
      <c r="BJ124" s="124">
        <v>1.415</v>
      </c>
      <c r="BK124" s="124">
        <v>0.89400000000000002</v>
      </c>
      <c r="BL124" s="124">
        <v>0.81</v>
      </c>
      <c r="BM124" s="124">
        <v>0.60899999999999999</v>
      </c>
      <c r="BN124" s="118"/>
      <c r="BO124" s="118"/>
      <c r="BP124" s="118"/>
      <c r="BQ124" s="118"/>
      <c r="BR124" s="118"/>
    </row>
    <row r="125" spans="1:70">
      <c r="A125" s="122">
        <v>41004</v>
      </c>
      <c r="B125" s="122" t="s">
        <v>567</v>
      </c>
      <c r="C125" s="122" t="s">
        <v>568</v>
      </c>
      <c r="D125" s="122" t="s">
        <v>569</v>
      </c>
      <c r="E125" s="122" t="s">
        <v>76</v>
      </c>
      <c r="F125" s="122">
        <v>90016</v>
      </c>
      <c r="G125" s="163" t="s">
        <v>570</v>
      </c>
      <c r="H125" s="122">
        <v>8</v>
      </c>
      <c r="I125" s="122" t="s">
        <v>514</v>
      </c>
      <c r="J125" s="118">
        <v>95</v>
      </c>
      <c r="K125" s="118">
        <v>73.680000000000007</v>
      </c>
      <c r="L125" s="118">
        <v>17.27</v>
      </c>
      <c r="M125" s="118">
        <v>2.83</v>
      </c>
      <c r="N125" s="118">
        <v>0</v>
      </c>
      <c r="O125" s="118">
        <v>0</v>
      </c>
      <c r="P125" s="118">
        <v>0.03</v>
      </c>
      <c r="Q125" s="118">
        <v>0.06</v>
      </c>
      <c r="R125" s="118">
        <v>1.74</v>
      </c>
      <c r="S125" s="118"/>
      <c r="T125" s="118">
        <v>0.28999999999999998</v>
      </c>
      <c r="U125" s="118"/>
      <c r="V125" s="118"/>
      <c r="W125" s="118"/>
      <c r="X125" s="118"/>
      <c r="Y125" s="118"/>
      <c r="Z125" s="118"/>
      <c r="AA125" s="118"/>
      <c r="AB125" s="118"/>
      <c r="AC125" s="118"/>
      <c r="AD125" s="118"/>
      <c r="AE125" s="118"/>
      <c r="AF125" s="118"/>
      <c r="AG125" s="118"/>
      <c r="AH125" s="118"/>
      <c r="AI125" s="118">
        <v>266.67</v>
      </c>
      <c r="AJ125" s="118">
        <v>0.09</v>
      </c>
      <c r="AK125" s="118">
        <v>1.21</v>
      </c>
      <c r="AL125" s="118">
        <v>18.41</v>
      </c>
      <c r="AM125" s="118"/>
      <c r="AN125" s="118">
        <v>266</v>
      </c>
      <c r="AO125" s="118">
        <v>352.89</v>
      </c>
      <c r="AP125" s="118"/>
      <c r="AQ125" s="118">
        <v>1.25</v>
      </c>
      <c r="AR125" s="118">
        <v>1.1499999999999999</v>
      </c>
      <c r="AS125" s="118">
        <v>1.1599999999999999</v>
      </c>
      <c r="AT125" s="118">
        <v>0.99</v>
      </c>
      <c r="AU125" s="118">
        <v>46.75</v>
      </c>
      <c r="AV125" s="124"/>
      <c r="AW125" s="124"/>
      <c r="AX125" s="124"/>
      <c r="AY125" s="124"/>
      <c r="AZ125" s="124"/>
      <c r="BA125" s="124"/>
      <c r="BB125" s="124"/>
      <c r="BC125" s="124"/>
      <c r="BD125" s="124"/>
      <c r="BE125" s="124"/>
      <c r="BF125" s="124"/>
      <c r="BG125" s="124"/>
      <c r="BH125" s="124"/>
      <c r="BI125" s="124"/>
      <c r="BJ125" s="124"/>
      <c r="BK125" s="124"/>
      <c r="BL125" s="124"/>
      <c r="BM125" s="124"/>
      <c r="BN125" s="118"/>
      <c r="BO125" s="118"/>
      <c r="BP125" s="118"/>
      <c r="BQ125" s="118"/>
      <c r="BR125" s="118"/>
    </row>
    <row r="126" spans="1:70">
      <c r="A126" s="122">
        <v>41005</v>
      </c>
      <c r="B126" s="122" t="s">
        <v>571</v>
      </c>
      <c r="C126" s="122" t="s">
        <v>572</v>
      </c>
      <c r="D126" s="122" t="s">
        <v>573</v>
      </c>
      <c r="E126" s="122" t="s">
        <v>76</v>
      </c>
      <c r="F126" s="122">
        <v>90008</v>
      </c>
      <c r="G126" s="163" t="s">
        <v>574</v>
      </c>
      <c r="H126" s="122">
        <v>8</v>
      </c>
      <c r="I126" s="122" t="s">
        <v>514</v>
      </c>
      <c r="J126" s="118">
        <v>139</v>
      </c>
      <c r="K126" s="118">
        <v>71.59</v>
      </c>
      <c r="L126" s="118">
        <v>17.600000000000001</v>
      </c>
      <c r="M126" s="118">
        <v>7.65</v>
      </c>
      <c r="N126" s="118">
        <v>0</v>
      </c>
      <c r="O126" s="118">
        <v>0</v>
      </c>
      <c r="P126" s="118">
        <v>0.01</v>
      </c>
      <c r="Q126" s="118">
        <v>0.03</v>
      </c>
      <c r="R126" s="118">
        <v>0.3</v>
      </c>
      <c r="S126" s="118"/>
      <c r="T126" s="118">
        <v>0.26</v>
      </c>
      <c r="U126" s="118"/>
      <c r="V126" s="118">
        <v>4.01</v>
      </c>
      <c r="W126" s="118"/>
      <c r="X126" s="118"/>
      <c r="Y126" s="118"/>
      <c r="Z126" s="118"/>
      <c r="AA126" s="118">
        <v>57</v>
      </c>
      <c r="AB126" s="118">
        <v>59.07</v>
      </c>
      <c r="AC126" s="118"/>
      <c r="AD126" s="118">
        <v>24.85</v>
      </c>
      <c r="AE126" s="118"/>
      <c r="AF126" s="118"/>
      <c r="AG126" s="118"/>
      <c r="AH126" s="118"/>
      <c r="AI126" s="118">
        <v>967.33</v>
      </c>
      <c r="AJ126" s="118">
        <v>7.0000000000000007E-2</v>
      </c>
      <c r="AK126" s="118">
        <v>2.6</v>
      </c>
      <c r="AL126" s="118"/>
      <c r="AM126" s="118"/>
      <c r="AN126" s="118">
        <v>620</v>
      </c>
      <c r="AO126" s="118">
        <v>203</v>
      </c>
      <c r="AP126" s="118"/>
      <c r="AQ126" s="118"/>
      <c r="AR126" s="118"/>
      <c r="AS126" s="118"/>
      <c r="AT126" s="118"/>
      <c r="AU126" s="118"/>
      <c r="AV126" s="124"/>
      <c r="AW126" s="124"/>
      <c r="AX126" s="124"/>
      <c r="AY126" s="124"/>
      <c r="AZ126" s="124"/>
      <c r="BA126" s="124"/>
      <c r="BB126" s="124"/>
      <c r="BC126" s="124"/>
      <c r="BD126" s="124"/>
      <c r="BE126" s="124"/>
      <c r="BF126" s="124"/>
      <c r="BG126" s="124"/>
      <c r="BH126" s="124"/>
      <c r="BI126" s="124"/>
      <c r="BJ126" s="124"/>
      <c r="BK126" s="124"/>
      <c r="BL126" s="124"/>
      <c r="BM126" s="124"/>
      <c r="BN126" s="118"/>
      <c r="BO126" s="118"/>
      <c r="BP126" s="118"/>
      <c r="BQ126" s="118"/>
      <c r="BR126" s="118"/>
    </row>
    <row r="127" spans="1:70">
      <c r="A127" s="122">
        <v>41006</v>
      </c>
      <c r="B127" s="122" t="s">
        <v>575</v>
      </c>
      <c r="C127" s="122" t="s">
        <v>576</v>
      </c>
      <c r="D127" s="127" t="s">
        <v>1279</v>
      </c>
      <c r="E127" s="122" t="s">
        <v>103</v>
      </c>
      <c r="F127" s="122" t="s">
        <v>1280</v>
      </c>
      <c r="G127" s="163" t="s">
        <v>1281</v>
      </c>
      <c r="H127" s="122">
        <v>8</v>
      </c>
      <c r="I127" s="122" t="s">
        <v>514</v>
      </c>
      <c r="J127" s="118">
        <v>184</v>
      </c>
      <c r="K127" s="118">
        <v>68.3</v>
      </c>
      <c r="L127" s="118">
        <v>18.399999999999999</v>
      </c>
      <c r="M127" s="118">
        <v>11.7</v>
      </c>
      <c r="N127" s="118">
        <v>0</v>
      </c>
      <c r="O127" s="118">
        <v>0</v>
      </c>
      <c r="P127" s="118">
        <v>0.15</v>
      </c>
      <c r="Q127" s="118">
        <v>0.04</v>
      </c>
      <c r="R127" s="118">
        <v>3.5</v>
      </c>
      <c r="S127" s="118">
        <v>0.24</v>
      </c>
      <c r="T127" s="118">
        <v>6.7000000000000004E-2</v>
      </c>
      <c r="U127" s="118">
        <v>15</v>
      </c>
      <c r="V127" s="118">
        <v>3</v>
      </c>
      <c r="W127" s="118">
        <v>1.8</v>
      </c>
      <c r="X127" s="118">
        <v>23.3</v>
      </c>
      <c r="Y127" s="118">
        <v>4</v>
      </c>
      <c r="Z127" s="118">
        <v>0</v>
      </c>
      <c r="AA127" s="118">
        <v>1040</v>
      </c>
      <c r="AB127" s="118">
        <v>1040</v>
      </c>
      <c r="AC127" s="118">
        <v>0</v>
      </c>
      <c r="AD127" s="118">
        <v>0</v>
      </c>
      <c r="AE127" s="118">
        <v>0</v>
      </c>
      <c r="AF127" s="118">
        <v>0</v>
      </c>
      <c r="AG127" s="118">
        <v>0</v>
      </c>
      <c r="AH127" s="118">
        <v>0</v>
      </c>
      <c r="AI127" s="118">
        <v>20</v>
      </c>
      <c r="AJ127" s="118">
        <v>2.3E-2</v>
      </c>
      <c r="AK127" s="118">
        <v>0.5</v>
      </c>
      <c r="AL127" s="118">
        <v>20</v>
      </c>
      <c r="AM127" s="118">
        <v>3.5000000000000003E-2</v>
      </c>
      <c r="AN127" s="118">
        <v>216</v>
      </c>
      <c r="AO127" s="118">
        <v>272</v>
      </c>
      <c r="AP127" s="118">
        <v>6.5</v>
      </c>
      <c r="AQ127" s="118">
        <v>1.62</v>
      </c>
      <c r="AR127" s="118">
        <v>2.36</v>
      </c>
      <c r="AS127" s="118">
        <v>7.19</v>
      </c>
      <c r="AT127" s="118">
        <v>0.94699999999999995</v>
      </c>
      <c r="AU127" s="118">
        <v>126</v>
      </c>
      <c r="AV127" s="118">
        <v>0.54300000000000004</v>
      </c>
      <c r="AW127" s="118">
        <v>0.85</v>
      </c>
      <c r="AX127" s="118">
        <v>1.5</v>
      </c>
      <c r="AY127" s="118">
        <v>1.69</v>
      </c>
      <c r="AZ127" s="118">
        <v>0.54600000000000004</v>
      </c>
      <c r="BA127" s="118">
        <v>0.19800000000000001</v>
      </c>
      <c r="BB127" s="118">
        <v>0.72</v>
      </c>
      <c r="BC127" s="118">
        <v>0.80900000000000005</v>
      </c>
      <c r="BD127" s="118">
        <v>0.20699999999999999</v>
      </c>
      <c r="BE127" s="118">
        <v>0.95</v>
      </c>
      <c r="BF127" s="118">
        <v>1.1200000000000001</v>
      </c>
      <c r="BG127" s="118">
        <v>1.1000000000000001</v>
      </c>
      <c r="BH127" s="118">
        <v>1.89</v>
      </c>
      <c r="BI127" s="118">
        <v>2.75</v>
      </c>
      <c r="BJ127" s="118">
        <v>0.88500000000000001</v>
      </c>
      <c r="BK127" s="118">
        <v>0.65200000000000002</v>
      </c>
      <c r="BL127" s="118">
        <v>0.753</v>
      </c>
      <c r="BM127" s="118">
        <v>0.623</v>
      </c>
      <c r="BN127" s="118"/>
      <c r="BO127" s="118"/>
      <c r="BP127" s="118"/>
      <c r="BQ127" s="118"/>
      <c r="BR127" s="118"/>
    </row>
    <row r="128" spans="1:70">
      <c r="A128" s="122">
        <v>43004</v>
      </c>
      <c r="B128" s="122" t="s">
        <v>578</v>
      </c>
      <c r="C128" s="122" t="s">
        <v>579</v>
      </c>
      <c r="D128" s="122"/>
      <c r="E128" s="122" t="s">
        <v>103</v>
      </c>
      <c r="F128" s="122" t="s">
        <v>1282</v>
      </c>
      <c r="G128" s="163" t="s">
        <v>1283</v>
      </c>
      <c r="H128" s="122">
        <v>8</v>
      </c>
      <c r="I128" s="122" t="s">
        <v>514</v>
      </c>
      <c r="J128" s="118">
        <v>107</v>
      </c>
      <c r="K128" s="118">
        <v>76.3</v>
      </c>
      <c r="L128" s="118">
        <v>18.600000000000001</v>
      </c>
      <c r="M128" s="118">
        <v>3.6</v>
      </c>
      <c r="N128" s="118">
        <v>0</v>
      </c>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v>3.9</v>
      </c>
      <c r="AL128" s="118"/>
      <c r="AM128" s="118"/>
      <c r="AN128" s="118">
        <v>242</v>
      </c>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row>
    <row r="129" spans="1:70">
      <c r="A129" s="122">
        <v>41007</v>
      </c>
      <c r="B129" s="122" t="s">
        <v>580</v>
      </c>
      <c r="C129" s="122" t="s">
        <v>581</v>
      </c>
      <c r="D129" s="122"/>
      <c r="E129" s="122" t="s">
        <v>76</v>
      </c>
      <c r="F129" s="122" t="s">
        <v>1284</v>
      </c>
      <c r="G129" s="163" t="s">
        <v>1285</v>
      </c>
      <c r="H129" s="122">
        <v>8</v>
      </c>
      <c r="I129" s="122" t="s">
        <v>514</v>
      </c>
      <c r="J129" s="118">
        <v>318</v>
      </c>
      <c r="K129" s="118">
        <v>20.100000000000001</v>
      </c>
      <c r="L129" s="118">
        <v>60.2</v>
      </c>
      <c r="M129" s="118">
        <v>8.58</v>
      </c>
      <c r="N129" s="118">
        <v>0</v>
      </c>
      <c r="O129" s="118">
        <v>0</v>
      </c>
      <c r="P129" s="118">
        <v>0.13</v>
      </c>
      <c r="Q129" s="118">
        <v>0.5</v>
      </c>
      <c r="R129" s="118">
        <v>1.96</v>
      </c>
      <c r="S129" s="118"/>
      <c r="T129" s="118">
        <v>0.38</v>
      </c>
      <c r="U129" s="118">
        <v>14</v>
      </c>
      <c r="V129" s="118"/>
      <c r="W129" s="118"/>
      <c r="X129" s="118">
        <v>1.03</v>
      </c>
      <c r="Y129" s="118"/>
      <c r="Z129" s="118">
        <v>0.4</v>
      </c>
      <c r="AA129" s="118"/>
      <c r="AB129" s="118"/>
      <c r="AC129" s="118"/>
      <c r="AD129" s="118"/>
      <c r="AE129" s="118"/>
      <c r="AF129" s="118"/>
      <c r="AG129" s="118"/>
      <c r="AH129" s="118"/>
      <c r="AI129" s="118">
        <v>939</v>
      </c>
      <c r="AJ129" s="118">
        <v>0.42</v>
      </c>
      <c r="AK129" s="118">
        <v>2.96</v>
      </c>
      <c r="AL129" s="118">
        <v>181.16</v>
      </c>
      <c r="AM129" s="118">
        <v>0.05</v>
      </c>
      <c r="AN129" s="118">
        <v>612.23</v>
      </c>
      <c r="AO129" s="118">
        <v>706.37</v>
      </c>
      <c r="AP129" s="118">
        <v>148</v>
      </c>
      <c r="AQ129" s="118">
        <v>0.56999999999999995</v>
      </c>
      <c r="AR129" s="118"/>
      <c r="AS129" s="118"/>
      <c r="AT129" s="118"/>
      <c r="AU129" s="118"/>
      <c r="AV129" s="124"/>
      <c r="AW129" s="124"/>
      <c r="AX129" s="124"/>
      <c r="AY129" s="124"/>
      <c r="AZ129" s="124"/>
      <c r="BA129" s="124"/>
      <c r="BB129" s="124"/>
      <c r="BC129" s="124"/>
      <c r="BD129" s="124"/>
      <c r="BE129" s="124"/>
      <c r="BF129" s="124"/>
      <c r="BG129" s="124"/>
      <c r="BH129" s="124"/>
      <c r="BI129" s="124"/>
      <c r="BJ129" s="124"/>
      <c r="BK129" s="124"/>
      <c r="BL129" s="124"/>
      <c r="BM129" s="124"/>
      <c r="BN129" s="118"/>
      <c r="BO129" s="118"/>
      <c r="BP129" s="118"/>
      <c r="BQ129" s="118"/>
      <c r="BR129" s="118"/>
    </row>
    <row r="130" spans="1:70">
      <c r="A130" s="122">
        <v>44001</v>
      </c>
      <c r="B130" s="122" t="s">
        <v>584</v>
      </c>
      <c r="C130" s="122" t="s">
        <v>585</v>
      </c>
      <c r="D130" s="127" t="s">
        <v>1286</v>
      </c>
      <c r="E130" s="122" t="s">
        <v>76</v>
      </c>
      <c r="F130" s="122" t="s">
        <v>1839</v>
      </c>
      <c r="G130" s="163" t="s">
        <v>1289</v>
      </c>
      <c r="H130" s="122">
        <v>8</v>
      </c>
      <c r="I130" s="122" t="s">
        <v>514</v>
      </c>
      <c r="J130" s="118">
        <v>102</v>
      </c>
      <c r="K130" s="118">
        <v>74.75</v>
      </c>
      <c r="L130" s="118">
        <v>20.95</v>
      </c>
      <c r="M130" s="118">
        <v>2.04</v>
      </c>
      <c r="N130" s="118">
        <v>0</v>
      </c>
      <c r="O130" s="118">
        <v>0</v>
      </c>
      <c r="P130" s="118"/>
      <c r="Q130" s="118"/>
      <c r="R130" s="118"/>
      <c r="S130" s="118">
        <v>1.6</v>
      </c>
      <c r="T130" s="118"/>
      <c r="U130" s="118"/>
      <c r="V130" s="118"/>
      <c r="W130" s="118"/>
      <c r="X130" s="118"/>
      <c r="Y130" s="118"/>
      <c r="Z130" s="118"/>
      <c r="AA130" s="118">
        <v>1.57</v>
      </c>
      <c r="AB130" s="118">
        <v>2.48</v>
      </c>
      <c r="AC130" s="118"/>
      <c r="AD130" s="118">
        <v>10.96</v>
      </c>
      <c r="AE130" s="118"/>
      <c r="AF130" s="118"/>
      <c r="AG130" s="118"/>
      <c r="AH130" s="118"/>
      <c r="AI130" s="118">
        <v>18.25</v>
      </c>
      <c r="AJ130" s="118">
        <v>0.68</v>
      </c>
      <c r="AK130" s="118">
        <v>0.65</v>
      </c>
      <c r="AL130" s="118">
        <v>22.23</v>
      </c>
      <c r="AM130" s="118">
        <v>0.03</v>
      </c>
      <c r="AN130" s="118">
        <v>165.64</v>
      </c>
      <c r="AO130" s="118">
        <v>441.37</v>
      </c>
      <c r="AP130" s="118">
        <v>28.59</v>
      </c>
      <c r="AQ130" s="118">
        <v>1.25</v>
      </c>
      <c r="AR130" s="118">
        <v>0.82</v>
      </c>
      <c r="AS130" s="118">
        <v>0.76</v>
      </c>
      <c r="AT130" s="118">
        <v>0.18</v>
      </c>
      <c r="AU130" s="118">
        <v>148.63999999999999</v>
      </c>
      <c r="AV130" s="124"/>
      <c r="AW130" s="124"/>
      <c r="AX130" s="124"/>
      <c r="AY130" s="124"/>
      <c r="AZ130" s="124"/>
      <c r="BA130" s="124"/>
      <c r="BB130" s="124"/>
      <c r="BC130" s="124"/>
      <c r="BD130" s="124"/>
      <c r="BE130" s="124"/>
      <c r="BF130" s="124"/>
      <c r="BG130" s="124"/>
      <c r="BH130" s="124"/>
      <c r="BI130" s="124"/>
      <c r="BJ130" s="124"/>
      <c r="BK130" s="124"/>
      <c r="BL130" s="124"/>
      <c r="BM130" s="124"/>
      <c r="BN130" s="118"/>
      <c r="BO130" s="118"/>
      <c r="BP130" s="118"/>
      <c r="BQ130" s="118"/>
      <c r="BR130" s="118"/>
    </row>
    <row r="131" spans="1:70">
      <c r="A131" s="122">
        <v>45001</v>
      </c>
      <c r="B131" s="122" t="s">
        <v>593</v>
      </c>
      <c r="C131" s="122" t="s">
        <v>594</v>
      </c>
      <c r="D131" s="122"/>
      <c r="E131" s="122" t="s">
        <v>76</v>
      </c>
      <c r="F131" s="122" t="s">
        <v>1290</v>
      </c>
      <c r="G131" s="163" t="s">
        <v>1291</v>
      </c>
      <c r="H131" s="122">
        <v>8</v>
      </c>
      <c r="I131" s="122" t="s">
        <v>514</v>
      </c>
      <c r="J131" s="118">
        <v>146.24</v>
      </c>
      <c r="K131" s="118">
        <v>69.34</v>
      </c>
      <c r="L131" s="118">
        <v>24.68</v>
      </c>
      <c r="M131" s="118">
        <v>5.28</v>
      </c>
      <c r="N131" s="118">
        <v>0</v>
      </c>
      <c r="O131" s="118"/>
      <c r="P131" s="118">
        <v>0</v>
      </c>
      <c r="Q131" s="118">
        <v>0.19</v>
      </c>
      <c r="R131" s="118">
        <v>1.0900000000000001</v>
      </c>
      <c r="S131" s="118"/>
      <c r="T131" s="118">
        <v>148</v>
      </c>
      <c r="U131" s="118">
        <v>2059</v>
      </c>
      <c r="V131" s="118"/>
      <c r="W131" s="118"/>
      <c r="X131" s="118">
        <v>2.8</v>
      </c>
      <c r="Y131" s="118">
        <v>0.28000000000000003</v>
      </c>
      <c r="Z131" s="118"/>
      <c r="AA131" s="118">
        <v>2.5499999999999998</v>
      </c>
      <c r="AB131" s="118"/>
      <c r="AC131" s="118"/>
      <c r="AD131" s="118"/>
      <c r="AE131" s="118"/>
      <c r="AF131" s="118"/>
      <c r="AG131" s="118"/>
      <c r="AH131" s="118"/>
      <c r="AI131" s="118">
        <v>61.69</v>
      </c>
      <c r="AJ131" s="118">
        <v>0.08</v>
      </c>
      <c r="AK131" s="118">
        <v>6.65</v>
      </c>
      <c r="AL131" s="118">
        <v>59.93</v>
      </c>
      <c r="AM131" s="118">
        <v>0.5</v>
      </c>
      <c r="AN131" s="118">
        <v>445</v>
      </c>
      <c r="AO131" s="118">
        <v>252</v>
      </c>
      <c r="AP131" s="118">
        <v>43.57</v>
      </c>
      <c r="AQ131" s="118">
        <v>3.11</v>
      </c>
      <c r="AR131" s="118">
        <v>1.82</v>
      </c>
      <c r="AS131" s="118">
        <v>1.1299999999999999</v>
      </c>
      <c r="AT131" s="118">
        <v>1.44</v>
      </c>
      <c r="AU131" s="118">
        <v>269</v>
      </c>
      <c r="AV131" s="124">
        <v>1.12294</v>
      </c>
      <c r="AW131" s="124">
        <v>1.28583</v>
      </c>
      <c r="AX131" s="124">
        <v>1.98427</v>
      </c>
      <c r="AY131" s="124">
        <v>1.8164500000000001</v>
      </c>
      <c r="AZ131" s="124">
        <v>0.69103999999999999</v>
      </c>
      <c r="BA131" s="124">
        <v>0.40227999999999997</v>
      </c>
      <c r="BB131" s="124">
        <v>1.55484</v>
      </c>
      <c r="BC131" s="124">
        <v>1.28583</v>
      </c>
      <c r="BD131" s="124">
        <v>0.26161000000000001</v>
      </c>
      <c r="BE131" s="124">
        <v>1.27102</v>
      </c>
      <c r="BF131" s="124">
        <v>0.83417999999999992</v>
      </c>
      <c r="BG131" s="124">
        <v>1.6115999999999999</v>
      </c>
      <c r="BH131" s="124">
        <v>2.2977099999999999</v>
      </c>
      <c r="BI131" s="124">
        <v>3.0208300000000001</v>
      </c>
      <c r="BJ131" s="124">
        <v>1.3030999999999999</v>
      </c>
      <c r="BK131" s="124">
        <v>1.32778</v>
      </c>
      <c r="BL131" s="124">
        <v>1.1649</v>
      </c>
      <c r="BM131" s="124">
        <v>1.3746800000000001</v>
      </c>
      <c r="BN131" s="118"/>
      <c r="BO131" s="118"/>
      <c r="BP131" s="118"/>
      <c r="BQ131" s="118"/>
      <c r="BR131" s="118"/>
    </row>
    <row r="132" spans="1:70">
      <c r="A132" s="122">
        <v>44002</v>
      </c>
      <c r="B132" s="122" t="s">
        <v>598</v>
      </c>
      <c r="C132" s="122" t="s">
        <v>599</v>
      </c>
      <c r="D132" s="122" t="s">
        <v>600</v>
      </c>
      <c r="E132" s="122" t="s">
        <v>76</v>
      </c>
      <c r="F132" s="122" t="s">
        <v>1840</v>
      </c>
      <c r="G132" s="163" t="s">
        <v>1294</v>
      </c>
      <c r="H132" s="122">
        <v>8</v>
      </c>
      <c r="I132" s="122" t="s">
        <v>514</v>
      </c>
      <c r="J132" s="118">
        <v>60.93</v>
      </c>
      <c r="K132" s="118">
        <v>80.58</v>
      </c>
      <c r="L132" s="118">
        <v>13.23</v>
      </c>
      <c r="M132" s="118">
        <v>0.89</v>
      </c>
      <c r="N132" s="118">
        <v>0</v>
      </c>
      <c r="O132" s="118">
        <v>0</v>
      </c>
      <c r="P132" s="118">
        <v>0.01</v>
      </c>
      <c r="Q132" s="118">
        <v>0.11</v>
      </c>
      <c r="R132" s="118">
        <v>1.54</v>
      </c>
      <c r="S132" s="118">
        <v>0.79</v>
      </c>
      <c r="T132" s="118">
        <v>202</v>
      </c>
      <c r="U132" s="118">
        <v>1783</v>
      </c>
      <c r="V132" s="118">
        <v>13.5</v>
      </c>
      <c r="W132" s="118">
        <v>0</v>
      </c>
      <c r="X132" s="118">
        <v>1.2</v>
      </c>
      <c r="Y132" s="118">
        <v>4.8499999999999996</v>
      </c>
      <c r="Z132" s="118"/>
      <c r="AA132" s="118">
        <v>12.55</v>
      </c>
      <c r="AB132" s="118"/>
      <c r="AC132" s="118"/>
      <c r="AD132" s="118"/>
      <c r="AE132" s="118"/>
      <c r="AF132" s="118"/>
      <c r="AG132" s="118"/>
      <c r="AH132" s="118"/>
      <c r="AI132" s="118">
        <v>199</v>
      </c>
      <c r="AJ132" s="118">
        <v>0.52</v>
      </c>
      <c r="AK132" s="118">
        <v>1.1000000000000001</v>
      </c>
      <c r="AL132" s="118">
        <v>66.77</v>
      </c>
      <c r="AM132" s="118">
        <v>0.33</v>
      </c>
      <c r="AN132" s="118">
        <v>208</v>
      </c>
      <c r="AO132" s="118">
        <v>286</v>
      </c>
      <c r="AP132" s="118">
        <v>34.799999999999997</v>
      </c>
      <c r="AQ132" s="118">
        <v>2.4900000000000002</v>
      </c>
      <c r="AR132" s="118">
        <v>0.21</v>
      </c>
      <c r="AS132" s="118">
        <v>0.14000000000000001</v>
      </c>
      <c r="AT132" s="118">
        <v>0.26</v>
      </c>
      <c r="AU132" s="118">
        <v>52.91</v>
      </c>
      <c r="AV132" s="124">
        <v>0.51068000000000002</v>
      </c>
      <c r="AW132" s="124">
        <v>0.49348000000000003</v>
      </c>
      <c r="AX132" s="124">
        <v>0.68664000000000003</v>
      </c>
      <c r="AY132" s="124">
        <v>0.90228999999999993</v>
      </c>
      <c r="AZ132" s="124">
        <v>0.65752999999999995</v>
      </c>
      <c r="BA132" s="124">
        <v>1.75562</v>
      </c>
      <c r="BB132" s="124">
        <v>0.52125999999999995</v>
      </c>
      <c r="BC132" s="124">
        <v>0.45379000000000003</v>
      </c>
      <c r="BD132" s="124">
        <v>0.12304000000000001</v>
      </c>
      <c r="BE132" s="124">
        <v>0.52390999999999999</v>
      </c>
      <c r="BF132" s="124">
        <v>0.38632</v>
      </c>
      <c r="BG132" s="124">
        <v>0.69722000000000006</v>
      </c>
      <c r="BH132" s="124">
        <v>0.26856999999999998</v>
      </c>
      <c r="BI132" s="124">
        <v>1.21055</v>
      </c>
      <c r="BJ132" s="124">
        <v>1.1139700000000001</v>
      </c>
      <c r="BK132" s="124">
        <v>1.02268</v>
      </c>
      <c r="BL132" s="124">
        <v>0.50273999999999996</v>
      </c>
      <c r="BM132" s="124">
        <v>0.68398999999999999</v>
      </c>
      <c r="BN132" s="118"/>
      <c r="BO132" s="118"/>
      <c r="BP132" s="118"/>
      <c r="BQ132" s="118"/>
      <c r="BR132" s="118"/>
    </row>
    <row r="133" spans="1:70">
      <c r="A133" s="122">
        <v>51001</v>
      </c>
      <c r="B133" s="122" t="s">
        <v>602</v>
      </c>
      <c r="C133" s="122" t="s">
        <v>603</v>
      </c>
      <c r="D133" s="122" t="s">
        <v>604</v>
      </c>
      <c r="E133" s="122" t="s">
        <v>76</v>
      </c>
      <c r="F133" s="122" t="s">
        <v>1841</v>
      </c>
      <c r="G133" s="163" t="s">
        <v>1297</v>
      </c>
      <c r="H133" s="122">
        <v>8</v>
      </c>
      <c r="I133" s="122" t="s">
        <v>606</v>
      </c>
      <c r="J133" s="118">
        <v>181.43</v>
      </c>
      <c r="K133" s="118">
        <v>67.930000000000007</v>
      </c>
      <c r="L133" s="118">
        <v>19.010000000000002</v>
      </c>
      <c r="M133" s="118">
        <v>11.71</v>
      </c>
      <c r="N133" s="118">
        <v>0</v>
      </c>
      <c r="O133" s="118"/>
      <c r="P133" s="118">
        <v>0.12</v>
      </c>
      <c r="Q133" s="118">
        <v>0.08</v>
      </c>
      <c r="R133" s="118">
        <v>3.72</v>
      </c>
      <c r="S133" s="118">
        <v>0.82</v>
      </c>
      <c r="T133" s="118">
        <v>0.45</v>
      </c>
      <c r="U133" s="118">
        <v>10.17</v>
      </c>
      <c r="V133" s="118"/>
      <c r="W133" s="118"/>
      <c r="X133" s="118">
        <v>0.9</v>
      </c>
      <c r="Y133" s="118">
        <v>0.55000000000000004</v>
      </c>
      <c r="Z133" s="118"/>
      <c r="AA133" s="118">
        <v>20.12</v>
      </c>
      <c r="AB133" s="118"/>
      <c r="AC133" s="118"/>
      <c r="AD133" s="118"/>
      <c r="AE133" s="118"/>
      <c r="AF133" s="118"/>
      <c r="AG133" s="118"/>
      <c r="AH133" s="118"/>
      <c r="AI133" s="118">
        <v>22.66</v>
      </c>
      <c r="AJ133" s="118">
        <v>0.23</v>
      </c>
      <c r="AK133" s="118">
        <v>1.08</v>
      </c>
      <c r="AL133" s="118">
        <v>24</v>
      </c>
      <c r="AM133" s="118">
        <v>0.03</v>
      </c>
      <c r="AN133" s="118">
        <v>234.75</v>
      </c>
      <c r="AO133" s="118">
        <v>325.25</v>
      </c>
      <c r="AP133" s="118">
        <v>20.22</v>
      </c>
      <c r="AQ133" s="118">
        <v>1.82</v>
      </c>
      <c r="AR133" s="118">
        <v>0.56000000000000005</v>
      </c>
      <c r="AS133" s="118">
        <v>0.68</v>
      </c>
      <c r="AT133" s="118">
        <v>0.37</v>
      </c>
      <c r="AU133" s="118">
        <v>75.3</v>
      </c>
      <c r="AV133" s="124">
        <v>0.89573000000000003</v>
      </c>
      <c r="AW133" s="124">
        <v>0.59921000000000002</v>
      </c>
      <c r="AX133" s="124">
        <v>1.47451</v>
      </c>
      <c r="AY133" s="124">
        <v>1.68929</v>
      </c>
      <c r="AZ133" s="124">
        <v>1.1808399999999999</v>
      </c>
      <c r="BA133" s="124">
        <v>1.73824</v>
      </c>
      <c r="BB133" s="124">
        <v>1.3737699999999999</v>
      </c>
      <c r="BC133" s="124">
        <v>1.0074000000000001</v>
      </c>
      <c r="BD133" s="124">
        <v>0.25898000000000004</v>
      </c>
      <c r="BE133" s="124">
        <v>0.98838999999999999</v>
      </c>
      <c r="BF133" s="124">
        <v>0.49562</v>
      </c>
      <c r="BG133" s="124">
        <v>2.9699200000000001</v>
      </c>
      <c r="BH133" s="124">
        <v>0.83157999999999999</v>
      </c>
      <c r="BI133" s="124">
        <v>0.21431</v>
      </c>
      <c r="BJ133" s="124">
        <v>0.86578999999999995</v>
      </c>
      <c r="BK133" s="124">
        <v>0.9418200000000001</v>
      </c>
      <c r="BL133" s="124">
        <v>0.90666000000000002</v>
      </c>
      <c r="BM133" s="124">
        <v>0.75602000000000003</v>
      </c>
      <c r="BN133" s="118"/>
      <c r="BO133" s="118"/>
      <c r="BP133" s="118"/>
      <c r="BQ133" s="118"/>
      <c r="BR133" s="118"/>
    </row>
    <row r="134" spans="1:70">
      <c r="A134" s="122">
        <v>52001</v>
      </c>
      <c r="B134" s="122" t="s">
        <v>607</v>
      </c>
      <c r="C134" s="122" t="s">
        <v>608</v>
      </c>
      <c r="D134" s="122" t="s">
        <v>609</v>
      </c>
      <c r="E134" s="122" t="s">
        <v>76</v>
      </c>
      <c r="F134" s="122" t="s">
        <v>1842</v>
      </c>
      <c r="G134" s="163" t="s">
        <v>1299</v>
      </c>
      <c r="H134" s="122">
        <v>7</v>
      </c>
      <c r="I134" s="122" t="s">
        <v>606</v>
      </c>
      <c r="J134" s="118">
        <v>119</v>
      </c>
      <c r="K134" s="118">
        <v>73.599999999999994</v>
      </c>
      <c r="L134" s="118">
        <v>21.5</v>
      </c>
      <c r="M134" s="118">
        <v>3.5</v>
      </c>
      <c r="N134" s="118">
        <v>0</v>
      </c>
      <c r="O134" s="118">
        <v>0</v>
      </c>
      <c r="P134" s="118">
        <v>0.06</v>
      </c>
      <c r="Q134" s="118">
        <v>0.14000000000000001</v>
      </c>
      <c r="R134" s="118">
        <v>5.33</v>
      </c>
      <c r="S134" s="118">
        <v>1.01</v>
      </c>
      <c r="T134" s="118">
        <v>0.31</v>
      </c>
      <c r="U134" s="118">
        <v>2</v>
      </c>
      <c r="V134" s="118"/>
      <c r="W134" s="118">
        <v>0</v>
      </c>
      <c r="X134" s="118">
        <v>0.35</v>
      </c>
      <c r="Y134" s="118">
        <v>0.06</v>
      </c>
      <c r="Z134" s="118"/>
      <c r="AA134" s="118">
        <v>6</v>
      </c>
      <c r="AB134" s="118">
        <v>6</v>
      </c>
      <c r="AC134" s="118"/>
      <c r="AD134" s="118">
        <v>0</v>
      </c>
      <c r="AE134" s="118"/>
      <c r="AF134" s="118"/>
      <c r="AG134" s="118"/>
      <c r="AH134" s="118"/>
      <c r="AI134" s="118">
        <v>15</v>
      </c>
      <c r="AJ134" s="118">
        <v>0.25</v>
      </c>
      <c r="AK134" s="118">
        <v>2.8</v>
      </c>
      <c r="AL134" s="118">
        <v>29</v>
      </c>
      <c r="AM134" s="118">
        <v>0.02</v>
      </c>
      <c r="AN134" s="118">
        <v>191</v>
      </c>
      <c r="AO134" s="118">
        <v>377</v>
      </c>
      <c r="AP134" s="118">
        <v>21.76</v>
      </c>
      <c r="AQ134" s="118">
        <v>3.39</v>
      </c>
      <c r="AR134" s="118">
        <v>0.08</v>
      </c>
      <c r="AS134" s="118">
        <v>0.05</v>
      </c>
      <c r="AT134" s="118">
        <v>0.01</v>
      </c>
      <c r="AU134" s="118">
        <v>85.16</v>
      </c>
      <c r="AV134" s="124">
        <v>1.0286999999999999</v>
      </c>
      <c r="AW134" s="124">
        <v>0.71087</v>
      </c>
      <c r="AX134" s="124">
        <v>1.4034500000000001</v>
      </c>
      <c r="AY134" s="124">
        <v>1.6501199999999998</v>
      </c>
      <c r="AZ134" s="124">
        <v>1.09918</v>
      </c>
      <c r="BA134" s="124">
        <v>1.9272799999999999</v>
      </c>
      <c r="BB134" s="124">
        <v>1.4983199999999999</v>
      </c>
      <c r="BC134" s="124">
        <v>0.99548999999999999</v>
      </c>
      <c r="BD134" s="124">
        <v>0.29816999999999999</v>
      </c>
      <c r="BE134" s="124">
        <v>0.92637000000000003</v>
      </c>
      <c r="BF134" s="124">
        <v>0.50961000000000001</v>
      </c>
      <c r="BG134" s="124">
        <v>2.9146399999999999</v>
      </c>
      <c r="BH134" s="124">
        <v>1.1737200000000001</v>
      </c>
      <c r="BI134" s="124">
        <v>0.29613999999999996</v>
      </c>
      <c r="BJ134" s="124">
        <v>0.88097000000000003</v>
      </c>
      <c r="BK134" s="124">
        <v>0.90874999999999995</v>
      </c>
      <c r="BL134" s="124">
        <v>0.88163999999999998</v>
      </c>
      <c r="BM134" s="124">
        <v>0.83489000000000002</v>
      </c>
      <c r="BN134" s="118"/>
      <c r="BO134" s="118"/>
      <c r="BP134" s="118"/>
      <c r="BQ134" s="118"/>
      <c r="BR134" s="118"/>
    </row>
    <row r="135" spans="1:70">
      <c r="A135" s="122">
        <v>53001</v>
      </c>
      <c r="B135" s="122" t="s">
        <v>611</v>
      </c>
      <c r="C135" s="122" t="s">
        <v>612</v>
      </c>
      <c r="D135" s="122" t="s">
        <v>613</v>
      </c>
      <c r="E135" s="122" t="s">
        <v>76</v>
      </c>
      <c r="F135" s="122" t="s">
        <v>1843</v>
      </c>
      <c r="G135" s="163" t="s">
        <v>1302</v>
      </c>
      <c r="H135" s="122">
        <v>7</v>
      </c>
      <c r="I135" s="122" t="s">
        <v>606</v>
      </c>
      <c r="J135" s="118">
        <v>106</v>
      </c>
      <c r="K135" s="118">
        <v>75.3</v>
      </c>
      <c r="L135" s="118">
        <v>19.7</v>
      </c>
      <c r="M135" s="118">
        <v>2.2999999999999998</v>
      </c>
      <c r="N135" s="118">
        <v>0</v>
      </c>
      <c r="O135" s="118">
        <v>0</v>
      </c>
      <c r="P135" s="118">
        <v>0.03</v>
      </c>
      <c r="Q135" s="118">
        <v>0.06</v>
      </c>
      <c r="R135" s="118">
        <v>6.2</v>
      </c>
      <c r="S135" s="118">
        <v>1.1399999999999999</v>
      </c>
      <c r="T135" s="118">
        <v>0.32</v>
      </c>
      <c r="U135" s="118">
        <v>7</v>
      </c>
      <c r="V135" s="118">
        <v>3.3</v>
      </c>
      <c r="W135" s="118">
        <v>0</v>
      </c>
      <c r="X135" s="118">
        <v>0.32</v>
      </c>
      <c r="Y135" s="118">
        <v>0.28999999999999998</v>
      </c>
      <c r="Z135" s="118"/>
      <c r="AA135" s="118">
        <v>18</v>
      </c>
      <c r="AB135" s="118">
        <v>18</v>
      </c>
      <c r="AC135" s="118"/>
      <c r="AD135" s="118">
        <v>0</v>
      </c>
      <c r="AE135" s="118"/>
      <c r="AF135" s="118"/>
      <c r="AG135" s="118"/>
      <c r="AH135" s="118"/>
      <c r="AI135" s="118">
        <v>5</v>
      </c>
      <c r="AJ135" s="118">
        <v>0.14000000000000001</v>
      </c>
      <c r="AK135" s="118">
        <v>1.9</v>
      </c>
      <c r="AL135" s="118">
        <v>18</v>
      </c>
      <c r="AM135" s="118">
        <v>0.01</v>
      </c>
      <c r="AN135" s="118">
        <v>151</v>
      </c>
      <c r="AO135" s="118">
        <v>375</v>
      </c>
      <c r="AP135" s="118">
        <v>11.54</v>
      </c>
      <c r="AQ135" s="118">
        <v>3.33</v>
      </c>
      <c r="AR135" s="118">
        <v>0.87</v>
      </c>
      <c r="AS135" s="118">
        <v>0.82</v>
      </c>
      <c r="AT135" s="118">
        <v>0.25</v>
      </c>
      <c r="AU135" s="118">
        <v>103.05</v>
      </c>
      <c r="AV135" s="124">
        <v>0.72599999999999998</v>
      </c>
      <c r="AW135" s="124">
        <v>0.95599999999999996</v>
      </c>
      <c r="AX135" s="124">
        <v>1.625</v>
      </c>
      <c r="AY135" s="124">
        <v>1.7210000000000001</v>
      </c>
      <c r="AZ135" s="124">
        <v>0.53500000000000003</v>
      </c>
      <c r="BA135" s="124">
        <v>0.14299999999999999</v>
      </c>
      <c r="BB135" s="124">
        <v>0.83199999999999996</v>
      </c>
      <c r="BC135" s="124">
        <v>0.89900000000000002</v>
      </c>
      <c r="BD135" s="124">
        <v>0.22</v>
      </c>
      <c r="BE135" s="124">
        <v>1.0509999999999999</v>
      </c>
      <c r="BF135" s="124">
        <v>1.2430000000000001</v>
      </c>
      <c r="BG135" s="124">
        <v>1.2430000000000001</v>
      </c>
      <c r="BH135" s="124">
        <v>1.8160000000000001</v>
      </c>
      <c r="BI135" s="124">
        <v>2.9630000000000001</v>
      </c>
      <c r="BJ135" s="124">
        <v>1.0509999999999999</v>
      </c>
      <c r="BK135" s="124">
        <v>0.83199999999999996</v>
      </c>
      <c r="BL135" s="124">
        <v>0.83199999999999996</v>
      </c>
      <c r="BM135" s="124">
        <v>0.69799999999999995</v>
      </c>
      <c r="BN135" s="118"/>
      <c r="BO135" s="118"/>
      <c r="BP135" s="118"/>
      <c r="BQ135" s="118"/>
      <c r="BR135" s="118"/>
    </row>
    <row r="136" spans="1:70">
      <c r="A136" s="122">
        <v>53002</v>
      </c>
      <c r="B136" s="122" t="s">
        <v>615</v>
      </c>
      <c r="C136" s="122" t="s">
        <v>612</v>
      </c>
      <c r="D136" s="122" t="s">
        <v>613</v>
      </c>
      <c r="E136" s="122" t="s">
        <v>76</v>
      </c>
      <c r="F136" s="122" t="s">
        <v>1844</v>
      </c>
      <c r="G136" s="163" t="s">
        <v>1304</v>
      </c>
      <c r="H136" s="122">
        <v>7</v>
      </c>
      <c r="I136" s="122" t="s">
        <v>606</v>
      </c>
      <c r="J136" s="118">
        <v>207</v>
      </c>
      <c r="K136" s="118">
        <v>65.400000000000006</v>
      </c>
      <c r="L136" s="118">
        <v>19.7</v>
      </c>
      <c r="M136" s="118">
        <v>14.2</v>
      </c>
      <c r="N136" s="118">
        <v>0</v>
      </c>
      <c r="O136" s="118">
        <v>0</v>
      </c>
      <c r="P136" s="118">
        <v>0.05</v>
      </c>
      <c r="Q136" s="118">
        <v>0.2</v>
      </c>
      <c r="R136" s="118">
        <v>5.6</v>
      </c>
      <c r="S136" s="118">
        <v>1.1399999999999999</v>
      </c>
      <c r="T136" s="118">
        <v>0.32</v>
      </c>
      <c r="U136" s="118">
        <v>9.0399999999999991</v>
      </c>
      <c r="V136" s="118">
        <v>2.1</v>
      </c>
      <c r="W136" s="118">
        <v>0</v>
      </c>
      <c r="X136" s="118">
        <v>0.6</v>
      </c>
      <c r="Y136" s="118">
        <v>0.35</v>
      </c>
      <c r="Z136" s="118"/>
      <c r="AA136" s="118">
        <v>15</v>
      </c>
      <c r="AB136" s="118">
        <v>15</v>
      </c>
      <c r="AC136" s="118"/>
      <c r="AD136" s="118"/>
      <c r="AE136" s="118"/>
      <c r="AF136" s="118"/>
      <c r="AG136" s="118"/>
      <c r="AH136" s="118"/>
      <c r="AI136" s="118">
        <v>5</v>
      </c>
      <c r="AJ136" s="118">
        <v>7.0000000000000007E-2</v>
      </c>
      <c r="AK136" s="118">
        <v>2.2000000000000002</v>
      </c>
      <c r="AL136" s="118">
        <v>22</v>
      </c>
      <c r="AM136" s="118"/>
      <c r="AN136" s="118">
        <v>170</v>
      </c>
      <c r="AO136" s="118">
        <v>309</v>
      </c>
      <c r="AP136" s="118"/>
      <c r="AQ136" s="118">
        <v>4.5999999999999996</v>
      </c>
      <c r="AR136" s="118">
        <v>7.05</v>
      </c>
      <c r="AS136" s="118">
        <v>6.23</v>
      </c>
      <c r="AT136" s="118">
        <v>1.01</v>
      </c>
      <c r="AU136" s="118">
        <v>66.36</v>
      </c>
      <c r="AV136" s="124">
        <v>0.66</v>
      </c>
      <c r="AW136" s="124">
        <v>0.95</v>
      </c>
      <c r="AX136" s="124">
        <v>1.5</v>
      </c>
      <c r="AY136" s="124">
        <v>1.6</v>
      </c>
      <c r="AZ136" s="124">
        <v>0.47</v>
      </c>
      <c r="BA136" s="124">
        <v>0.14000000000000001</v>
      </c>
      <c r="BB136" s="124">
        <v>0.76</v>
      </c>
      <c r="BC136" s="124">
        <v>0.82</v>
      </c>
      <c r="BD136" s="124">
        <v>0.22</v>
      </c>
      <c r="BE136" s="124">
        <v>1</v>
      </c>
      <c r="BF136" s="124">
        <v>1.1000000000000001</v>
      </c>
      <c r="BG136" s="124">
        <v>1.2</v>
      </c>
      <c r="BH136" s="124">
        <v>1.7</v>
      </c>
      <c r="BI136" s="124">
        <v>2.8</v>
      </c>
      <c r="BJ136" s="124">
        <v>1.1000000000000001</v>
      </c>
      <c r="BK136" s="124">
        <v>0.88</v>
      </c>
      <c r="BL136" s="124">
        <v>0.79</v>
      </c>
      <c r="BM136" s="124">
        <v>0.63</v>
      </c>
      <c r="BN136" s="118"/>
      <c r="BO136" s="118"/>
      <c r="BP136" s="118"/>
      <c r="BQ136" s="118"/>
      <c r="BR136" s="118"/>
    </row>
    <row r="137" spans="1:70">
      <c r="A137" s="122">
        <v>51002</v>
      </c>
      <c r="B137" s="122" t="s">
        <v>617</v>
      </c>
      <c r="C137" s="122" t="s">
        <v>618</v>
      </c>
      <c r="D137" s="122" t="s">
        <v>619</v>
      </c>
      <c r="E137" s="122" t="s">
        <v>76</v>
      </c>
      <c r="F137" s="122" t="s">
        <v>1305</v>
      </c>
      <c r="G137" s="163" t="s">
        <v>1306</v>
      </c>
      <c r="H137" s="122">
        <v>7</v>
      </c>
      <c r="I137" s="122" t="s">
        <v>606</v>
      </c>
      <c r="J137" s="118">
        <v>130</v>
      </c>
      <c r="K137" s="118">
        <v>72.3</v>
      </c>
      <c r="L137" s="118">
        <v>21.6</v>
      </c>
      <c r="M137" s="118">
        <v>4.8</v>
      </c>
      <c r="N137" s="118">
        <v>0</v>
      </c>
      <c r="O137" s="118">
        <v>0</v>
      </c>
      <c r="P137" s="118">
        <v>0.36</v>
      </c>
      <c r="Q137" s="118">
        <v>0.45</v>
      </c>
      <c r="R137" s="118">
        <v>4.3499999999999996</v>
      </c>
      <c r="S137" s="118">
        <v>0.74</v>
      </c>
      <c r="T137" s="118">
        <v>0.34</v>
      </c>
      <c r="U137" s="118">
        <v>25</v>
      </c>
      <c r="V137" s="118">
        <v>1.1399999999999999</v>
      </c>
      <c r="W137" s="118">
        <v>0</v>
      </c>
      <c r="X137" s="118">
        <v>0.92</v>
      </c>
      <c r="Y137" s="118">
        <v>0.02</v>
      </c>
      <c r="Z137" s="118"/>
      <c r="AA137" s="118">
        <v>24</v>
      </c>
      <c r="AB137" s="118">
        <v>24</v>
      </c>
      <c r="AC137" s="118">
        <v>0</v>
      </c>
      <c r="AD137" s="118">
        <v>0</v>
      </c>
      <c r="AE137" s="118"/>
      <c r="AF137" s="118"/>
      <c r="AG137" s="118"/>
      <c r="AH137" s="118"/>
      <c r="AI137" s="118">
        <v>4</v>
      </c>
      <c r="AJ137" s="118">
        <v>0.25</v>
      </c>
      <c r="AK137" s="118">
        <v>2.4</v>
      </c>
      <c r="AL137" s="118">
        <v>19</v>
      </c>
      <c r="AM137" s="118">
        <v>0.06</v>
      </c>
      <c r="AN137" s="118">
        <v>235</v>
      </c>
      <c r="AO137" s="118">
        <v>271</v>
      </c>
      <c r="AP137" s="118">
        <v>23.55</v>
      </c>
      <c r="AQ137" s="118">
        <v>1.9</v>
      </c>
      <c r="AR137" s="118">
        <v>0.35</v>
      </c>
      <c r="AS137" s="118">
        <v>2.2200000000000002</v>
      </c>
      <c r="AT137" s="118">
        <v>0.3</v>
      </c>
      <c r="AU137" s="118">
        <v>81.760000000000005</v>
      </c>
      <c r="AV137" s="124">
        <v>1.0126200000000001</v>
      </c>
      <c r="AW137" s="124">
        <v>0.6216799999999999</v>
      </c>
      <c r="AX137" s="124">
        <v>1.39402</v>
      </c>
      <c r="AY137" s="124">
        <v>1.5942499999999999</v>
      </c>
      <c r="AZ137" s="124">
        <v>1.2281099999999998</v>
      </c>
      <c r="BA137" s="124">
        <v>1.77542</v>
      </c>
      <c r="BB137" s="124">
        <v>1.42072</v>
      </c>
      <c r="BC137" s="124">
        <v>0.97065999999999997</v>
      </c>
      <c r="BD137" s="124">
        <v>0.29368</v>
      </c>
      <c r="BE137" s="124">
        <v>1.01834</v>
      </c>
      <c r="BF137" s="124">
        <v>0.50536000000000003</v>
      </c>
      <c r="BG137" s="124">
        <v>2.85859</v>
      </c>
      <c r="BH137" s="124">
        <v>0.91536000000000006</v>
      </c>
      <c r="BI137" s="124">
        <v>0.21740000000000001</v>
      </c>
      <c r="BJ137" s="124">
        <v>0.85242999999999991</v>
      </c>
      <c r="BK137" s="124">
        <v>1.04122</v>
      </c>
      <c r="BL137" s="124">
        <v>0.8448</v>
      </c>
      <c r="BM137" s="124">
        <v>0.87530999999999992</v>
      </c>
      <c r="BN137" s="118"/>
      <c r="BO137" s="118"/>
      <c r="BP137" s="118"/>
      <c r="BQ137" s="118"/>
      <c r="BR137" s="118"/>
    </row>
    <row r="138" spans="1:70">
      <c r="A138" s="122">
        <v>54001</v>
      </c>
      <c r="B138" s="122" t="s">
        <v>621</v>
      </c>
      <c r="C138" s="122" t="s">
        <v>622</v>
      </c>
      <c r="D138" s="122" t="s">
        <v>623</v>
      </c>
      <c r="E138" s="122" t="s">
        <v>76</v>
      </c>
      <c r="F138" s="122" t="s">
        <v>1307</v>
      </c>
      <c r="G138" s="163" t="s">
        <v>1308</v>
      </c>
      <c r="H138" s="122">
        <v>7</v>
      </c>
      <c r="I138" s="122" t="s">
        <v>606</v>
      </c>
      <c r="J138" s="118">
        <v>137</v>
      </c>
      <c r="K138" s="118">
        <v>70.400000000000006</v>
      </c>
      <c r="L138" s="118">
        <v>23.3</v>
      </c>
      <c r="M138" s="118">
        <v>4.9000000000000004</v>
      </c>
      <c r="N138" s="118">
        <v>0</v>
      </c>
      <c r="O138" s="118">
        <v>0</v>
      </c>
      <c r="P138" s="118">
        <v>0.26</v>
      </c>
      <c r="Q138" s="118">
        <v>0.26</v>
      </c>
      <c r="R138" s="118">
        <v>7.97</v>
      </c>
      <c r="S138" s="118">
        <v>0.79</v>
      </c>
      <c r="T138" s="118">
        <v>0.57999999999999996</v>
      </c>
      <c r="U138" s="118">
        <v>4</v>
      </c>
      <c r="V138" s="118"/>
      <c r="W138" s="118">
        <v>5.6</v>
      </c>
      <c r="X138" s="118">
        <v>1.21</v>
      </c>
      <c r="Y138" s="118"/>
      <c r="Z138" s="118"/>
      <c r="AA138" s="118">
        <v>18.43</v>
      </c>
      <c r="AB138" s="118">
        <v>18.43</v>
      </c>
      <c r="AC138" s="118"/>
      <c r="AD138" s="118"/>
      <c r="AE138" s="118"/>
      <c r="AF138" s="118"/>
      <c r="AG138" s="118"/>
      <c r="AH138" s="118"/>
      <c r="AI138" s="118">
        <v>12</v>
      </c>
      <c r="AJ138" s="118">
        <v>0.47</v>
      </c>
      <c r="AK138" s="118">
        <v>2.52</v>
      </c>
      <c r="AL138" s="118">
        <v>30.49</v>
      </c>
      <c r="AM138" s="118">
        <v>0.04</v>
      </c>
      <c r="AN138" s="118">
        <v>290</v>
      </c>
      <c r="AO138" s="118">
        <v>283.14999999999998</v>
      </c>
      <c r="AP138" s="118">
        <v>19.32</v>
      </c>
      <c r="AQ138" s="118">
        <v>2.94</v>
      </c>
      <c r="AR138" s="118">
        <v>1.83</v>
      </c>
      <c r="AS138" s="118">
        <v>2.59</v>
      </c>
      <c r="AT138" s="118">
        <v>1.28</v>
      </c>
      <c r="AU138" s="118">
        <v>107</v>
      </c>
      <c r="AV138" s="124">
        <v>0.87547000000000008</v>
      </c>
      <c r="AW138" s="124">
        <v>0.44312000000000001</v>
      </c>
      <c r="AX138" s="124">
        <v>1.2952699999999999</v>
      </c>
      <c r="AY138" s="124">
        <v>1.49261</v>
      </c>
      <c r="AZ138" s="124">
        <v>1.13201</v>
      </c>
      <c r="BA138" s="124">
        <v>1.6056300000000001</v>
      </c>
      <c r="BB138" s="124">
        <v>1.18225</v>
      </c>
      <c r="BC138" s="124">
        <v>0.94723000000000002</v>
      </c>
      <c r="BD138" s="124">
        <v>0.29063</v>
      </c>
      <c r="BE138" s="124">
        <v>0.80909000000000009</v>
      </c>
      <c r="BF138" s="124">
        <v>0.54178999999999999</v>
      </c>
      <c r="BG138" s="124">
        <v>2.5797699999999999</v>
      </c>
      <c r="BH138" s="124">
        <v>0.85574000000000006</v>
      </c>
      <c r="BI138" s="124">
        <v>0.20810000000000001</v>
      </c>
      <c r="BJ138" s="124">
        <v>0.74272000000000005</v>
      </c>
      <c r="BK138" s="124">
        <v>0.95620000000000005</v>
      </c>
      <c r="BL138" s="124">
        <v>0.75169000000000008</v>
      </c>
      <c r="BM138" s="124">
        <v>0.64942999999999995</v>
      </c>
      <c r="BN138" s="118"/>
      <c r="BO138" s="118"/>
      <c r="BP138" s="118"/>
      <c r="BQ138" s="118"/>
      <c r="BR138" s="118"/>
    </row>
    <row r="139" spans="1:70">
      <c r="A139" s="122">
        <v>55001</v>
      </c>
      <c r="B139" s="122" t="s">
        <v>625</v>
      </c>
      <c r="C139" s="122" t="s">
        <v>626</v>
      </c>
      <c r="D139" s="122" t="s">
        <v>604</v>
      </c>
      <c r="E139" s="122" t="s">
        <v>76</v>
      </c>
      <c r="F139" s="122" t="s">
        <v>1845</v>
      </c>
      <c r="G139" s="163" t="s">
        <v>1310</v>
      </c>
      <c r="H139" s="122">
        <v>7</v>
      </c>
      <c r="I139" s="122" t="s">
        <v>628</v>
      </c>
      <c r="J139" s="118">
        <v>114</v>
      </c>
      <c r="K139" s="118">
        <v>76.459999999999994</v>
      </c>
      <c r="L139" s="118">
        <v>16.920000000000002</v>
      </c>
      <c r="M139" s="118">
        <v>4.83</v>
      </c>
      <c r="N139" s="118">
        <v>0.73</v>
      </c>
      <c r="O139" s="118">
        <v>0</v>
      </c>
      <c r="P139" s="118">
        <v>0.31</v>
      </c>
      <c r="Q139" s="118">
        <v>1.78</v>
      </c>
      <c r="R139" s="118">
        <v>9.73</v>
      </c>
      <c r="S139" s="118">
        <v>6.39</v>
      </c>
      <c r="T139" s="118">
        <v>0.85</v>
      </c>
      <c r="U139" s="118">
        <v>588</v>
      </c>
      <c r="V139" s="118">
        <v>35</v>
      </c>
      <c r="W139" s="118">
        <v>17.899999999999999</v>
      </c>
      <c r="X139" s="118">
        <v>2.6</v>
      </c>
      <c r="Y139" s="118">
        <v>0.7</v>
      </c>
      <c r="Z139" s="118"/>
      <c r="AA139" s="118">
        <v>3290</v>
      </c>
      <c r="AB139" s="118">
        <v>3295.58</v>
      </c>
      <c r="AC139" s="118">
        <v>11</v>
      </c>
      <c r="AD139" s="118">
        <v>56</v>
      </c>
      <c r="AE139" s="118"/>
      <c r="AF139" s="118"/>
      <c r="AG139" s="118"/>
      <c r="AH139" s="118"/>
      <c r="AI139" s="118">
        <v>18.350000000000001</v>
      </c>
      <c r="AJ139" s="118">
        <v>0.28999999999999998</v>
      </c>
      <c r="AK139" s="118">
        <v>8.99</v>
      </c>
      <c r="AL139" s="118">
        <v>19</v>
      </c>
      <c r="AM139" s="118">
        <v>0.21</v>
      </c>
      <c r="AN139" s="118">
        <v>297</v>
      </c>
      <c r="AO139" s="118">
        <v>230</v>
      </c>
      <c r="AP139" s="118">
        <v>46.35</v>
      </c>
      <c r="AQ139" s="118">
        <v>2.5</v>
      </c>
      <c r="AR139" s="118">
        <v>1.33</v>
      </c>
      <c r="AS139" s="118">
        <v>0.68</v>
      </c>
      <c r="AT139" s="118">
        <v>1.01</v>
      </c>
      <c r="AU139" s="118">
        <v>268</v>
      </c>
      <c r="AV139" s="124">
        <v>1.0396700000000001</v>
      </c>
      <c r="AW139" s="124">
        <v>0.69023999999999996</v>
      </c>
      <c r="AX139" s="124">
        <v>1.76874</v>
      </c>
      <c r="AY139" s="124">
        <v>2.1419000000000001</v>
      </c>
      <c r="AZ139" s="124">
        <v>1.3200799999999999</v>
      </c>
      <c r="BA139" s="124">
        <v>2.01248</v>
      </c>
      <c r="BB139" s="124">
        <v>1.4214599999999999</v>
      </c>
      <c r="BC139" s="124">
        <v>1.3589100000000001</v>
      </c>
      <c r="BD139" s="124">
        <v>0.32786000000000004</v>
      </c>
      <c r="BE139" s="124">
        <v>1.2553699999999999</v>
      </c>
      <c r="BF139" s="124">
        <v>0.54571999999999998</v>
      </c>
      <c r="BG139" s="124">
        <v>2.7480199999999999</v>
      </c>
      <c r="BH139" s="124">
        <v>1.00301</v>
      </c>
      <c r="BI139" s="124">
        <v>0.31061</v>
      </c>
      <c r="BJ139" s="124">
        <v>0.97280999999999995</v>
      </c>
      <c r="BK139" s="124">
        <v>1.10223</v>
      </c>
      <c r="BL139" s="124">
        <v>0.95771000000000006</v>
      </c>
      <c r="BM139" s="124">
        <v>0.82181999999999999</v>
      </c>
      <c r="BN139" s="118"/>
      <c r="BO139" s="118"/>
      <c r="BP139" s="118"/>
      <c r="BQ139" s="118"/>
      <c r="BR139" s="118"/>
    </row>
    <row r="140" spans="1:70">
      <c r="A140" s="122">
        <v>55002</v>
      </c>
      <c r="B140" s="122" t="s">
        <v>629</v>
      </c>
      <c r="C140" s="122" t="s">
        <v>630</v>
      </c>
      <c r="D140" s="127"/>
      <c r="E140" s="122" t="s">
        <v>82</v>
      </c>
      <c r="F140" s="122" t="s">
        <v>631</v>
      </c>
      <c r="G140" s="163" t="s">
        <v>632</v>
      </c>
      <c r="H140" s="122">
        <v>6</v>
      </c>
      <c r="I140" s="122" t="s">
        <v>628</v>
      </c>
      <c r="J140" s="118">
        <v>125.48</v>
      </c>
      <c r="K140" s="118">
        <v>78.12</v>
      </c>
      <c r="L140" s="118">
        <v>12.92</v>
      </c>
      <c r="M140" s="118">
        <v>8.26</v>
      </c>
      <c r="N140" s="118"/>
      <c r="O140" s="118"/>
      <c r="P140" s="118">
        <v>0.01</v>
      </c>
      <c r="Q140" s="118">
        <v>0.11</v>
      </c>
      <c r="R140" s="118">
        <v>0.64</v>
      </c>
      <c r="S140" s="118">
        <v>0.53</v>
      </c>
      <c r="T140" s="118">
        <v>0.21</v>
      </c>
      <c r="U140" s="118">
        <v>1.87</v>
      </c>
      <c r="V140" s="118"/>
      <c r="W140" s="118"/>
      <c r="X140" s="120"/>
      <c r="Y140" s="118">
        <v>0.19</v>
      </c>
      <c r="Z140" s="118"/>
      <c r="AA140" s="118">
        <v>2.62</v>
      </c>
      <c r="AB140" s="125">
        <f t="shared" ref="AB140" si="0">AA140+1/12*(AD140)+1/24*(AC140)+1/24*(AG140)</f>
        <v>2.62</v>
      </c>
      <c r="AC140" s="118"/>
      <c r="AD140" s="118"/>
      <c r="AE140" s="118"/>
      <c r="AF140" s="118"/>
      <c r="AG140" s="118"/>
      <c r="AH140" s="118"/>
      <c r="AI140" s="118">
        <v>27.52</v>
      </c>
      <c r="AJ140" s="118">
        <v>0.06</v>
      </c>
      <c r="AK140" s="118">
        <v>2.21</v>
      </c>
      <c r="AL140" s="118">
        <v>7.14</v>
      </c>
      <c r="AM140" s="118">
        <v>0.05</v>
      </c>
      <c r="AN140" s="118">
        <v>55.9</v>
      </c>
      <c r="AO140" s="118">
        <v>130</v>
      </c>
      <c r="AP140" s="118">
        <v>26.09</v>
      </c>
      <c r="AQ140" s="118">
        <v>1.1200000000000001</v>
      </c>
      <c r="AR140" s="118">
        <v>4.4450000000000003</v>
      </c>
      <c r="AS140" s="118">
        <v>2.504</v>
      </c>
      <c r="AT140" s="118">
        <v>0.61899999999999999</v>
      </c>
      <c r="AU140" s="118">
        <v>176</v>
      </c>
      <c r="AV140" s="118">
        <v>4.55</v>
      </c>
      <c r="AW140" s="118">
        <v>3.9</v>
      </c>
      <c r="AX140" s="118">
        <v>7.01</v>
      </c>
      <c r="AY140" s="118">
        <v>7.5</v>
      </c>
      <c r="AZ140" s="118">
        <v>5.75</v>
      </c>
      <c r="BA140" s="118">
        <v>8.2799999999999994</v>
      </c>
      <c r="BB140" s="118">
        <v>7.42</v>
      </c>
      <c r="BC140" s="118">
        <v>4.4400000000000004</v>
      </c>
      <c r="BD140" s="118">
        <v>1.47</v>
      </c>
      <c r="BE140" s="118">
        <v>4.1399999999999997</v>
      </c>
      <c r="BF140" s="118">
        <v>2.31</v>
      </c>
      <c r="BG140" s="118">
        <v>12.78</v>
      </c>
      <c r="BH140" s="118">
        <v>9.2899999999999991</v>
      </c>
      <c r="BI140" s="118">
        <v>1.44</v>
      </c>
      <c r="BJ140" s="118">
        <v>5.3</v>
      </c>
      <c r="BK140" s="118">
        <v>3.5</v>
      </c>
      <c r="BL140" s="118">
        <v>4.6100000000000003</v>
      </c>
      <c r="BM140" s="118">
        <v>3.13</v>
      </c>
      <c r="BN140" s="118"/>
      <c r="BO140" s="118"/>
      <c r="BP140" s="118"/>
      <c r="BQ140" s="118"/>
      <c r="BR140" s="118"/>
    </row>
    <row r="141" spans="1:70">
      <c r="A141" s="122">
        <v>55003</v>
      </c>
      <c r="B141" s="122" t="s">
        <v>635</v>
      </c>
      <c r="C141" s="122" t="s">
        <v>636</v>
      </c>
      <c r="D141" s="127" t="s">
        <v>604</v>
      </c>
      <c r="E141" s="122" t="s">
        <v>103</v>
      </c>
      <c r="F141" s="121" t="s">
        <v>637</v>
      </c>
      <c r="G141" s="163" t="s">
        <v>638</v>
      </c>
      <c r="H141" s="122">
        <v>6</v>
      </c>
      <c r="I141" s="122" t="s">
        <v>606</v>
      </c>
      <c r="J141" s="118">
        <v>349</v>
      </c>
      <c r="K141" s="118">
        <v>54.2</v>
      </c>
      <c r="L141" s="118">
        <v>13.3</v>
      </c>
      <c r="M141" s="118">
        <v>32.4</v>
      </c>
      <c r="N141" s="118">
        <v>0</v>
      </c>
      <c r="O141" s="118">
        <v>0</v>
      </c>
      <c r="P141" s="118">
        <v>3.3000000000000002E-2</v>
      </c>
      <c r="Q141" s="118">
        <v>6.9000000000000006E-2</v>
      </c>
      <c r="R141" s="118">
        <v>3.99</v>
      </c>
      <c r="S141" s="118">
        <v>0.69199999999999995</v>
      </c>
      <c r="T141" s="118">
        <v>0.09</v>
      </c>
      <c r="U141" s="118">
        <v>3</v>
      </c>
      <c r="V141" s="118">
        <v>0.23</v>
      </c>
      <c r="W141" s="118">
        <v>0</v>
      </c>
      <c r="X141" s="118">
        <v>0.6</v>
      </c>
      <c r="Y141" s="118">
        <v>0</v>
      </c>
      <c r="Z141" s="118">
        <v>2.9</v>
      </c>
      <c r="AA141" s="118">
        <v>76</v>
      </c>
      <c r="AB141" s="118">
        <v>76</v>
      </c>
      <c r="AC141" s="118">
        <v>0</v>
      </c>
      <c r="AD141" s="118">
        <v>6</v>
      </c>
      <c r="AE141" s="118">
        <v>0</v>
      </c>
      <c r="AF141" s="118">
        <v>0</v>
      </c>
      <c r="AG141" s="118">
        <v>0</v>
      </c>
      <c r="AH141" s="118">
        <v>0</v>
      </c>
      <c r="AI141" s="118">
        <v>11</v>
      </c>
      <c r="AJ141" s="118">
        <v>4.1000000000000002E-2</v>
      </c>
      <c r="AK141" s="118">
        <v>1.08</v>
      </c>
      <c r="AL141" s="118">
        <v>13</v>
      </c>
      <c r="AM141" s="118">
        <v>1.9E-2</v>
      </c>
      <c r="AN141" s="118">
        <v>100</v>
      </c>
      <c r="AO141" s="118">
        <v>103</v>
      </c>
      <c r="AP141" s="118">
        <v>12.3</v>
      </c>
      <c r="AQ141" s="118">
        <v>0.93</v>
      </c>
      <c r="AR141" s="118">
        <v>9.08</v>
      </c>
      <c r="AS141" s="118">
        <v>13.5</v>
      </c>
      <c r="AT141" s="118">
        <v>6.81</v>
      </c>
      <c r="AU141" s="118">
        <v>109</v>
      </c>
      <c r="AV141" s="118">
        <v>0.25600000000000001</v>
      </c>
      <c r="AW141" s="118">
        <v>0.42899999999999999</v>
      </c>
      <c r="AX141" s="118">
        <v>0.78300000000000003</v>
      </c>
      <c r="AY141" s="118">
        <v>0.79600000000000004</v>
      </c>
      <c r="AZ141" s="118">
        <v>0.26700000000000002</v>
      </c>
      <c r="BA141" s="118">
        <v>0.222</v>
      </c>
      <c r="BB141" s="118">
        <v>0.45</v>
      </c>
      <c r="BC141" s="118">
        <v>0.47599999999999998</v>
      </c>
      <c r="BD141" s="118">
        <v>0.107</v>
      </c>
      <c r="BE141" s="118">
        <v>0.56100000000000005</v>
      </c>
      <c r="BF141" s="118">
        <v>1.08</v>
      </c>
      <c r="BG141" s="118">
        <v>1.03</v>
      </c>
      <c r="BH141" s="118">
        <v>1.19</v>
      </c>
      <c r="BI141" s="118">
        <v>1.66</v>
      </c>
      <c r="BJ141" s="118">
        <v>2.13</v>
      </c>
      <c r="BK141" s="118">
        <v>1.24</v>
      </c>
      <c r="BL141" s="118">
        <v>0.54200000000000004</v>
      </c>
      <c r="BM141" s="118">
        <v>0.30299999999999999</v>
      </c>
      <c r="BN141" s="118"/>
      <c r="BO141" s="118"/>
      <c r="BP141" s="118"/>
      <c r="BQ141" s="118"/>
      <c r="BR141" s="118"/>
    </row>
    <row r="142" spans="1:70">
      <c r="A142" s="122">
        <v>56001</v>
      </c>
      <c r="B142" s="122" t="s">
        <v>639</v>
      </c>
      <c r="C142" s="122" t="s">
        <v>640</v>
      </c>
      <c r="D142" s="127" t="s">
        <v>604</v>
      </c>
      <c r="E142" s="122" t="s">
        <v>76</v>
      </c>
      <c r="F142" s="122" t="s">
        <v>1846</v>
      </c>
      <c r="G142" s="163" t="s">
        <v>1314</v>
      </c>
      <c r="H142" s="122">
        <v>7</v>
      </c>
      <c r="I142" s="122" t="s">
        <v>642</v>
      </c>
      <c r="J142" s="118">
        <v>139</v>
      </c>
      <c r="K142" s="118">
        <v>72.31</v>
      </c>
      <c r="L142" s="118">
        <v>14.49</v>
      </c>
      <c r="M142" s="118">
        <v>9</v>
      </c>
      <c r="N142" s="118"/>
      <c r="O142" s="118">
        <v>0</v>
      </c>
      <c r="P142" s="118">
        <v>0.18</v>
      </c>
      <c r="Q142" s="118">
        <v>0.4</v>
      </c>
      <c r="R142" s="118">
        <v>0.1</v>
      </c>
      <c r="S142" s="118">
        <v>1.47</v>
      </c>
      <c r="T142" s="118">
        <v>0.15</v>
      </c>
      <c r="U142" s="118">
        <v>50</v>
      </c>
      <c r="V142" s="118">
        <v>2</v>
      </c>
      <c r="W142" s="118">
        <v>0</v>
      </c>
      <c r="X142" s="118">
        <v>4.67</v>
      </c>
      <c r="Y142" s="118">
        <v>0.83</v>
      </c>
      <c r="Z142" s="118"/>
      <c r="AA142" s="118">
        <v>165.25</v>
      </c>
      <c r="AB142" s="118">
        <v>165.25</v>
      </c>
      <c r="AC142" s="118">
        <v>0</v>
      </c>
      <c r="AD142" s="118">
        <v>0</v>
      </c>
      <c r="AE142" s="118"/>
      <c r="AF142" s="118"/>
      <c r="AG142" s="118"/>
      <c r="AH142" s="118"/>
      <c r="AI142" s="118">
        <v>29</v>
      </c>
      <c r="AJ142" s="118">
        <v>0.3</v>
      </c>
      <c r="AK142" s="118">
        <v>1.54</v>
      </c>
      <c r="AL142" s="118">
        <v>20.88</v>
      </c>
      <c r="AM142" s="118">
        <v>0.02</v>
      </c>
      <c r="AN142" s="118">
        <v>220</v>
      </c>
      <c r="AO142" s="118">
        <v>110.43</v>
      </c>
      <c r="AP142" s="118">
        <v>62.33</v>
      </c>
      <c r="AQ142" s="118">
        <v>2.36</v>
      </c>
      <c r="AR142" s="118">
        <v>2.7</v>
      </c>
      <c r="AS142" s="118">
        <v>3.5</v>
      </c>
      <c r="AT142" s="118">
        <v>1.21</v>
      </c>
      <c r="AU142" s="118">
        <v>309.38</v>
      </c>
      <c r="AV142" s="124">
        <v>0.19800000000000001</v>
      </c>
      <c r="AW142" s="124">
        <v>0.91300000000000003</v>
      </c>
      <c r="AX142" s="124">
        <v>1.05</v>
      </c>
      <c r="AY142" s="124">
        <v>0.62</v>
      </c>
      <c r="AZ142" s="124">
        <v>0.45500000000000002</v>
      </c>
      <c r="BA142" s="124">
        <v>0.38200000000000001</v>
      </c>
      <c r="BB142" s="124">
        <v>1.2330000000000001</v>
      </c>
      <c r="BC142" s="124">
        <v>0.442</v>
      </c>
      <c r="BD142" s="124">
        <v>0.22</v>
      </c>
      <c r="BE142" s="124">
        <v>0.91200000000000003</v>
      </c>
      <c r="BF142" s="124">
        <v>1.2949999999999999</v>
      </c>
      <c r="BG142" s="124">
        <v>0.64400000000000002</v>
      </c>
      <c r="BH142" s="124">
        <v>1.577</v>
      </c>
      <c r="BI142" s="124">
        <v>2.024</v>
      </c>
      <c r="BJ142" s="124">
        <v>0.60199999999999998</v>
      </c>
      <c r="BK142" s="124">
        <v>0.505</v>
      </c>
      <c r="BL142" s="124">
        <v>1.103</v>
      </c>
      <c r="BM142" s="124">
        <v>0.33400000000000002</v>
      </c>
      <c r="BN142" s="118"/>
      <c r="BO142" s="118"/>
      <c r="BP142" s="118"/>
      <c r="BQ142" s="118"/>
      <c r="BR142" s="118"/>
    </row>
    <row r="143" spans="1:70">
      <c r="A143" s="122">
        <v>56002</v>
      </c>
      <c r="B143" s="122" t="s">
        <v>643</v>
      </c>
      <c r="C143" s="122" t="s">
        <v>644</v>
      </c>
      <c r="D143" s="122" t="s">
        <v>619</v>
      </c>
      <c r="E143" s="122" t="s">
        <v>76</v>
      </c>
      <c r="F143" s="122" t="s">
        <v>1315</v>
      </c>
      <c r="G143" s="163" t="s">
        <v>1316</v>
      </c>
      <c r="H143" s="122">
        <v>9</v>
      </c>
      <c r="I143" s="122" t="s">
        <v>642</v>
      </c>
      <c r="J143" s="118">
        <v>188</v>
      </c>
      <c r="K143" s="118">
        <v>69.7</v>
      </c>
      <c r="L143" s="118">
        <v>13.48</v>
      </c>
      <c r="M143" s="118">
        <v>14.29</v>
      </c>
      <c r="N143" s="118">
        <v>1.44</v>
      </c>
      <c r="O143" s="118">
        <v>0</v>
      </c>
      <c r="P143" s="118">
        <v>0.12</v>
      </c>
      <c r="Q143" s="118">
        <v>0.26</v>
      </c>
      <c r="R143" s="118">
        <v>0.2</v>
      </c>
      <c r="S143" s="118">
        <v>0.51</v>
      </c>
      <c r="T143" s="118">
        <v>0.25</v>
      </c>
      <c r="U143" s="118">
        <v>80</v>
      </c>
      <c r="V143" s="118">
        <v>5.4</v>
      </c>
      <c r="W143" s="118">
        <v>0</v>
      </c>
      <c r="X143" s="118">
        <v>2.67</v>
      </c>
      <c r="Y143" s="118">
        <v>1.39</v>
      </c>
      <c r="Z143" s="118"/>
      <c r="AA143" s="118">
        <v>360</v>
      </c>
      <c r="AB143" s="118">
        <v>361.73</v>
      </c>
      <c r="AC143" s="118">
        <v>0</v>
      </c>
      <c r="AD143" s="118">
        <v>14.53</v>
      </c>
      <c r="AE143" s="118"/>
      <c r="AF143" s="118"/>
      <c r="AG143" s="118"/>
      <c r="AH143" s="118"/>
      <c r="AI143" s="118">
        <v>65</v>
      </c>
      <c r="AJ143" s="118">
        <v>0.06</v>
      </c>
      <c r="AK143" s="118">
        <v>2.42</v>
      </c>
      <c r="AL143" s="118">
        <v>10.66</v>
      </c>
      <c r="AM143" s="118">
        <v>0.06</v>
      </c>
      <c r="AN143" s="118">
        <v>220</v>
      </c>
      <c r="AO143" s="118">
        <v>222</v>
      </c>
      <c r="AP143" s="118">
        <v>46.33</v>
      </c>
      <c r="AQ143" s="118">
        <v>1.41</v>
      </c>
      <c r="AR143" s="118">
        <v>3.83</v>
      </c>
      <c r="AS143" s="118">
        <v>6.73</v>
      </c>
      <c r="AT143" s="118">
        <v>1.24</v>
      </c>
      <c r="AU143" s="118">
        <v>884</v>
      </c>
      <c r="AV143" s="124">
        <v>0.34799999999999998</v>
      </c>
      <c r="AW143" s="124">
        <v>0.63200000000000001</v>
      </c>
      <c r="AX143" s="124">
        <v>1.1579999999999999</v>
      </c>
      <c r="AY143" s="124">
        <v>0.99</v>
      </c>
      <c r="AZ143" s="124">
        <v>0.6</v>
      </c>
      <c r="BA143" s="124">
        <v>0.30499999999999999</v>
      </c>
      <c r="BB143" s="124">
        <v>0.88500000000000001</v>
      </c>
      <c r="BC143" s="124">
        <v>0.77900000000000003</v>
      </c>
      <c r="BD143" s="124">
        <v>0.28399999999999997</v>
      </c>
      <c r="BE143" s="124">
        <v>0.92700000000000005</v>
      </c>
      <c r="BF143" s="124">
        <v>0.67400000000000004</v>
      </c>
      <c r="BG143" s="124">
        <v>0.8</v>
      </c>
      <c r="BH143" s="124">
        <v>0.82099999999999995</v>
      </c>
      <c r="BI143" s="124">
        <v>1.8959999999999999</v>
      </c>
      <c r="BJ143" s="124">
        <v>0.45300000000000001</v>
      </c>
      <c r="BK143" s="124">
        <v>0.495</v>
      </c>
      <c r="BL143" s="124">
        <v>1.0109999999999999</v>
      </c>
      <c r="BM143" s="124">
        <v>0.65300000000000002</v>
      </c>
      <c r="BN143" s="118"/>
      <c r="BO143" s="118"/>
      <c r="BP143" s="118"/>
      <c r="BQ143" s="118"/>
      <c r="BR143" s="118"/>
    </row>
    <row r="144" spans="1:70">
      <c r="A144" s="122">
        <v>57201</v>
      </c>
      <c r="B144" s="122" t="s">
        <v>646</v>
      </c>
      <c r="C144" s="122" t="s">
        <v>647</v>
      </c>
      <c r="D144" s="122" t="s">
        <v>613</v>
      </c>
      <c r="E144" s="122" t="s">
        <v>122</v>
      </c>
      <c r="F144" s="122">
        <v>2259793</v>
      </c>
      <c r="G144" s="163" t="s">
        <v>648</v>
      </c>
      <c r="H144" s="122">
        <v>9</v>
      </c>
      <c r="I144" s="122" t="s">
        <v>649</v>
      </c>
      <c r="J144" s="118">
        <v>78</v>
      </c>
      <c r="K144" s="118">
        <v>85.3</v>
      </c>
      <c r="L144" s="118">
        <v>3.82</v>
      </c>
      <c r="M144" s="118">
        <v>4.4800000000000004</v>
      </c>
      <c r="N144" s="118">
        <v>5.57</v>
      </c>
      <c r="O144" s="118"/>
      <c r="P144" s="118">
        <v>5.5E-2</v>
      </c>
      <c r="Q144" s="118">
        <v>0.24299999999999999</v>
      </c>
      <c r="R144" s="118">
        <v>0.13500000000000001</v>
      </c>
      <c r="S144" s="118"/>
      <c r="T144" s="118">
        <v>4.4999999999999998E-2</v>
      </c>
      <c r="U144" s="118"/>
      <c r="V144" s="118"/>
      <c r="W144" s="118"/>
      <c r="X144" s="118">
        <v>0.78</v>
      </c>
      <c r="Y144" s="118"/>
      <c r="Z144" s="118">
        <v>0.2</v>
      </c>
      <c r="AA144" s="118">
        <v>48</v>
      </c>
      <c r="AB144" s="118"/>
      <c r="AC144" s="118"/>
      <c r="AD144" s="118"/>
      <c r="AE144" s="118"/>
      <c r="AF144" s="118"/>
      <c r="AG144" s="118"/>
      <c r="AH144" s="118"/>
      <c r="AI144" s="118">
        <v>127</v>
      </c>
      <c r="AJ144" s="118">
        <v>3.0000000000000001E-3</v>
      </c>
      <c r="AK144" s="118">
        <v>0.1</v>
      </c>
      <c r="AL144" s="118">
        <v>11.4</v>
      </c>
      <c r="AM144" s="118">
        <v>2E-3</v>
      </c>
      <c r="AN144" s="118">
        <v>101</v>
      </c>
      <c r="AO144" s="118">
        <v>164</v>
      </c>
      <c r="AP144" s="118"/>
      <c r="AQ144" s="118">
        <v>0.43</v>
      </c>
      <c r="AR144" s="118">
        <v>2.3199999999999998</v>
      </c>
      <c r="AS144" s="118">
        <v>0.874</v>
      </c>
      <c r="AT144" s="118"/>
      <c r="AU144" s="118">
        <v>14</v>
      </c>
      <c r="AV144" s="118" t="s">
        <v>1098</v>
      </c>
      <c r="AW144" s="118" t="s">
        <v>1098</v>
      </c>
      <c r="AX144" s="118" t="s">
        <v>1098</v>
      </c>
      <c r="AY144" s="118" t="s">
        <v>1098</v>
      </c>
      <c r="AZ144" s="118" t="s">
        <v>1098</v>
      </c>
      <c r="BA144" s="118" t="s">
        <v>1098</v>
      </c>
      <c r="BB144" s="118" t="s">
        <v>1098</v>
      </c>
      <c r="BC144" s="118" t="s">
        <v>1098</v>
      </c>
      <c r="BD144" s="118" t="s">
        <v>1098</v>
      </c>
      <c r="BE144" s="118" t="s">
        <v>1098</v>
      </c>
      <c r="BF144" s="118" t="s">
        <v>1098</v>
      </c>
      <c r="BG144" s="118" t="s">
        <v>1098</v>
      </c>
      <c r="BH144" s="118" t="s">
        <v>1098</v>
      </c>
      <c r="BI144" s="118" t="s">
        <v>1098</v>
      </c>
      <c r="BJ144" s="118" t="s">
        <v>1098</v>
      </c>
      <c r="BK144" s="118" t="s">
        <v>1098</v>
      </c>
      <c r="BL144" s="118" t="s">
        <v>1098</v>
      </c>
      <c r="BM144" s="118" t="s">
        <v>1098</v>
      </c>
      <c r="BN144" s="118"/>
      <c r="BO144" s="118"/>
      <c r="BP144" s="118"/>
      <c r="BQ144" s="118"/>
      <c r="BR144" s="118"/>
    </row>
    <row r="145" spans="1:70">
      <c r="A145" s="122">
        <v>57202</v>
      </c>
      <c r="B145" s="122" t="s">
        <v>650</v>
      </c>
      <c r="C145" s="122" t="s">
        <v>651</v>
      </c>
      <c r="D145" s="122" t="s">
        <v>613</v>
      </c>
      <c r="E145" s="122" t="s">
        <v>76</v>
      </c>
      <c r="F145" s="122">
        <v>120003</v>
      </c>
      <c r="G145" s="163" t="s">
        <v>652</v>
      </c>
      <c r="H145" s="122">
        <v>5</v>
      </c>
      <c r="I145" s="122" t="s">
        <v>649</v>
      </c>
      <c r="J145" s="118">
        <v>94</v>
      </c>
      <c r="K145" s="118">
        <v>80.599999999999994</v>
      </c>
      <c r="L145" s="118">
        <v>3.16</v>
      </c>
      <c r="M145" s="118">
        <v>4</v>
      </c>
      <c r="N145" s="118">
        <v>11.44</v>
      </c>
      <c r="O145" s="118">
        <v>0</v>
      </c>
      <c r="P145" s="118">
        <v>0.05</v>
      </c>
      <c r="Q145" s="118">
        <v>0.16</v>
      </c>
      <c r="R145" s="118">
        <v>0.2</v>
      </c>
      <c r="S145" s="118"/>
      <c r="T145" s="118">
        <v>0.05</v>
      </c>
      <c r="U145" s="118">
        <v>8.5</v>
      </c>
      <c r="V145" s="118">
        <v>0.25</v>
      </c>
      <c r="W145" s="118">
        <v>1</v>
      </c>
      <c r="X145" s="118"/>
      <c r="Y145" s="118">
        <v>0.08</v>
      </c>
      <c r="Z145" s="118"/>
      <c r="AA145" s="118">
        <v>31</v>
      </c>
      <c r="AB145" s="118">
        <v>32.18</v>
      </c>
      <c r="AC145" s="118"/>
      <c r="AD145" s="118"/>
      <c r="AE145" s="118"/>
      <c r="AF145" s="118"/>
      <c r="AG145" s="118"/>
      <c r="AH145" s="118"/>
      <c r="AI145" s="118">
        <v>103</v>
      </c>
      <c r="AJ145" s="118">
        <v>0.05</v>
      </c>
      <c r="AK145" s="118">
        <v>0.09</v>
      </c>
      <c r="AL145" s="118">
        <v>13</v>
      </c>
      <c r="AM145" s="118"/>
      <c r="AN145" s="118">
        <v>90</v>
      </c>
      <c r="AO145" s="118">
        <v>131.16</v>
      </c>
      <c r="AP145" s="118"/>
      <c r="AQ145" s="118">
        <v>0.45</v>
      </c>
      <c r="AR145" s="118"/>
      <c r="AS145" s="118"/>
      <c r="AT145" s="118"/>
      <c r="AU145" s="118">
        <v>11.57</v>
      </c>
      <c r="AV145" s="124"/>
      <c r="AW145" s="124"/>
      <c r="AX145" s="124"/>
      <c r="AY145" s="124"/>
      <c r="AZ145" s="124"/>
      <c r="BA145" s="124"/>
      <c r="BB145" s="124"/>
      <c r="BC145" s="124"/>
      <c r="BD145" s="124"/>
      <c r="BE145" s="124"/>
      <c r="BF145" s="124"/>
      <c r="BG145" s="124"/>
      <c r="BH145" s="124"/>
      <c r="BI145" s="124"/>
      <c r="BJ145" s="124"/>
      <c r="BK145" s="124"/>
      <c r="BL145" s="124"/>
      <c r="BM145" s="124"/>
      <c r="BN145" s="118"/>
      <c r="BO145" s="118"/>
      <c r="BP145" s="118"/>
      <c r="BQ145" s="118"/>
      <c r="BR145" s="118"/>
    </row>
    <row r="146" spans="1:70">
      <c r="A146" s="122">
        <v>57002</v>
      </c>
      <c r="B146" s="122" t="s">
        <v>653</v>
      </c>
      <c r="C146" s="122" t="s">
        <v>654</v>
      </c>
      <c r="D146" s="122" t="s">
        <v>613</v>
      </c>
      <c r="E146" s="122" t="s">
        <v>76</v>
      </c>
      <c r="F146" s="122" t="s">
        <v>1847</v>
      </c>
      <c r="G146" s="163" t="s">
        <v>1322</v>
      </c>
      <c r="H146" s="122">
        <v>5</v>
      </c>
      <c r="I146" s="122" t="s">
        <v>649</v>
      </c>
      <c r="J146" s="118">
        <v>30</v>
      </c>
      <c r="K146" s="118">
        <v>92.1</v>
      </c>
      <c r="L146" s="118">
        <v>3.08</v>
      </c>
      <c r="M146" s="118">
        <v>0.1</v>
      </c>
      <c r="N146" s="118">
        <v>4.08</v>
      </c>
      <c r="O146" s="118">
        <v>0</v>
      </c>
      <c r="P146" s="118">
        <v>0.06</v>
      </c>
      <c r="Q146" s="118">
        <v>0.28000000000000003</v>
      </c>
      <c r="R146" s="118">
        <v>0.2</v>
      </c>
      <c r="S146" s="118"/>
      <c r="T146" s="118">
        <v>0.05</v>
      </c>
      <c r="U146" s="118">
        <v>8.5</v>
      </c>
      <c r="V146" s="118">
        <v>0.49</v>
      </c>
      <c r="W146" s="118">
        <v>1</v>
      </c>
      <c r="X146" s="118"/>
      <c r="Y146" s="118">
        <v>0.01</v>
      </c>
      <c r="Z146" s="118">
        <v>0</v>
      </c>
      <c r="AA146" s="118">
        <v>0</v>
      </c>
      <c r="AB146" s="118">
        <v>0</v>
      </c>
      <c r="AC146" s="118"/>
      <c r="AD146" s="118">
        <v>0</v>
      </c>
      <c r="AE146" s="118"/>
      <c r="AF146" s="118"/>
      <c r="AG146" s="118"/>
      <c r="AH146" s="118"/>
      <c r="AI146" s="118">
        <v>103</v>
      </c>
      <c r="AJ146" s="118">
        <v>0.05</v>
      </c>
      <c r="AK146" s="118">
        <v>0.09</v>
      </c>
      <c r="AL146" s="118">
        <v>13</v>
      </c>
      <c r="AM146" s="118"/>
      <c r="AN146" s="118">
        <v>90</v>
      </c>
      <c r="AO146" s="118">
        <v>131.16</v>
      </c>
      <c r="AP146" s="118">
        <v>2.1</v>
      </c>
      <c r="AQ146" s="118">
        <v>0.45</v>
      </c>
      <c r="AR146" s="118">
        <v>0.05</v>
      </c>
      <c r="AS146" s="118">
        <v>0.03</v>
      </c>
      <c r="AT146" s="118">
        <v>0</v>
      </c>
      <c r="AU146" s="118"/>
      <c r="AV146" s="124"/>
      <c r="AW146" s="124"/>
      <c r="AX146" s="124"/>
      <c r="AY146" s="124"/>
      <c r="AZ146" s="124"/>
      <c r="BA146" s="124"/>
      <c r="BB146" s="124"/>
      <c r="BC146" s="124"/>
      <c r="BD146" s="124"/>
      <c r="BE146" s="124"/>
      <c r="BF146" s="124"/>
      <c r="BG146" s="124"/>
      <c r="BH146" s="124"/>
      <c r="BI146" s="124"/>
      <c r="BJ146" s="124"/>
      <c r="BK146" s="124"/>
      <c r="BL146" s="124"/>
      <c r="BM146" s="124"/>
      <c r="BN146" s="118"/>
      <c r="BO146" s="118"/>
      <c r="BP146" s="118"/>
      <c r="BQ146" s="118"/>
      <c r="BR146" s="118"/>
    </row>
    <row r="147" spans="1:70">
      <c r="A147" s="122">
        <v>57001</v>
      </c>
      <c r="B147" s="122" t="s">
        <v>656</v>
      </c>
      <c r="C147" s="122" t="s">
        <v>654</v>
      </c>
      <c r="D147" s="122" t="s">
        <v>613</v>
      </c>
      <c r="E147" s="122" t="s">
        <v>76</v>
      </c>
      <c r="F147" s="122" t="s">
        <v>1848</v>
      </c>
      <c r="G147" s="163" t="s">
        <v>1324</v>
      </c>
      <c r="H147" s="122">
        <v>5</v>
      </c>
      <c r="I147" s="122" t="s">
        <v>649</v>
      </c>
      <c r="J147" s="118">
        <v>63</v>
      </c>
      <c r="K147" s="118">
        <v>88.27</v>
      </c>
      <c r="L147" s="118">
        <v>3.08</v>
      </c>
      <c r="M147" s="118">
        <v>3.74</v>
      </c>
      <c r="N147" s="118">
        <v>4.2699999999999996</v>
      </c>
      <c r="O147" s="118">
        <v>0</v>
      </c>
      <c r="P147" s="118">
        <v>0.06</v>
      </c>
      <c r="Q147" s="118">
        <v>0.28000000000000003</v>
      </c>
      <c r="R147" s="118">
        <v>0.2</v>
      </c>
      <c r="S147" s="118">
        <v>0.34</v>
      </c>
      <c r="T147" s="118">
        <v>0.05</v>
      </c>
      <c r="U147" s="118">
        <v>8.5</v>
      </c>
      <c r="V147" s="118">
        <v>0.25</v>
      </c>
      <c r="W147" s="118">
        <v>2</v>
      </c>
      <c r="X147" s="118">
        <v>1.07</v>
      </c>
      <c r="Y147" s="118">
        <v>0.08</v>
      </c>
      <c r="Z147" s="118"/>
      <c r="AA147" s="118">
        <v>30.18</v>
      </c>
      <c r="AB147" s="118">
        <v>31.54</v>
      </c>
      <c r="AC147" s="118"/>
      <c r="AD147" s="118">
        <v>13.67</v>
      </c>
      <c r="AE147" s="118">
        <v>9.6199999999999992</v>
      </c>
      <c r="AF147" s="118"/>
      <c r="AG147" s="118"/>
      <c r="AH147" s="118">
        <v>5.01</v>
      </c>
      <c r="AI147" s="118">
        <v>103</v>
      </c>
      <c r="AJ147" s="118">
        <v>0.05</v>
      </c>
      <c r="AK147" s="118">
        <v>0.09</v>
      </c>
      <c r="AL147" s="118">
        <v>13</v>
      </c>
      <c r="AM147" s="118">
        <v>0.01</v>
      </c>
      <c r="AN147" s="118">
        <v>90</v>
      </c>
      <c r="AO147" s="118">
        <v>131.16</v>
      </c>
      <c r="AP147" s="118">
        <v>0.95</v>
      </c>
      <c r="AQ147" s="118">
        <v>0.45</v>
      </c>
      <c r="AR147" s="118">
        <v>1.94</v>
      </c>
      <c r="AS147" s="118">
        <v>0.94</v>
      </c>
      <c r="AT147" s="118">
        <v>0.15</v>
      </c>
      <c r="AU147" s="118">
        <v>14.96</v>
      </c>
      <c r="AV147" s="124">
        <v>7.6999999999999999E-2</v>
      </c>
      <c r="AW147" s="124">
        <v>0.13100000000000001</v>
      </c>
      <c r="AX147" s="124">
        <v>0.26700000000000002</v>
      </c>
      <c r="AY147" s="124">
        <v>0.22500000000000001</v>
      </c>
      <c r="AZ147" s="124">
        <v>6.9000000000000006E-2</v>
      </c>
      <c r="BA147" s="124">
        <v>2.1000000000000001E-2</v>
      </c>
      <c r="BB147" s="124">
        <v>0.13600000000000001</v>
      </c>
      <c r="BC147" s="124">
        <v>0.124</v>
      </c>
      <c r="BD147" s="124">
        <v>3.3000000000000002E-2</v>
      </c>
      <c r="BE147" s="124">
        <v>0.187</v>
      </c>
      <c r="BF147" s="124">
        <v>0.157</v>
      </c>
      <c r="BG147" s="124">
        <v>0.105</v>
      </c>
      <c r="BH147" s="124">
        <v>0.21099999999999999</v>
      </c>
      <c r="BI147" s="124">
        <v>0.71299999999999997</v>
      </c>
      <c r="BJ147" s="124">
        <v>6.2E-2</v>
      </c>
      <c r="BK147" s="124">
        <v>0.26400000000000001</v>
      </c>
      <c r="BL147" s="124">
        <v>0.161</v>
      </c>
      <c r="BM147" s="124">
        <v>0.14000000000000001</v>
      </c>
      <c r="BN147" s="118"/>
      <c r="BO147" s="118"/>
      <c r="BP147" s="118"/>
      <c r="BQ147" s="118"/>
      <c r="BR147" s="118"/>
    </row>
    <row r="148" spans="1:70">
      <c r="A148" s="122">
        <v>55004</v>
      </c>
      <c r="B148" s="122" t="s">
        <v>658</v>
      </c>
      <c r="C148" s="122"/>
      <c r="D148" s="122"/>
      <c r="E148" s="122" t="s">
        <v>76</v>
      </c>
      <c r="F148" s="122" t="s">
        <v>1325</v>
      </c>
      <c r="G148" s="163" t="s">
        <v>1849</v>
      </c>
      <c r="H148" s="122">
        <v>5</v>
      </c>
      <c r="I148" s="122" t="s">
        <v>628</v>
      </c>
      <c r="J148" s="118">
        <v>130</v>
      </c>
      <c r="K148" s="118">
        <v>70.81</v>
      </c>
      <c r="L148" s="118">
        <v>20.36</v>
      </c>
      <c r="M148" s="118">
        <v>3.63</v>
      </c>
      <c r="N148" s="118">
        <v>3.89</v>
      </c>
      <c r="O148" s="118">
        <v>0</v>
      </c>
      <c r="P148" s="118">
        <v>0.19</v>
      </c>
      <c r="Q148" s="118">
        <v>2.76</v>
      </c>
      <c r="R148" s="118">
        <v>13.18</v>
      </c>
      <c r="S148" s="118">
        <v>9.32</v>
      </c>
      <c r="T148" s="118">
        <v>1.08</v>
      </c>
      <c r="U148" s="118">
        <v>290</v>
      </c>
      <c r="V148" s="118"/>
      <c r="W148" s="118">
        <v>1.3</v>
      </c>
      <c r="X148" s="118">
        <v>1.2</v>
      </c>
      <c r="Y148" s="118">
        <v>0.38</v>
      </c>
      <c r="Z148" s="118"/>
      <c r="AA148" s="118">
        <v>4948</v>
      </c>
      <c r="AB148" s="118">
        <v>4968.33</v>
      </c>
      <c r="AC148" s="118">
        <v>11</v>
      </c>
      <c r="AD148" s="118">
        <v>232</v>
      </c>
      <c r="AE148" s="118"/>
      <c r="AF148" s="118"/>
      <c r="AG148" s="118"/>
      <c r="AH148" s="118"/>
      <c r="AI148" s="118">
        <v>4.05</v>
      </c>
      <c r="AJ148" s="118">
        <v>1.5</v>
      </c>
      <c r="AK148" s="118">
        <v>3.5</v>
      </c>
      <c r="AL148" s="118">
        <v>18</v>
      </c>
      <c r="AM148" s="118">
        <v>0.25</v>
      </c>
      <c r="AN148" s="118">
        <v>387</v>
      </c>
      <c r="AO148" s="118">
        <v>313</v>
      </c>
      <c r="AP148" s="118">
        <v>20.2</v>
      </c>
      <c r="AQ148" s="118">
        <v>3.71</v>
      </c>
      <c r="AR148" s="118">
        <v>1.23</v>
      </c>
      <c r="AS148" s="118">
        <v>0.48</v>
      </c>
      <c r="AT148" s="118">
        <v>0.47</v>
      </c>
      <c r="AU148" s="118">
        <v>275</v>
      </c>
      <c r="AV148" s="124">
        <v>0.629</v>
      </c>
      <c r="AW148" s="124">
        <v>0.96699999999999997</v>
      </c>
      <c r="AX148" s="124">
        <v>1.91</v>
      </c>
      <c r="AY148" s="124">
        <v>1.607</v>
      </c>
      <c r="AZ148" s="124">
        <v>0.54300000000000004</v>
      </c>
      <c r="BA148" s="124">
        <v>0.376</v>
      </c>
      <c r="BB148" s="124">
        <v>1.0840000000000001</v>
      </c>
      <c r="BC148" s="124">
        <v>0.86899999999999999</v>
      </c>
      <c r="BD148" s="124">
        <v>0.26300000000000001</v>
      </c>
      <c r="BE148" s="124">
        <v>1.26</v>
      </c>
      <c r="BF148" s="124">
        <v>1.1639999999999999</v>
      </c>
      <c r="BG148" s="124">
        <v>1.2410000000000001</v>
      </c>
      <c r="BH148" s="124">
        <v>1.927</v>
      </c>
      <c r="BI148" s="124">
        <v>2.6120000000000001</v>
      </c>
      <c r="BJ148" s="124">
        <v>1.1639999999999999</v>
      </c>
      <c r="BK148" s="124">
        <v>0.96099999999999997</v>
      </c>
      <c r="BL148" s="124">
        <v>0.90500000000000003</v>
      </c>
      <c r="BM148" s="124">
        <v>0.80700000000000005</v>
      </c>
      <c r="BN148" s="118"/>
      <c r="BO148" s="118"/>
      <c r="BP148" s="118"/>
      <c r="BQ148" s="118"/>
      <c r="BR148" s="118"/>
    </row>
    <row r="149" spans="1:70">
      <c r="A149" s="122">
        <v>55006</v>
      </c>
      <c r="B149" s="122" t="s">
        <v>661</v>
      </c>
      <c r="C149" s="122"/>
      <c r="D149" s="122"/>
      <c r="E149" s="122" t="s">
        <v>76</v>
      </c>
      <c r="F149" s="122" t="s">
        <v>1850</v>
      </c>
      <c r="G149" s="163" t="s">
        <v>1328</v>
      </c>
      <c r="H149" s="122">
        <v>6</v>
      </c>
      <c r="I149" s="122" t="s">
        <v>628</v>
      </c>
      <c r="J149" s="118">
        <v>81</v>
      </c>
      <c r="K149" s="118">
        <v>76.8</v>
      </c>
      <c r="L149" s="118">
        <v>1.4</v>
      </c>
      <c r="M149" s="118">
        <v>0.2</v>
      </c>
      <c r="N149" s="118">
        <v>15.7</v>
      </c>
      <c r="O149" s="118">
        <v>5.2</v>
      </c>
      <c r="P149" s="118">
        <v>0.11</v>
      </c>
      <c r="Q149" s="118">
        <v>7.0000000000000007E-2</v>
      </c>
      <c r="R149" s="118">
        <v>0.6</v>
      </c>
      <c r="S149" s="118"/>
      <c r="T149" s="118">
        <v>0.22</v>
      </c>
      <c r="U149" s="118"/>
      <c r="V149" s="118"/>
      <c r="W149" s="118">
        <v>5</v>
      </c>
      <c r="X149" s="118">
        <v>0</v>
      </c>
      <c r="Y149" s="118">
        <v>0</v>
      </c>
      <c r="Z149" s="118"/>
      <c r="AA149" s="118">
        <v>0</v>
      </c>
      <c r="AB149" s="118">
        <v>1.1100000000000001</v>
      </c>
      <c r="AC149" s="118"/>
      <c r="AD149" s="118">
        <v>29</v>
      </c>
      <c r="AE149" s="118"/>
      <c r="AF149" s="118"/>
      <c r="AG149" s="118"/>
      <c r="AH149" s="118"/>
      <c r="AI149" s="118">
        <v>10</v>
      </c>
      <c r="AJ149" s="118"/>
      <c r="AK149" s="118">
        <v>0.6</v>
      </c>
      <c r="AL149" s="118"/>
      <c r="AM149" s="118">
        <v>0.03</v>
      </c>
      <c r="AN149" s="118">
        <v>10</v>
      </c>
      <c r="AO149" s="118">
        <v>495</v>
      </c>
      <c r="AP149" s="118">
        <v>33.299999999999997</v>
      </c>
      <c r="AQ149" s="118"/>
      <c r="AR149" s="118"/>
      <c r="AS149" s="118"/>
      <c r="AT149" s="118"/>
      <c r="AU149" s="118"/>
      <c r="AV149" s="124"/>
      <c r="AW149" s="124"/>
      <c r="AX149" s="124"/>
      <c r="AY149" s="124"/>
      <c r="AZ149" s="124"/>
      <c r="BA149" s="124"/>
      <c r="BB149" s="124"/>
      <c r="BC149" s="124"/>
      <c r="BD149" s="124"/>
      <c r="BE149" s="124"/>
      <c r="BF149" s="124"/>
      <c r="BG149" s="124"/>
      <c r="BH149" s="124"/>
      <c r="BI149" s="124"/>
      <c r="BJ149" s="124"/>
      <c r="BK149" s="124"/>
      <c r="BL149" s="124"/>
      <c r="BM149" s="124"/>
      <c r="BN149" s="118"/>
      <c r="BO149" s="118"/>
      <c r="BP149" s="118"/>
      <c r="BQ149" s="118"/>
      <c r="BR149" s="118"/>
    </row>
    <row r="150" spans="1:70">
      <c r="A150" s="122">
        <v>58001</v>
      </c>
      <c r="B150" s="122" t="s">
        <v>663</v>
      </c>
      <c r="C150" s="122" t="s">
        <v>664</v>
      </c>
      <c r="D150" s="122" t="s">
        <v>665</v>
      </c>
      <c r="E150" s="122" t="s">
        <v>76</v>
      </c>
      <c r="F150" s="122" t="s">
        <v>1329</v>
      </c>
      <c r="G150" s="163" t="s">
        <v>1330</v>
      </c>
      <c r="H150" s="122">
        <v>6</v>
      </c>
      <c r="I150" s="122" t="s">
        <v>606</v>
      </c>
      <c r="J150" s="118">
        <v>196</v>
      </c>
      <c r="K150" s="118">
        <v>71.5</v>
      </c>
      <c r="L150" s="118">
        <v>18.5</v>
      </c>
      <c r="M150" s="118">
        <v>13.5</v>
      </c>
      <c r="N150" s="118">
        <v>0</v>
      </c>
      <c r="O150" s="118">
        <v>0</v>
      </c>
      <c r="P150" s="118">
        <v>0.18</v>
      </c>
      <c r="Q150" s="118">
        <v>0.14000000000000001</v>
      </c>
      <c r="R150" s="118">
        <v>2.69</v>
      </c>
      <c r="S150" s="118">
        <v>1</v>
      </c>
      <c r="T150" s="118">
        <v>0.13</v>
      </c>
      <c r="U150" s="118">
        <v>5.8</v>
      </c>
      <c r="V150" s="118">
        <v>1.2</v>
      </c>
      <c r="W150" s="118">
        <v>0</v>
      </c>
      <c r="X150" s="118">
        <v>0.2</v>
      </c>
      <c r="Y150" s="118">
        <v>0.31</v>
      </c>
      <c r="Z150" s="118"/>
      <c r="AA150" s="118">
        <v>9</v>
      </c>
      <c r="AB150" s="118">
        <v>9</v>
      </c>
      <c r="AC150" s="118"/>
      <c r="AD150" s="118"/>
      <c r="AE150" s="118"/>
      <c r="AF150" s="118"/>
      <c r="AG150" s="118"/>
      <c r="AH150" s="118"/>
      <c r="AI150" s="118">
        <v>12.5</v>
      </c>
      <c r="AJ150" s="118">
        <v>0.08</v>
      </c>
      <c r="AK150" s="118">
        <v>2.17</v>
      </c>
      <c r="AL150" s="118">
        <v>18.59</v>
      </c>
      <c r="AM150" s="118">
        <v>0.03</v>
      </c>
      <c r="AN150" s="118">
        <v>150</v>
      </c>
      <c r="AO150" s="118">
        <v>136.25</v>
      </c>
      <c r="AP150" s="118">
        <v>20.82</v>
      </c>
      <c r="AQ150" s="118">
        <v>3.92</v>
      </c>
      <c r="AR150" s="118">
        <v>6.55</v>
      </c>
      <c r="AS150" s="118">
        <v>5.09</v>
      </c>
      <c r="AT150" s="118">
        <v>0.62</v>
      </c>
      <c r="AU150" s="118">
        <v>78</v>
      </c>
      <c r="AV150" s="124">
        <v>0.97036999999999995</v>
      </c>
      <c r="AW150" s="124">
        <v>0.66394000000000009</v>
      </c>
      <c r="AX150" s="124">
        <v>1.34429</v>
      </c>
      <c r="AY150" s="124">
        <v>1.4348800000000002</v>
      </c>
      <c r="AZ150" s="124">
        <v>0.98314000000000001</v>
      </c>
      <c r="BA150" s="124">
        <v>1.7340199999999999</v>
      </c>
      <c r="BB150" s="124">
        <v>1.36496</v>
      </c>
      <c r="BC150" s="124">
        <v>0.91200000000000003</v>
      </c>
      <c r="BD150" s="124">
        <v>0.26691000000000004</v>
      </c>
      <c r="BE150" s="124">
        <v>0.82869999999999999</v>
      </c>
      <c r="BF150" s="124">
        <v>0.46573000000000003</v>
      </c>
      <c r="BG150" s="124">
        <v>2.64419</v>
      </c>
      <c r="BH150" s="124">
        <v>1.0044199999999999</v>
      </c>
      <c r="BI150" s="124">
        <v>0.25779000000000002</v>
      </c>
      <c r="BJ150" s="124">
        <v>0.78127999999999997</v>
      </c>
      <c r="BK150" s="124">
        <v>0.79161999999999999</v>
      </c>
      <c r="BL150" s="124">
        <v>0.80498999999999998</v>
      </c>
      <c r="BM150" s="124">
        <v>0.71683000000000008</v>
      </c>
      <c r="BN150" s="118"/>
      <c r="BO150" s="118"/>
      <c r="BP150" s="118"/>
      <c r="BQ150" s="118"/>
      <c r="BR150" s="118"/>
    </row>
    <row r="151" spans="1:70">
      <c r="A151" s="122">
        <v>58003</v>
      </c>
      <c r="B151" s="122" t="s">
        <v>670</v>
      </c>
      <c r="C151" s="122" t="s">
        <v>671</v>
      </c>
      <c r="D151" s="122" t="s">
        <v>672</v>
      </c>
      <c r="E151" s="122" t="s">
        <v>76</v>
      </c>
      <c r="F151" s="122" t="s">
        <v>1331</v>
      </c>
      <c r="G151" s="163" t="s">
        <v>1332</v>
      </c>
      <c r="H151" s="122">
        <v>7</v>
      </c>
      <c r="I151" s="122" t="s">
        <v>606</v>
      </c>
      <c r="J151" s="118">
        <v>95</v>
      </c>
      <c r="K151" s="118">
        <v>78.7</v>
      </c>
      <c r="L151" s="118">
        <v>19.399999999999999</v>
      </c>
      <c r="M151" s="118">
        <v>1.9</v>
      </c>
      <c r="N151" s="118">
        <v>0</v>
      </c>
      <c r="O151" s="118">
        <v>0</v>
      </c>
      <c r="P151" s="118">
        <v>0.04</v>
      </c>
      <c r="Q151" s="118">
        <v>0.2</v>
      </c>
      <c r="R151" s="118">
        <v>5.97</v>
      </c>
      <c r="S151" s="118"/>
      <c r="T151" s="118">
        <v>0.53</v>
      </c>
      <c r="U151" s="118">
        <v>8</v>
      </c>
      <c r="V151" s="118"/>
      <c r="W151" s="118">
        <v>0</v>
      </c>
      <c r="X151" s="118">
        <v>0.08</v>
      </c>
      <c r="Y151" s="118">
        <v>0.05</v>
      </c>
      <c r="Z151" s="118"/>
      <c r="AA151" s="118">
        <v>0</v>
      </c>
      <c r="AB151" s="118">
        <v>0</v>
      </c>
      <c r="AC151" s="118"/>
      <c r="AD151" s="118">
        <v>0</v>
      </c>
      <c r="AE151" s="118"/>
      <c r="AF151" s="118"/>
      <c r="AG151" s="118"/>
      <c r="AH151" s="118"/>
      <c r="AI151" s="118">
        <v>12</v>
      </c>
      <c r="AJ151" s="118">
        <v>0.15</v>
      </c>
      <c r="AK151" s="118">
        <v>1.61</v>
      </c>
      <c r="AL151" s="118">
        <v>32</v>
      </c>
      <c r="AM151" s="118"/>
      <c r="AN151" s="118">
        <v>189</v>
      </c>
      <c r="AO151" s="118">
        <v>297</v>
      </c>
      <c r="AP151" s="118">
        <v>9</v>
      </c>
      <c r="AQ151" s="118">
        <v>1.93</v>
      </c>
      <c r="AR151" s="118"/>
      <c r="AS151" s="118"/>
      <c r="AT151" s="118"/>
      <c r="AU151" s="118"/>
      <c r="AV151" s="124"/>
      <c r="AW151" s="124"/>
      <c r="AX151" s="124"/>
      <c r="AY151" s="124"/>
      <c r="AZ151" s="124"/>
      <c r="BA151" s="124"/>
      <c r="BB151" s="124"/>
      <c r="BC151" s="124"/>
      <c r="BD151" s="124"/>
      <c r="BE151" s="124"/>
      <c r="BF151" s="124"/>
      <c r="BG151" s="124"/>
      <c r="BH151" s="124"/>
      <c r="BI151" s="124"/>
      <c r="BJ151" s="124"/>
      <c r="BK151" s="124"/>
      <c r="BL151" s="124"/>
      <c r="BM151" s="124"/>
      <c r="BN151" s="118"/>
      <c r="BO151" s="118"/>
      <c r="BP151" s="118"/>
      <c r="BQ151" s="118"/>
      <c r="BR151" s="118"/>
    </row>
    <row r="152" spans="1:70">
      <c r="A152" s="122">
        <v>55005</v>
      </c>
      <c r="B152" s="122" t="s">
        <v>674</v>
      </c>
      <c r="C152" s="122" t="s">
        <v>675</v>
      </c>
      <c r="D152" s="122"/>
      <c r="E152" s="122" t="s">
        <v>103</v>
      </c>
      <c r="F152" s="122">
        <v>35021</v>
      </c>
      <c r="G152" s="163" t="s">
        <v>676</v>
      </c>
      <c r="H152" s="122">
        <v>7</v>
      </c>
      <c r="I152" s="122" t="s">
        <v>606</v>
      </c>
      <c r="J152" s="118">
        <v>786</v>
      </c>
      <c r="K152" s="118">
        <v>7.4</v>
      </c>
      <c r="L152" s="118">
        <v>6.7</v>
      </c>
      <c r="M152" s="118">
        <v>84.4</v>
      </c>
      <c r="N152" s="118">
        <v>0</v>
      </c>
      <c r="O152" s="118"/>
      <c r="P152" s="118">
        <v>0.04</v>
      </c>
      <c r="Q152" s="118"/>
      <c r="R152" s="118">
        <v>0.2</v>
      </c>
      <c r="S152" s="118"/>
      <c r="T152" s="118"/>
      <c r="U152" s="118"/>
      <c r="V152" s="118"/>
      <c r="W152" s="118"/>
      <c r="X152" s="118"/>
      <c r="Y152" s="118"/>
      <c r="Z152" s="118"/>
      <c r="AA152" s="118"/>
      <c r="AB152" s="118"/>
      <c r="AC152" s="118"/>
      <c r="AD152" s="118"/>
      <c r="AE152" s="118"/>
      <c r="AF152" s="118"/>
      <c r="AG152" s="118"/>
      <c r="AH152" s="118"/>
      <c r="AI152" s="118"/>
      <c r="AJ152" s="118"/>
      <c r="AK152" s="118">
        <v>4.5</v>
      </c>
      <c r="AL152" s="118"/>
      <c r="AM152" s="118"/>
      <c r="AN152" s="118">
        <v>107</v>
      </c>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row>
    <row r="153" spans="1:70">
      <c r="A153" s="122">
        <v>55007</v>
      </c>
      <c r="B153" s="122" t="s">
        <v>677</v>
      </c>
      <c r="C153" s="122" t="s">
        <v>678</v>
      </c>
      <c r="D153" s="122"/>
      <c r="E153" s="122" t="s">
        <v>82</v>
      </c>
      <c r="F153" s="122" t="s">
        <v>679</v>
      </c>
      <c r="G153" s="163" t="s">
        <v>680</v>
      </c>
      <c r="H153" s="122">
        <v>7</v>
      </c>
      <c r="I153" s="122" t="s">
        <v>628</v>
      </c>
      <c r="J153" s="118">
        <v>127.39</v>
      </c>
      <c r="K153" s="118">
        <v>76.739999999999995</v>
      </c>
      <c r="L153" s="118">
        <v>13.82</v>
      </c>
      <c r="M153" s="118">
        <v>8.06</v>
      </c>
      <c r="N153" s="118"/>
      <c r="O153" s="118"/>
      <c r="P153" s="118">
        <v>0.13</v>
      </c>
      <c r="Q153" s="118">
        <v>0.17</v>
      </c>
      <c r="R153" s="118">
        <v>2.04</v>
      </c>
      <c r="S153" s="118">
        <v>1.52</v>
      </c>
      <c r="T153" s="118">
        <v>0.28000000000000003</v>
      </c>
      <c r="U153" s="118">
        <v>1.3</v>
      </c>
      <c r="V153" s="118">
        <v>9.51</v>
      </c>
      <c r="W153" s="118">
        <v>10.7</v>
      </c>
      <c r="X153" s="118">
        <v>0.3</v>
      </c>
      <c r="Y153" s="118">
        <v>0.08</v>
      </c>
      <c r="Z153" s="118"/>
      <c r="AA153" s="118">
        <v>1.98</v>
      </c>
      <c r="AB153" s="125">
        <f>AA153+1/12*(AD153)+1/24*(AC153)+1/24*(AG153)</f>
        <v>9.3133333333333326</v>
      </c>
      <c r="AC153" s="118"/>
      <c r="AD153" s="118">
        <v>88</v>
      </c>
      <c r="AE153" s="118">
        <v>0</v>
      </c>
      <c r="AF153" s="118"/>
      <c r="AG153" s="118"/>
      <c r="AH153" s="118"/>
      <c r="AI153" s="118">
        <v>10.61</v>
      </c>
      <c r="AJ153" s="118">
        <v>0.3</v>
      </c>
      <c r="AK153" s="118">
        <v>1.63</v>
      </c>
      <c r="AL153" s="118">
        <v>13.94</v>
      </c>
      <c r="AM153" s="118">
        <v>0.04</v>
      </c>
      <c r="AN153" s="118">
        <v>296</v>
      </c>
      <c r="AO153" s="118">
        <v>296</v>
      </c>
      <c r="AP153" s="118">
        <v>21.7</v>
      </c>
      <c r="AQ153" s="118">
        <v>1.08</v>
      </c>
      <c r="AR153" s="118">
        <v>2.1379999999999999</v>
      </c>
      <c r="AS153" s="118">
        <v>1.4470000000000001</v>
      </c>
      <c r="AT153" s="118">
        <v>0.93899999999999995</v>
      </c>
      <c r="AU153" s="118">
        <v>1340</v>
      </c>
      <c r="AV153" s="118">
        <v>5.29</v>
      </c>
      <c r="AW153" s="118">
        <v>2.98</v>
      </c>
      <c r="AX153" s="118">
        <v>5.21</v>
      </c>
      <c r="AY153" s="118">
        <v>8.24</v>
      </c>
      <c r="AZ153" s="118">
        <v>6.01</v>
      </c>
      <c r="BA153" s="118">
        <v>8.4700000000000006</v>
      </c>
      <c r="BB153" s="118">
        <v>6.61</v>
      </c>
      <c r="BC153" s="118">
        <v>5.29</v>
      </c>
      <c r="BD153" s="118">
        <v>1.36</v>
      </c>
      <c r="BE153" s="118">
        <v>4.7</v>
      </c>
      <c r="BF153" s="118">
        <v>3.05</v>
      </c>
      <c r="BG153" s="118">
        <v>13.68</v>
      </c>
      <c r="BH153" s="118">
        <v>5.72</v>
      </c>
      <c r="BI153" s="118">
        <v>1.29</v>
      </c>
      <c r="BJ153" s="118">
        <v>4.2</v>
      </c>
      <c r="BK153" s="118">
        <v>4.82</v>
      </c>
      <c r="BL153" s="118">
        <v>5.29</v>
      </c>
      <c r="BM153" s="118">
        <v>4.68</v>
      </c>
      <c r="BN153" s="118"/>
      <c r="BO153" s="118"/>
      <c r="BP153" s="118"/>
      <c r="BQ153" s="118"/>
      <c r="BR153" s="118"/>
    </row>
    <row r="154" spans="1:70">
      <c r="A154" s="122">
        <v>58004</v>
      </c>
      <c r="B154" s="122" t="s">
        <v>681</v>
      </c>
      <c r="C154" s="122" t="s">
        <v>682</v>
      </c>
      <c r="D154" s="122" t="s">
        <v>683</v>
      </c>
      <c r="E154" s="122" t="s">
        <v>103</v>
      </c>
      <c r="F154" s="122">
        <v>167745</v>
      </c>
      <c r="G154" s="163" t="s">
        <v>1335</v>
      </c>
      <c r="H154" s="122">
        <v>6</v>
      </c>
      <c r="I154" s="122" t="s">
        <v>606</v>
      </c>
      <c r="J154" s="118">
        <v>89</v>
      </c>
      <c r="K154" s="118">
        <v>78.5</v>
      </c>
      <c r="L154" s="118">
        <v>19.8</v>
      </c>
      <c r="M154" s="118">
        <v>0.5</v>
      </c>
      <c r="N154" s="118">
        <v>0</v>
      </c>
      <c r="O154" s="118">
        <v>0</v>
      </c>
      <c r="P154" s="118">
        <v>0.12</v>
      </c>
      <c r="Q154" s="118">
        <v>0.15</v>
      </c>
      <c r="R154" s="118">
        <v>1.1000000000000001</v>
      </c>
      <c r="S154" s="118"/>
      <c r="T154" s="118">
        <v>0.12</v>
      </c>
      <c r="U154" s="118">
        <v>15</v>
      </c>
      <c r="V154" s="118">
        <v>1</v>
      </c>
      <c r="W154" s="118">
        <v>0</v>
      </c>
      <c r="X154" s="118">
        <v>0</v>
      </c>
      <c r="Y154" s="118">
        <v>0.5</v>
      </c>
      <c r="Z154" s="118">
        <v>0.1</v>
      </c>
      <c r="AA154" s="118">
        <v>30</v>
      </c>
      <c r="AB154" s="118">
        <v>30</v>
      </c>
      <c r="AC154" s="118">
        <v>0</v>
      </c>
      <c r="AD154" s="118">
        <v>0</v>
      </c>
      <c r="AE154" s="118">
        <v>0</v>
      </c>
      <c r="AF154" s="118">
        <v>0</v>
      </c>
      <c r="AG154" s="118">
        <v>0</v>
      </c>
      <c r="AH154" s="118">
        <v>0</v>
      </c>
      <c r="AI154" s="118">
        <v>118</v>
      </c>
      <c r="AJ154" s="118">
        <v>0.25</v>
      </c>
      <c r="AK154" s="118">
        <v>1.4</v>
      </c>
      <c r="AL154" s="118">
        <v>20</v>
      </c>
      <c r="AM154" s="118"/>
      <c r="AN154" s="118">
        <v>180</v>
      </c>
      <c r="AO154" s="118">
        <v>230</v>
      </c>
      <c r="AP154" s="118">
        <v>16.8</v>
      </c>
      <c r="AQ154" s="118">
        <v>1</v>
      </c>
      <c r="AR154" s="118">
        <v>0.127</v>
      </c>
      <c r="AS154" s="118">
        <v>8.7999999999999995E-2</v>
      </c>
      <c r="AT154" s="118">
        <v>0.17</v>
      </c>
      <c r="AU154" s="118">
        <v>50</v>
      </c>
      <c r="AV154" s="118" t="s">
        <v>1098</v>
      </c>
      <c r="AW154" s="118" t="s">
        <v>1098</v>
      </c>
      <c r="AX154" s="118" t="s">
        <v>1098</v>
      </c>
      <c r="AY154" s="118" t="s">
        <v>1098</v>
      </c>
      <c r="AZ154" s="118" t="s">
        <v>1098</v>
      </c>
      <c r="BA154" s="118" t="s">
        <v>1098</v>
      </c>
      <c r="BB154" s="118" t="s">
        <v>1098</v>
      </c>
      <c r="BC154" s="118" t="s">
        <v>1098</v>
      </c>
      <c r="BD154" s="118" t="s">
        <v>1098</v>
      </c>
      <c r="BE154" s="118" t="s">
        <v>1098</v>
      </c>
      <c r="BF154" s="118" t="s">
        <v>1098</v>
      </c>
      <c r="BG154" s="118" t="s">
        <v>1098</v>
      </c>
      <c r="BH154" s="118" t="s">
        <v>1098</v>
      </c>
      <c r="BI154" s="118" t="s">
        <v>1098</v>
      </c>
      <c r="BJ154" s="118" t="s">
        <v>1098</v>
      </c>
      <c r="BK154" s="118" t="s">
        <v>1098</v>
      </c>
      <c r="BL154" s="118" t="s">
        <v>1098</v>
      </c>
      <c r="BM154" s="118" t="s">
        <v>1098</v>
      </c>
      <c r="BN154" s="118"/>
      <c r="BO154" s="118"/>
      <c r="BP154" s="118"/>
      <c r="BQ154" s="118"/>
      <c r="BR154" s="118"/>
    </row>
    <row r="155" spans="1:70">
      <c r="A155" s="122">
        <v>58005</v>
      </c>
      <c r="B155" s="122" t="s">
        <v>684</v>
      </c>
      <c r="C155" s="122" t="s">
        <v>685</v>
      </c>
      <c r="D155" s="122" t="s">
        <v>686</v>
      </c>
      <c r="E155" s="122" t="s">
        <v>76</v>
      </c>
      <c r="F155" s="122" t="s">
        <v>1851</v>
      </c>
      <c r="G155" s="163" t="s">
        <v>1338</v>
      </c>
      <c r="H155" s="122">
        <v>7</v>
      </c>
      <c r="I155" s="122" t="s">
        <v>606</v>
      </c>
      <c r="J155" s="118">
        <v>114</v>
      </c>
      <c r="K155" s="118">
        <v>77.400000000000006</v>
      </c>
      <c r="L155" s="118">
        <v>18.7</v>
      </c>
      <c r="M155" s="118">
        <v>4.4000000000000004</v>
      </c>
      <c r="N155" s="118">
        <v>0</v>
      </c>
      <c r="O155" s="118">
        <v>0</v>
      </c>
      <c r="P155" s="118">
        <v>0.53</v>
      </c>
      <c r="Q155" s="118">
        <v>0.16</v>
      </c>
      <c r="R155" s="118">
        <v>2.71</v>
      </c>
      <c r="S155" s="118">
        <v>0.79</v>
      </c>
      <c r="T155" s="118">
        <v>0.31</v>
      </c>
      <c r="U155" s="118">
        <v>1.07</v>
      </c>
      <c r="V155" s="118">
        <v>1</v>
      </c>
      <c r="W155" s="118">
        <v>0</v>
      </c>
      <c r="X155" s="118">
        <v>7.8</v>
      </c>
      <c r="Y155" s="118"/>
      <c r="Z155" s="118"/>
      <c r="AA155" s="118">
        <v>0</v>
      </c>
      <c r="AB155" s="118">
        <v>0</v>
      </c>
      <c r="AC155" s="118"/>
      <c r="AD155" s="118"/>
      <c r="AE155" s="118"/>
      <c r="AF155" s="118"/>
      <c r="AG155" s="118"/>
      <c r="AH155" s="118"/>
      <c r="AI155" s="118">
        <v>30</v>
      </c>
      <c r="AJ155" s="118">
        <v>7.0000000000000007E-2</v>
      </c>
      <c r="AK155" s="118">
        <v>2.2000000000000002</v>
      </c>
      <c r="AL155" s="118">
        <v>17.82</v>
      </c>
      <c r="AM155" s="118">
        <v>0.03</v>
      </c>
      <c r="AN155" s="118">
        <v>200</v>
      </c>
      <c r="AO155" s="118">
        <v>260.93</v>
      </c>
      <c r="AP155" s="118">
        <v>15.06</v>
      </c>
      <c r="AQ155" s="118">
        <v>2.57</v>
      </c>
      <c r="AR155" s="118">
        <v>1.76</v>
      </c>
      <c r="AS155" s="118">
        <v>1.98</v>
      </c>
      <c r="AT155" s="118">
        <v>0.33</v>
      </c>
      <c r="AU155" s="118">
        <v>65</v>
      </c>
      <c r="AV155" s="124">
        <v>0.80520999999999998</v>
      </c>
      <c r="AW155" s="124">
        <v>0.69117999999999991</v>
      </c>
      <c r="AX155" s="124">
        <v>0.99846000000000001</v>
      </c>
      <c r="AY155" s="124">
        <v>1.40673</v>
      </c>
      <c r="AZ155" s="124">
        <v>1.04982</v>
      </c>
      <c r="BA155" s="124">
        <v>1.6452500000000001</v>
      </c>
      <c r="BB155" s="124">
        <v>1.2021600000000001</v>
      </c>
      <c r="BC155" s="124">
        <v>0.78519000000000005</v>
      </c>
      <c r="BD155" s="124">
        <v>0.22894</v>
      </c>
      <c r="BE155" s="124">
        <v>0.76429999999999998</v>
      </c>
      <c r="BF155" s="124">
        <v>0.50227999999999995</v>
      </c>
      <c r="BG155" s="124">
        <v>2.4008400000000001</v>
      </c>
      <c r="BH155" s="124">
        <v>0.94623000000000002</v>
      </c>
      <c r="BI155" s="124">
        <v>0.24026</v>
      </c>
      <c r="BJ155" s="124">
        <v>0.95841999999999994</v>
      </c>
      <c r="BK155" s="124">
        <v>0.77910000000000001</v>
      </c>
      <c r="BL155" s="124">
        <v>0.78519000000000005</v>
      </c>
      <c r="BM155" s="124">
        <v>0.58235999999999999</v>
      </c>
      <c r="BN155" s="118"/>
      <c r="BO155" s="118"/>
      <c r="BP155" s="118"/>
      <c r="BQ155" s="118"/>
      <c r="BR155" s="118"/>
    </row>
    <row r="156" spans="1:70">
      <c r="A156" s="122">
        <v>56003</v>
      </c>
      <c r="B156" s="122" t="s">
        <v>688</v>
      </c>
      <c r="C156" s="122" t="s">
        <v>689</v>
      </c>
      <c r="D156" s="122" t="s">
        <v>690</v>
      </c>
      <c r="E156" s="122" t="s">
        <v>82</v>
      </c>
      <c r="F156" s="122" t="s">
        <v>691</v>
      </c>
      <c r="G156" s="163" t="s">
        <v>692</v>
      </c>
      <c r="H156" s="122">
        <v>7</v>
      </c>
      <c r="I156" s="122" t="s">
        <v>642</v>
      </c>
      <c r="J156" s="118">
        <v>151.77000000000001</v>
      </c>
      <c r="K156" s="118">
        <v>75.11</v>
      </c>
      <c r="L156" s="118">
        <v>12.39</v>
      </c>
      <c r="M156" s="118">
        <v>11.46</v>
      </c>
      <c r="N156" s="118"/>
      <c r="O156" s="118"/>
      <c r="P156" s="118">
        <v>0.15</v>
      </c>
      <c r="Q156" s="118">
        <v>0.11</v>
      </c>
      <c r="R156" s="118">
        <v>0.12</v>
      </c>
      <c r="S156" s="118">
        <v>0.93</v>
      </c>
      <c r="T156" s="118">
        <v>0.17</v>
      </c>
      <c r="U156" s="118">
        <v>54.86</v>
      </c>
      <c r="V156" s="118">
        <v>1.58</v>
      </c>
      <c r="W156" s="118"/>
      <c r="X156" s="118">
        <v>5.72</v>
      </c>
      <c r="Y156" s="118">
        <v>0.98</v>
      </c>
      <c r="Z156" s="118"/>
      <c r="AA156" s="118">
        <v>151</v>
      </c>
      <c r="AB156" s="125">
        <f>AA156+1/12*(AD156)+1/24*(AC156)+1/24*(AG156)</f>
        <v>152.22875000000002</v>
      </c>
      <c r="AC156" s="118"/>
      <c r="AD156" s="118">
        <v>12.96</v>
      </c>
      <c r="AE156" s="118">
        <v>14.83</v>
      </c>
      <c r="AF156" s="118"/>
      <c r="AG156" s="118">
        <v>3.57</v>
      </c>
      <c r="AH156" s="118">
        <v>28.48</v>
      </c>
      <c r="AI156" s="118">
        <v>60.67</v>
      </c>
      <c r="AJ156" s="118">
        <v>0.09</v>
      </c>
      <c r="AK156" s="118">
        <v>2.5499999999999998</v>
      </c>
      <c r="AL156" s="118">
        <v>11</v>
      </c>
      <c r="AM156" s="118">
        <v>0.03</v>
      </c>
      <c r="AN156" s="118">
        <v>236</v>
      </c>
      <c r="AO156" s="118">
        <v>119</v>
      </c>
      <c r="AP156" s="118">
        <v>50.63</v>
      </c>
      <c r="AQ156" s="118">
        <v>1.51</v>
      </c>
      <c r="AR156" s="118">
        <v>2.7879999999999998</v>
      </c>
      <c r="AS156" s="118">
        <v>4.21</v>
      </c>
      <c r="AT156" s="118">
        <v>2.399</v>
      </c>
      <c r="AU156" s="118">
        <v>833</v>
      </c>
      <c r="AV156" s="118">
        <v>4.8600000000000003</v>
      </c>
      <c r="AW156" s="118">
        <v>2.4</v>
      </c>
      <c r="AX156" s="118">
        <v>7.11</v>
      </c>
      <c r="AY156" s="118">
        <v>7.96</v>
      </c>
      <c r="AZ156" s="118">
        <v>6.18</v>
      </c>
      <c r="BA156" s="118">
        <v>10.79</v>
      </c>
      <c r="BB156" s="118">
        <v>6.03</v>
      </c>
      <c r="BC156" s="118">
        <v>6.5</v>
      </c>
      <c r="BD156" s="118"/>
      <c r="BE156" s="118">
        <v>5.73</v>
      </c>
      <c r="BF156" s="118">
        <v>2.64</v>
      </c>
      <c r="BG156" s="118">
        <v>13.77</v>
      </c>
      <c r="BH156" s="118">
        <v>4.1399999999999997</v>
      </c>
      <c r="BI156" s="118">
        <v>1.85</v>
      </c>
      <c r="BJ156" s="118">
        <v>3.36</v>
      </c>
      <c r="BK156" s="118">
        <v>5.77</v>
      </c>
      <c r="BL156" s="118">
        <v>6.43</v>
      </c>
      <c r="BM156" s="118">
        <v>3.73</v>
      </c>
      <c r="BN156" s="118"/>
      <c r="BO156" s="118"/>
      <c r="BP156" s="118"/>
      <c r="BQ156" s="118"/>
      <c r="BR156" s="118"/>
    </row>
    <row r="157" spans="1:70">
      <c r="A157" s="122">
        <v>56004</v>
      </c>
      <c r="B157" s="122" t="s">
        <v>693</v>
      </c>
      <c r="C157" s="122" t="s">
        <v>694</v>
      </c>
      <c r="D157" s="122" t="s">
        <v>695</v>
      </c>
      <c r="E157" s="122" t="s">
        <v>76</v>
      </c>
      <c r="F157" s="122" t="s">
        <v>1315</v>
      </c>
      <c r="G157" s="163" t="s">
        <v>1316</v>
      </c>
      <c r="H157" s="122">
        <v>9</v>
      </c>
      <c r="I157" s="122" t="s">
        <v>642</v>
      </c>
      <c r="J157" s="118">
        <v>188</v>
      </c>
      <c r="K157" s="118">
        <v>69.7</v>
      </c>
      <c r="L157" s="118">
        <v>13.48</v>
      </c>
      <c r="M157" s="118">
        <v>14.29</v>
      </c>
      <c r="N157" s="118">
        <v>1.44</v>
      </c>
      <c r="O157" s="118">
        <v>0</v>
      </c>
      <c r="P157" s="118">
        <v>0.12</v>
      </c>
      <c r="Q157" s="118">
        <v>0.26</v>
      </c>
      <c r="R157" s="118">
        <v>0.2</v>
      </c>
      <c r="S157" s="118">
        <v>0.51</v>
      </c>
      <c r="T157" s="118">
        <v>0.25</v>
      </c>
      <c r="U157" s="118">
        <v>80</v>
      </c>
      <c r="V157" s="118">
        <v>5.4</v>
      </c>
      <c r="W157" s="118">
        <v>0</v>
      </c>
      <c r="X157" s="118">
        <v>2.67</v>
      </c>
      <c r="Y157" s="118">
        <v>1.39</v>
      </c>
      <c r="Z157" s="118"/>
      <c r="AA157" s="118">
        <v>360</v>
      </c>
      <c r="AB157" s="118">
        <v>361.73</v>
      </c>
      <c r="AC157" s="118">
        <v>0</v>
      </c>
      <c r="AD157" s="118">
        <v>14.53</v>
      </c>
      <c r="AE157" s="118"/>
      <c r="AF157" s="118"/>
      <c r="AG157" s="118"/>
      <c r="AH157" s="118"/>
      <c r="AI157" s="118">
        <v>65</v>
      </c>
      <c r="AJ157" s="118">
        <v>0.06</v>
      </c>
      <c r="AK157" s="118">
        <v>2.42</v>
      </c>
      <c r="AL157" s="118">
        <v>10.66</v>
      </c>
      <c r="AM157" s="118">
        <v>0.06</v>
      </c>
      <c r="AN157" s="118">
        <v>220</v>
      </c>
      <c r="AO157" s="118">
        <v>222</v>
      </c>
      <c r="AP157" s="118">
        <v>46.33</v>
      </c>
      <c r="AQ157" s="118">
        <v>1.41</v>
      </c>
      <c r="AR157" s="118">
        <v>3.83</v>
      </c>
      <c r="AS157" s="118">
        <v>6.73</v>
      </c>
      <c r="AT157" s="118">
        <v>1.24</v>
      </c>
      <c r="AU157" s="118">
        <v>884</v>
      </c>
      <c r="AV157" s="124">
        <v>0.34799999999999998</v>
      </c>
      <c r="AW157" s="124">
        <v>0.63200000000000001</v>
      </c>
      <c r="AX157" s="124">
        <v>1.1579999999999999</v>
      </c>
      <c r="AY157" s="124">
        <v>0.99</v>
      </c>
      <c r="AZ157" s="124">
        <v>0.6</v>
      </c>
      <c r="BA157" s="124">
        <v>0.30499999999999999</v>
      </c>
      <c r="BB157" s="124">
        <v>0.88500000000000001</v>
      </c>
      <c r="BC157" s="124">
        <v>0.77900000000000003</v>
      </c>
      <c r="BD157" s="124">
        <v>0.28399999999999997</v>
      </c>
      <c r="BE157" s="124">
        <v>0.92700000000000005</v>
      </c>
      <c r="BF157" s="124">
        <v>0.67400000000000004</v>
      </c>
      <c r="BG157" s="124">
        <v>0.8</v>
      </c>
      <c r="BH157" s="124">
        <v>0.82099999999999995</v>
      </c>
      <c r="BI157" s="124">
        <v>1.8959999999999999</v>
      </c>
      <c r="BJ157" s="124">
        <v>0.45300000000000001</v>
      </c>
      <c r="BK157" s="124">
        <v>0.495</v>
      </c>
      <c r="BL157" s="124">
        <v>1.0109999999999999</v>
      </c>
      <c r="BM157" s="124">
        <v>0.65300000000000002</v>
      </c>
      <c r="BN157" s="118"/>
      <c r="BO157" s="118"/>
      <c r="BP157" s="118"/>
      <c r="BQ157" s="118"/>
      <c r="BR157" s="118"/>
    </row>
    <row r="158" spans="1:70">
      <c r="A158" s="122">
        <v>32031</v>
      </c>
      <c r="B158" s="122" t="s">
        <v>696</v>
      </c>
      <c r="C158" s="122" t="s">
        <v>697</v>
      </c>
      <c r="D158" s="122" t="s">
        <v>698</v>
      </c>
      <c r="E158" s="122" t="s">
        <v>76</v>
      </c>
      <c r="F158" s="122" t="s">
        <v>1339</v>
      </c>
      <c r="G158" s="163" t="s">
        <v>1340</v>
      </c>
      <c r="H158" s="122">
        <v>9</v>
      </c>
      <c r="I158" s="122" t="s">
        <v>291</v>
      </c>
      <c r="J158" s="118">
        <v>40</v>
      </c>
      <c r="K158" s="118">
        <v>88.1</v>
      </c>
      <c r="L158" s="118">
        <v>1.3</v>
      </c>
      <c r="M158" s="118">
        <v>0.2</v>
      </c>
      <c r="N158" s="118">
        <v>6.68</v>
      </c>
      <c r="O158" s="118">
        <v>3.12</v>
      </c>
      <c r="P158" s="118">
        <v>0.06</v>
      </c>
      <c r="Q158" s="118">
        <v>0.05</v>
      </c>
      <c r="R158" s="118">
        <v>0.4</v>
      </c>
      <c r="S158" s="118">
        <v>0.26</v>
      </c>
      <c r="T158" s="118">
        <v>0.06</v>
      </c>
      <c r="U158" s="118">
        <v>5</v>
      </c>
      <c r="V158" s="118">
        <v>0</v>
      </c>
      <c r="W158" s="118">
        <v>5</v>
      </c>
      <c r="X158" s="118">
        <v>0.72</v>
      </c>
      <c r="Y158" s="118">
        <v>0.11</v>
      </c>
      <c r="Z158" s="118">
        <v>5.75</v>
      </c>
      <c r="AA158" s="118">
        <v>0</v>
      </c>
      <c r="AB158" s="118">
        <v>7.08</v>
      </c>
      <c r="AC158" s="118">
        <v>0</v>
      </c>
      <c r="AD158" s="118">
        <v>85</v>
      </c>
      <c r="AE158" s="118">
        <v>19</v>
      </c>
      <c r="AF158" s="118"/>
      <c r="AG158" s="118"/>
      <c r="AH158" s="118">
        <v>2.0099999999999998</v>
      </c>
      <c r="AI158" s="118">
        <v>80</v>
      </c>
      <c r="AJ158" s="118">
        <v>7.0000000000000007E-2</v>
      </c>
      <c r="AK158" s="118">
        <v>1.1000000000000001</v>
      </c>
      <c r="AL158" s="118">
        <v>17</v>
      </c>
      <c r="AM158" s="118">
        <v>7.0000000000000007E-2</v>
      </c>
      <c r="AN158" s="118">
        <v>31</v>
      </c>
      <c r="AO158" s="118">
        <v>232</v>
      </c>
      <c r="AP158" s="118"/>
      <c r="AQ158" s="118">
        <v>0.15</v>
      </c>
      <c r="AR158" s="118">
        <v>0.09</v>
      </c>
      <c r="AS158" s="118">
        <v>0.04</v>
      </c>
      <c r="AT158" s="118">
        <v>0.1</v>
      </c>
      <c r="AU158" s="118"/>
      <c r="AV158" s="124">
        <v>2.3550000000000001E-2</v>
      </c>
      <c r="AW158" s="124">
        <v>9.8250000000000004E-2</v>
      </c>
      <c r="AX158" s="124">
        <v>0.11774</v>
      </c>
      <c r="AY158" s="124">
        <v>6.4760000000000012E-2</v>
      </c>
      <c r="AZ158" s="124">
        <v>1.8269999999999998E-2</v>
      </c>
      <c r="BA158" s="124">
        <v>3.4099999999999998E-2</v>
      </c>
      <c r="BB158" s="124">
        <v>6.8209999999999993E-2</v>
      </c>
      <c r="BC158" s="124">
        <v>8.6069999999999994E-2</v>
      </c>
      <c r="BD158" s="124">
        <v>1.7260000000000001E-2</v>
      </c>
      <c r="BE158" s="124">
        <v>0.10840000000000001</v>
      </c>
      <c r="BF158" s="124">
        <v>0.11652</v>
      </c>
      <c r="BG158" s="124">
        <v>4.1009999999999998E-2</v>
      </c>
      <c r="BH158" s="124">
        <v>0.42426999999999998</v>
      </c>
      <c r="BI158" s="124">
        <v>0.39300999999999997</v>
      </c>
      <c r="BJ158" s="124">
        <v>9.5610000000000001E-2</v>
      </c>
      <c r="BK158" s="124">
        <v>9.9269999999999997E-2</v>
      </c>
      <c r="BL158" s="124">
        <v>9.398999999999999E-2</v>
      </c>
      <c r="BM158" s="124">
        <v>5.6840000000000002E-2</v>
      </c>
      <c r="BN158" s="118">
        <v>25.16</v>
      </c>
      <c r="BO158" s="118">
        <v>48.59</v>
      </c>
      <c r="BP158" s="118"/>
      <c r="BQ158" s="118"/>
      <c r="BR158" s="118"/>
    </row>
    <row r="159" spans="1:70">
      <c r="A159" s="122">
        <v>32032</v>
      </c>
      <c r="B159" s="122" t="s">
        <v>700</v>
      </c>
      <c r="C159" s="122" t="s">
        <v>701</v>
      </c>
      <c r="D159" s="122" t="s">
        <v>702</v>
      </c>
      <c r="E159" s="122" t="s">
        <v>76</v>
      </c>
      <c r="F159" s="122" t="s">
        <v>1341</v>
      </c>
      <c r="G159" s="163" t="s">
        <v>1342</v>
      </c>
      <c r="H159" s="122">
        <v>14</v>
      </c>
      <c r="I159" s="122" t="s">
        <v>291</v>
      </c>
      <c r="J159" s="118">
        <v>41</v>
      </c>
      <c r="K159" s="118">
        <v>88.7</v>
      </c>
      <c r="L159" s="118">
        <v>0.54</v>
      </c>
      <c r="M159" s="118">
        <v>0.72</v>
      </c>
      <c r="N159" s="118">
        <v>6.71</v>
      </c>
      <c r="O159" s="118">
        <v>2.8</v>
      </c>
      <c r="P159" s="118">
        <v>0.12</v>
      </c>
      <c r="Q159" s="118">
        <v>0.04</v>
      </c>
      <c r="R159" s="118">
        <v>0.37</v>
      </c>
      <c r="S159" s="118">
        <v>0.26</v>
      </c>
      <c r="T159" s="118">
        <v>0.02</v>
      </c>
      <c r="U159" s="118">
        <v>12</v>
      </c>
      <c r="V159" s="118">
        <v>0</v>
      </c>
      <c r="W159" s="118">
        <v>49.4</v>
      </c>
      <c r="X159" s="118">
        <v>0.96</v>
      </c>
      <c r="Y159" s="118">
        <v>0.15</v>
      </c>
      <c r="Z159" s="118">
        <v>2</v>
      </c>
      <c r="AA159" s="118">
        <v>0</v>
      </c>
      <c r="AB159" s="118">
        <v>6.68</v>
      </c>
      <c r="AC159" s="118">
        <v>52</v>
      </c>
      <c r="AD159" s="118">
        <v>54.17</v>
      </c>
      <c r="AE159" s="118">
        <v>26.8</v>
      </c>
      <c r="AF159" s="118"/>
      <c r="AG159" s="118"/>
      <c r="AH159" s="118">
        <v>2.6</v>
      </c>
      <c r="AI159" s="118">
        <v>9.5</v>
      </c>
      <c r="AJ159" s="118">
        <v>0.12</v>
      </c>
      <c r="AK159" s="118">
        <v>0.82</v>
      </c>
      <c r="AL159" s="118">
        <v>19</v>
      </c>
      <c r="AM159" s="118">
        <v>0.06</v>
      </c>
      <c r="AN159" s="118">
        <v>23</v>
      </c>
      <c r="AO159" s="118">
        <v>127.8</v>
      </c>
      <c r="AP159" s="118">
        <v>0.56000000000000005</v>
      </c>
      <c r="AQ159" s="118">
        <v>0.38</v>
      </c>
      <c r="AR159" s="118">
        <v>0.02</v>
      </c>
      <c r="AS159" s="118">
        <v>0.03</v>
      </c>
      <c r="AT159" s="118">
        <v>0.19</v>
      </c>
      <c r="AU159" s="118"/>
      <c r="AV159" s="124">
        <v>2.0539999999999999E-2</v>
      </c>
      <c r="AW159" s="124">
        <v>2.2120000000000001E-2</v>
      </c>
      <c r="AX159" s="124">
        <v>4.4789999999999996E-2</v>
      </c>
      <c r="AY159" s="124">
        <v>4.1869999999999997E-2</v>
      </c>
      <c r="AZ159" s="124">
        <v>7.1900000000000002E-3</v>
      </c>
      <c r="BA159" s="124">
        <v>5.8499999999999993E-3</v>
      </c>
      <c r="BB159" s="124">
        <v>3.2149999999999998E-2</v>
      </c>
      <c r="BC159" s="124">
        <v>3.073E-2</v>
      </c>
      <c r="BD159" s="124">
        <v>6.8700000000000002E-3</v>
      </c>
      <c r="BE159" s="124">
        <v>3.3259999999999998E-2</v>
      </c>
      <c r="BF159" s="124">
        <v>4.8189999999999997E-2</v>
      </c>
      <c r="BG159" s="124">
        <v>4.2419999999999999E-2</v>
      </c>
      <c r="BH159" s="124">
        <v>0.13746</v>
      </c>
      <c r="BI159" s="124">
        <v>0.14655000000000001</v>
      </c>
      <c r="BJ159" s="124">
        <v>3.5159999999999997E-2</v>
      </c>
      <c r="BK159" s="124">
        <v>2.647E-2</v>
      </c>
      <c r="BL159" s="124">
        <v>3.6889999999999999E-2</v>
      </c>
      <c r="BM159" s="124">
        <v>3.073E-2</v>
      </c>
      <c r="BN159" s="118">
        <v>21.69</v>
      </c>
      <c r="BO159" s="118">
        <v>3.8</v>
      </c>
      <c r="BP159" s="118"/>
      <c r="BQ159" s="118"/>
      <c r="BR159" s="118"/>
    </row>
    <row r="160" spans="1:70">
      <c r="A160" s="122">
        <v>32001</v>
      </c>
      <c r="B160" s="122" t="s">
        <v>704</v>
      </c>
      <c r="C160" s="122" t="s">
        <v>705</v>
      </c>
      <c r="D160" s="122" t="s">
        <v>706</v>
      </c>
      <c r="E160" s="122" t="s">
        <v>76</v>
      </c>
      <c r="F160" s="122" t="s">
        <v>1343</v>
      </c>
      <c r="G160" s="163" t="s">
        <v>1344</v>
      </c>
      <c r="H160" s="122">
        <v>14</v>
      </c>
      <c r="I160" s="122" t="s">
        <v>291</v>
      </c>
      <c r="J160" s="118">
        <v>56</v>
      </c>
      <c r="K160" s="118">
        <v>86</v>
      </c>
      <c r="L160" s="118">
        <v>0.82</v>
      </c>
      <c r="M160" s="118">
        <v>1</v>
      </c>
      <c r="N160" s="118">
        <v>10.18</v>
      </c>
      <c r="O160" s="118">
        <v>1.3</v>
      </c>
      <c r="P160" s="118">
        <v>0.02</v>
      </c>
      <c r="Q160" s="118">
        <v>0.03</v>
      </c>
      <c r="R160" s="118">
        <v>0.14000000000000001</v>
      </c>
      <c r="S160" s="118">
        <v>0.12</v>
      </c>
      <c r="T160" s="118">
        <v>0.05</v>
      </c>
      <c r="U160" s="118">
        <v>17</v>
      </c>
      <c r="V160" s="118">
        <v>0</v>
      </c>
      <c r="W160" s="118">
        <v>45.89</v>
      </c>
      <c r="X160" s="118">
        <v>0</v>
      </c>
      <c r="Y160" s="118">
        <v>0.8</v>
      </c>
      <c r="Z160" s="118">
        <v>2.2000000000000002</v>
      </c>
      <c r="AA160" s="118">
        <v>0</v>
      </c>
      <c r="AB160" s="118">
        <v>3.75</v>
      </c>
      <c r="AC160" s="118">
        <v>3.33</v>
      </c>
      <c r="AD160" s="118">
        <v>10</v>
      </c>
      <c r="AE160" s="118">
        <v>9.68</v>
      </c>
      <c r="AF160" s="118"/>
      <c r="AG160" s="118"/>
      <c r="AH160" s="118">
        <v>1.72</v>
      </c>
      <c r="AI160" s="118">
        <v>65</v>
      </c>
      <c r="AJ160" s="118">
        <v>0.06</v>
      </c>
      <c r="AK160" s="118">
        <v>0.3</v>
      </c>
      <c r="AL160" s="118">
        <v>11</v>
      </c>
      <c r="AM160" s="118">
        <v>0.04</v>
      </c>
      <c r="AN160" s="118">
        <v>10</v>
      </c>
      <c r="AO160" s="118">
        <v>377</v>
      </c>
      <c r="AP160" s="118">
        <v>0.72</v>
      </c>
      <c r="AQ160" s="118">
        <v>7.0000000000000007E-2</v>
      </c>
      <c r="AR160" s="118">
        <v>0.2</v>
      </c>
      <c r="AS160" s="118">
        <v>0.05</v>
      </c>
      <c r="AT160" s="118">
        <v>0.35</v>
      </c>
      <c r="AU160" s="118"/>
      <c r="AV160" s="124">
        <v>8.1600000000000006E-3</v>
      </c>
      <c r="AW160" s="124">
        <v>1.115E-2</v>
      </c>
      <c r="AX160" s="124">
        <v>1.0289999999999999E-2</v>
      </c>
      <c r="AY160" s="124">
        <v>2.0789999999999999E-2</v>
      </c>
      <c r="AZ160" s="124">
        <v>4.5100000000000001E-3</v>
      </c>
      <c r="BA160" s="124">
        <v>5.2500000000000003E-3</v>
      </c>
      <c r="BB160" s="124">
        <v>1.451E-2</v>
      </c>
      <c r="BC160" s="124">
        <v>6.9299999999999995E-3</v>
      </c>
      <c r="BD160" s="124">
        <v>1.8500000000000001E-3</v>
      </c>
      <c r="BE160" s="124">
        <v>1.1890000000000001E-2</v>
      </c>
      <c r="BF160" s="124">
        <v>2.1399999999999999E-2</v>
      </c>
      <c r="BG160" s="124">
        <v>1.755E-2</v>
      </c>
      <c r="BH160" s="124">
        <v>8.4260000000000002E-2</v>
      </c>
      <c r="BI160" s="124">
        <v>6.191E-2</v>
      </c>
      <c r="BJ160" s="124">
        <v>8.320000000000001E-3</v>
      </c>
      <c r="BK160" s="124">
        <v>3.116E-2</v>
      </c>
      <c r="BL160" s="124">
        <v>1.583E-2</v>
      </c>
      <c r="BM160" s="124">
        <v>5.5399999999999998E-3</v>
      </c>
      <c r="BN160" s="118">
        <v>117</v>
      </c>
      <c r="BO160" s="118"/>
      <c r="BP160" s="118"/>
      <c r="BQ160" s="118"/>
      <c r="BR160" s="118"/>
    </row>
    <row r="161" spans="1:70">
      <c r="A161" s="122">
        <v>31001</v>
      </c>
      <c r="B161" s="122" t="s">
        <v>708</v>
      </c>
      <c r="C161" s="122" t="s">
        <v>709</v>
      </c>
      <c r="D161" s="122" t="s">
        <v>710</v>
      </c>
      <c r="E161" s="122" t="s">
        <v>76</v>
      </c>
      <c r="F161" s="122" t="s">
        <v>1345</v>
      </c>
      <c r="G161" s="163" t="s">
        <v>1346</v>
      </c>
      <c r="H161" s="122">
        <v>14</v>
      </c>
      <c r="I161" s="122" t="s">
        <v>713</v>
      </c>
      <c r="J161" s="118">
        <v>70</v>
      </c>
      <c r="K161" s="118">
        <v>81.7</v>
      </c>
      <c r="L161" s="118">
        <v>0.93</v>
      </c>
      <c r="M161" s="118">
        <v>0.5</v>
      </c>
      <c r="N161" s="118">
        <v>14.72</v>
      </c>
      <c r="O161" s="118">
        <v>1.6</v>
      </c>
      <c r="P161" s="118">
        <v>0.03</v>
      </c>
      <c r="Q161" s="118">
        <v>0.04</v>
      </c>
      <c r="R161" s="118">
        <v>0.5</v>
      </c>
      <c r="S161" s="118">
        <v>0.11</v>
      </c>
      <c r="T161" s="118">
        <v>0.13</v>
      </c>
      <c r="U161" s="118">
        <v>71</v>
      </c>
      <c r="V161" s="118">
        <v>0</v>
      </c>
      <c r="W161" s="118">
        <v>34.700000000000003</v>
      </c>
      <c r="X161" s="118">
        <v>3.73</v>
      </c>
      <c r="Y161" s="118">
        <v>1.1200000000000001</v>
      </c>
      <c r="Z161" s="118">
        <v>4.7699999999999996</v>
      </c>
      <c r="AA161" s="118">
        <v>0</v>
      </c>
      <c r="AB161" s="118">
        <v>292.05</v>
      </c>
      <c r="AC161" s="118"/>
      <c r="AD161" s="118">
        <v>3510</v>
      </c>
      <c r="AE161" s="118"/>
      <c r="AF161" s="118"/>
      <c r="AG161" s="118"/>
      <c r="AH161" s="118"/>
      <c r="AI161" s="118">
        <v>14</v>
      </c>
      <c r="AJ161" s="118">
        <v>0.17</v>
      </c>
      <c r="AK161" s="118">
        <v>0.5</v>
      </c>
      <c r="AL161" s="118">
        <v>15</v>
      </c>
      <c r="AM161" s="118">
        <v>0.22</v>
      </c>
      <c r="AN161" s="118">
        <v>20.350000000000001</v>
      </c>
      <c r="AO161" s="118">
        <v>205</v>
      </c>
      <c r="AP161" s="118">
        <v>1.911</v>
      </c>
      <c r="AQ161" s="118">
        <v>0.87</v>
      </c>
      <c r="AR161" s="118">
        <v>0.18</v>
      </c>
      <c r="AS161" s="118">
        <v>0.16</v>
      </c>
      <c r="AT161" s="118">
        <v>0.11</v>
      </c>
      <c r="AU161" s="118"/>
      <c r="AV161" s="124">
        <v>1.23E-2</v>
      </c>
      <c r="AW161" s="124">
        <v>2.222E-2</v>
      </c>
      <c r="AX161" s="124">
        <v>4.6490000000000004E-2</v>
      </c>
      <c r="AY161" s="124">
        <v>2.1000000000000001E-2</v>
      </c>
      <c r="AZ161" s="124">
        <v>8.7500000000000008E-3</v>
      </c>
      <c r="BA161" s="124">
        <v>5.0300000000000006E-3</v>
      </c>
      <c r="BB161" s="124">
        <v>0.02</v>
      </c>
      <c r="BC161" s="124">
        <v>2.9159999999999998E-2</v>
      </c>
      <c r="BD161" s="124">
        <v>6.8300000000000001E-3</v>
      </c>
      <c r="BE161" s="124">
        <v>3.1789999999999999E-2</v>
      </c>
      <c r="BF161" s="124">
        <v>4.9849999999999998E-2</v>
      </c>
      <c r="BG161" s="124">
        <v>2.384E-2</v>
      </c>
      <c r="BH161" s="124">
        <v>6.7650000000000002E-2</v>
      </c>
      <c r="BI161" s="124">
        <v>8.09E-2</v>
      </c>
      <c r="BJ161" s="124">
        <v>3.175E-2</v>
      </c>
      <c r="BK161" s="124">
        <v>2.1329999999999998E-2</v>
      </c>
      <c r="BL161" s="124">
        <v>2.5399999999999999E-2</v>
      </c>
      <c r="BM161" s="124">
        <v>1.3599999999999999E-2</v>
      </c>
      <c r="BN161" s="118">
        <v>18.39</v>
      </c>
      <c r="BO161" s="118">
        <v>81.61</v>
      </c>
      <c r="BP161" s="118">
        <v>3</v>
      </c>
      <c r="BQ161" s="118"/>
      <c r="BR161" s="118"/>
    </row>
    <row r="162" spans="1:70">
      <c r="A162" s="122">
        <v>31007</v>
      </c>
      <c r="B162" s="122" t="s">
        <v>714</v>
      </c>
      <c r="C162" s="122" t="s">
        <v>715</v>
      </c>
      <c r="D162" s="122" t="s">
        <v>716</v>
      </c>
      <c r="E162" s="122" t="s">
        <v>1347</v>
      </c>
      <c r="F162" s="122" t="s">
        <v>1348</v>
      </c>
      <c r="G162" s="163" t="s">
        <v>1349</v>
      </c>
      <c r="H162" s="122">
        <v>12</v>
      </c>
      <c r="I162" s="122" t="s">
        <v>291</v>
      </c>
      <c r="J162" s="118">
        <v>145</v>
      </c>
      <c r="K162" s="118">
        <v>75.3</v>
      </c>
      <c r="L162" s="118">
        <v>1.03</v>
      </c>
      <c r="M162" s="118">
        <v>15.3</v>
      </c>
      <c r="N162" s="118">
        <v>3.84</v>
      </c>
      <c r="O162" s="118">
        <v>3.3</v>
      </c>
      <c r="P162" s="118">
        <v>2.1000000000000001E-2</v>
      </c>
      <c r="Q162" s="118">
        <v>7.0000000000000001E-3</v>
      </c>
      <c r="R162" s="118">
        <v>0.23699999999999999</v>
      </c>
      <c r="S162" s="118"/>
      <c r="T162" s="118">
        <v>3.1E-2</v>
      </c>
      <c r="U162" s="118">
        <v>3</v>
      </c>
      <c r="V162" s="118">
        <v>0</v>
      </c>
      <c r="W162" s="118">
        <v>0</v>
      </c>
      <c r="X162" s="118">
        <v>0</v>
      </c>
      <c r="Y162" s="118">
        <v>3.81</v>
      </c>
      <c r="Z162" s="118">
        <v>1.4</v>
      </c>
      <c r="AA162" s="118">
        <v>0</v>
      </c>
      <c r="AB162" s="118">
        <v>20</v>
      </c>
      <c r="AC162" s="118">
        <v>0</v>
      </c>
      <c r="AD162" s="118">
        <v>231</v>
      </c>
      <c r="AE162" s="118"/>
      <c r="AF162" s="118">
        <v>0</v>
      </c>
      <c r="AG162" s="118">
        <v>9</v>
      </c>
      <c r="AH162" s="118"/>
      <c r="AI162" s="118">
        <v>52</v>
      </c>
      <c r="AJ162" s="118">
        <v>0.12</v>
      </c>
      <c r="AK162" s="118">
        <v>0.49</v>
      </c>
      <c r="AL162" s="118">
        <v>11</v>
      </c>
      <c r="AM162" s="118"/>
      <c r="AN162" s="118">
        <v>4</v>
      </c>
      <c r="AO162" s="118">
        <v>42</v>
      </c>
      <c r="AP162" s="118">
        <v>0.9</v>
      </c>
      <c r="AQ162" s="118">
        <v>0.04</v>
      </c>
      <c r="AR162" s="118">
        <v>2.0299999999999998</v>
      </c>
      <c r="AS162" s="118">
        <v>11.3</v>
      </c>
      <c r="AT162" s="118">
        <v>1.31</v>
      </c>
      <c r="AU162" s="118">
        <v>0</v>
      </c>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row>
    <row r="163" spans="1:70">
      <c r="A163" s="122">
        <v>32033</v>
      </c>
      <c r="B163" s="122" t="s">
        <v>717</v>
      </c>
      <c r="C163" s="122" t="s">
        <v>718</v>
      </c>
      <c r="D163" s="122" t="s">
        <v>719</v>
      </c>
      <c r="E163" s="122" t="s">
        <v>76</v>
      </c>
      <c r="F163" s="122">
        <v>80011</v>
      </c>
      <c r="G163" s="163" t="s">
        <v>720</v>
      </c>
      <c r="H163" s="122">
        <v>14</v>
      </c>
      <c r="I163" s="122" t="s">
        <v>291</v>
      </c>
      <c r="J163" s="118">
        <v>64</v>
      </c>
      <c r="K163" s="118">
        <v>80.86</v>
      </c>
      <c r="L163" s="118">
        <v>3.07</v>
      </c>
      <c r="M163" s="118">
        <v>0.39</v>
      </c>
      <c r="N163" s="118">
        <v>10.33</v>
      </c>
      <c r="O163" s="118">
        <v>3.54</v>
      </c>
      <c r="P163" s="118">
        <v>0.8</v>
      </c>
      <c r="Q163" s="118">
        <v>0.03</v>
      </c>
      <c r="R163" s="118">
        <v>0.55000000000000004</v>
      </c>
      <c r="S163" s="118">
        <v>0.22</v>
      </c>
      <c r="T163" s="118">
        <v>0.17</v>
      </c>
      <c r="U163" s="118">
        <v>6.51</v>
      </c>
      <c r="V163" s="118"/>
      <c r="W163" s="118">
        <v>12.75</v>
      </c>
      <c r="X163" s="118">
        <v>26.62</v>
      </c>
      <c r="Y163" s="118">
        <v>7.0000000000000007E-2</v>
      </c>
      <c r="Z163" s="118"/>
      <c r="AA163" s="118">
        <v>0</v>
      </c>
      <c r="AB163" s="118"/>
      <c r="AC163" s="118"/>
      <c r="AD163" s="118"/>
      <c r="AE163" s="118"/>
      <c r="AF163" s="118"/>
      <c r="AG163" s="118"/>
      <c r="AH163" s="118"/>
      <c r="AI163" s="118">
        <v>73.7</v>
      </c>
      <c r="AJ163" s="118">
        <v>0.24</v>
      </c>
      <c r="AK163" s="118">
        <v>0.71</v>
      </c>
      <c r="AL163" s="118">
        <v>40</v>
      </c>
      <c r="AM163" s="118"/>
      <c r="AN163" s="118">
        <v>64</v>
      </c>
      <c r="AO163" s="118">
        <v>359.9</v>
      </c>
      <c r="AP163" s="118"/>
      <c r="AQ163" s="118">
        <v>0.37</v>
      </c>
      <c r="AR163" s="118">
        <v>0.88</v>
      </c>
      <c r="AS163" s="118">
        <v>0.6</v>
      </c>
      <c r="AT163" s="118">
        <v>0.14000000000000001</v>
      </c>
      <c r="AU163" s="118"/>
      <c r="AV163" s="124">
        <v>3.7679999999999998E-2</v>
      </c>
      <c r="AW163" s="124">
        <v>0.12340000000000001</v>
      </c>
      <c r="AX163" s="124">
        <v>9.9540000000000003E-2</v>
      </c>
      <c r="AY163" s="124">
        <v>7.1590000000000001E-2</v>
      </c>
      <c r="AZ163" s="124">
        <v>2.6690000000000002E-2</v>
      </c>
      <c r="BA163" s="124">
        <v>1.2869999999999999E-2</v>
      </c>
      <c r="BB163" s="124">
        <v>9.3569999999999987E-2</v>
      </c>
      <c r="BC163" s="124">
        <v>6.3109999999999999E-2</v>
      </c>
      <c r="BD163" s="124">
        <v>2.6690000000000002E-2</v>
      </c>
      <c r="BE163" s="124">
        <v>0.11681</v>
      </c>
      <c r="BF163" s="124">
        <v>0.17301</v>
      </c>
      <c r="BG163" s="124">
        <v>0.23676</v>
      </c>
      <c r="BH163" s="124">
        <v>0.98659000000000008</v>
      </c>
      <c r="BI163" s="124">
        <v>0.49141000000000001</v>
      </c>
      <c r="BJ163" s="124">
        <v>9.1689999999999994E-2</v>
      </c>
      <c r="BK163" s="124">
        <v>0.13188</v>
      </c>
      <c r="BL163" s="124">
        <v>0.13375999999999999</v>
      </c>
      <c r="BM163" s="124">
        <v>7.8810000000000005E-2</v>
      </c>
      <c r="BN163" s="118"/>
      <c r="BO163" s="118">
        <v>101</v>
      </c>
      <c r="BP163" s="118"/>
      <c r="BQ163" s="118"/>
      <c r="BR163" s="118"/>
    </row>
    <row r="164" spans="1:70">
      <c r="A164" s="122">
        <v>32034</v>
      </c>
      <c r="B164" s="122" t="s">
        <v>721</v>
      </c>
      <c r="C164" s="122" t="s">
        <v>722</v>
      </c>
      <c r="D164" s="122" t="s">
        <v>723</v>
      </c>
      <c r="E164" s="122" t="s">
        <v>76</v>
      </c>
      <c r="F164" s="122" t="s">
        <v>1852</v>
      </c>
      <c r="G164" s="163" t="s">
        <v>1351</v>
      </c>
      <c r="H164" s="122">
        <v>14</v>
      </c>
      <c r="I164" s="122" t="s">
        <v>291</v>
      </c>
      <c r="J164" s="118">
        <v>60</v>
      </c>
      <c r="K164" s="118">
        <v>84.3</v>
      </c>
      <c r="L164" s="118">
        <v>1.88</v>
      </c>
      <c r="M164" s="118">
        <v>0.2</v>
      </c>
      <c r="N164" s="118">
        <v>12.62</v>
      </c>
      <c r="O164" s="118"/>
      <c r="P164" s="118">
        <v>0.02</v>
      </c>
      <c r="Q164" s="118">
        <v>0.06</v>
      </c>
      <c r="R164" s="118">
        <v>0.8</v>
      </c>
      <c r="S164" s="118">
        <v>0.14000000000000001</v>
      </c>
      <c r="T164" s="118">
        <v>0.08</v>
      </c>
      <c r="U164" s="118"/>
      <c r="V164" s="118">
        <v>0</v>
      </c>
      <c r="W164" s="118">
        <v>66.099999999999994</v>
      </c>
      <c r="X164" s="118">
        <v>16.8</v>
      </c>
      <c r="Y164" s="118"/>
      <c r="Z164" s="118"/>
      <c r="AA164" s="118">
        <v>0</v>
      </c>
      <c r="AB164" s="118">
        <v>2</v>
      </c>
      <c r="AC164" s="118">
        <v>0</v>
      </c>
      <c r="AD164" s="118">
        <v>24</v>
      </c>
      <c r="AE164" s="118">
        <v>10.7</v>
      </c>
      <c r="AF164" s="118"/>
      <c r="AG164" s="118"/>
      <c r="AH164" s="118">
        <v>1.6</v>
      </c>
      <c r="AI164" s="118">
        <v>14</v>
      </c>
      <c r="AJ164" s="118">
        <v>0.15</v>
      </c>
      <c r="AK164" s="118">
        <v>0.8</v>
      </c>
      <c r="AL164" s="118">
        <v>24.5</v>
      </c>
      <c r="AM164" s="118">
        <v>8.4000000000000005E-2</v>
      </c>
      <c r="AN164" s="118">
        <v>33</v>
      </c>
      <c r="AO164" s="118">
        <v>353.5</v>
      </c>
      <c r="AP164" s="118"/>
      <c r="AQ164" s="118">
        <v>0.32</v>
      </c>
      <c r="AR164" s="118">
        <v>0.12</v>
      </c>
      <c r="AS164" s="118">
        <v>0.13</v>
      </c>
      <c r="AT164" s="118">
        <v>0.04</v>
      </c>
      <c r="AU164" s="118"/>
      <c r="AV164" s="124">
        <v>2.4660000000000001E-2</v>
      </c>
      <c r="AW164" s="124">
        <v>5.4810000000000005E-2</v>
      </c>
      <c r="AX164" s="124">
        <v>4.811E-2</v>
      </c>
      <c r="AY164" s="124">
        <v>2.01E-2</v>
      </c>
      <c r="AZ164" s="124">
        <v>1.4199999999999999E-2</v>
      </c>
      <c r="BA164" s="124">
        <v>2.0640000000000002E-2</v>
      </c>
      <c r="BB164" s="124">
        <v>4.65E-2</v>
      </c>
      <c r="BC164" s="124">
        <v>3.1489999999999997E-2</v>
      </c>
      <c r="BD164" s="124">
        <v>1.1789999999999998E-2</v>
      </c>
      <c r="BE164" s="124">
        <v>6.2579999999999997E-2</v>
      </c>
      <c r="BF164" s="124">
        <v>6.191E-2</v>
      </c>
      <c r="BG164" s="124">
        <v>7.3829999999999993E-2</v>
      </c>
      <c r="BH164" s="124">
        <v>0.42666000000000004</v>
      </c>
      <c r="BI164" s="124">
        <v>0.23222000000000001</v>
      </c>
      <c r="BJ164" s="124">
        <v>4.1540000000000001E-2</v>
      </c>
      <c r="BK164" s="124">
        <v>3.3770000000000001E-2</v>
      </c>
      <c r="BL164" s="124">
        <v>5.1720000000000002E-2</v>
      </c>
      <c r="BM164" s="124">
        <v>4.6359999999999998E-2</v>
      </c>
      <c r="BN164" s="118"/>
      <c r="BO164" s="118">
        <v>85.6</v>
      </c>
      <c r="BP164" s="118"/>
      <c r="BQ164" s="118"/>
      <c r="BR164" s="118"/>
    </row>
    <row r="165" spans="1:70">
      <c r="A165" s="122">
        <v>32010</v>
      </c>
      <c r="B165" s="122" t="s">
        <v>725</v>
      </c>
      <c r="C165" s="122" t="s">
        <v>726</v>
      </c>
      <c r="D165" s="122" t="s">
        <v>727</v>
      </c>
      <c r="E165" s="122" t="s">
        <v>76</v>
      </c>
      <c r="F165" s="122" t="s">
        <v>1352</v>
      </c>
      <c r="G165" s="163" t="s">
        <v>1353</v>
      </c>
      <c r="H165" s="122">
        <v>14</v>
      </c>
      <c r="I165" s="122" t="s">
        <v>291</v>
      </c>
      <c r="J165" s="118">
        <v>270</v>
      </c>
      <c r="K165" s="118">
        <v>27.89</v>
      </c>
      <c r="L165" s="118">
        <v>3.24</v>
      </c>
      <c r="M165" s="118">
        <v>0.43</v>
      </c>
      <c r="N165" s="118">
        <v>60.76</v>
      </c>
      <c r="O165" s="118">
        <v>5.0999999999999996</v>
      </c>
      <c r="P165" s="118">
        <v>0.35</v>
      </c>
      <c r="Q165" s="118">
        <v>0.12</v>
      </c>
      <c r="R165" s="118">
        <v>1.56</v>
      </c>
      <c r="S165" s="118">
        <v>0.17</v>
      </c>
      <c r="T165" s="118">
        <v>7.0000000000000007E-2</v>
      </c>
      <c r="U165" s="118">
        <v>14.5</v>
      </c>
      <c r="V165" s="118">
        <v>0</v>
      </c>
      <c r="W165" s="118">
        <v>11.2</v>
      </c>
      <c r="X165" s="118">
        <v>25.58</v>
      </c>
      <c r="Y165" s="118">
        <v>0.09</v>
      </c>
      <c r="Z165" s="118">
        <v>1.67</v>
      </c>
      <c r="AA165" s="118">
        <v>0</v>
      </c>
      <c r="AB165" s="118">
        <v>1.33</v>
      </c>
      <c r="AC165" s="118">
        <v>0</v>
      </c>
      <c r="AD165" s="118">
        <v>16</v>
      </c>
      <c r="AE165" s="118">
        <v>28.4</v>
      </c>
      <c r="AF165" s="118"/>
      <c r="AG165" s="118"/>
      <c r="AH165" s="118">
        <v>11.61</v>
      </c>
      <c r="AI165" s="118">
        <v>127</v>
      </c>
      <c r="AJ165" s="118">
        <v>0.09</v>
      </c>
      <c r="AK165" s="118">
        <v>3.95</v>
      </c>
      <c r="AL165" s="118">
        <v>86.43</v>
      </c>
      <c r="AM165" s="118">
        <v>0.52</v>
      </c>
      <c r="AN165" s="118">
        <v>119.5</v>
      </c>
      <c r="AO165" s="118">
        <v>700.09</v>
      </c>
      <c r="AP165" s="118">
        <v>2.0499999999999998</v>
      </c>
      <c r="AQ165" s="118">
        <v>0.11</v>
      </c>
      <c r="AR165" s="118">
        <v>0.03</v>
      </c>
      <c r="AS165" s="118">
        <v>0.03</v>
      </c>
      <c r="AT165" s="118">
        <v>0.02</v>
      </c>
      <c r="AU165" s="118"/>
      <c r="AV165" s="124">
        <v>7.5340000000000004E-2</v>
      </c>
      <c r="AW165" s="124">
        <v>9.5780000000000004E-2</v>
      </c>
      <c r="AX165" s="124">
        <v>0.16294</v>
      </c>
      <c r="AY165" s="124">
        <v>0.15125999999999998</v>
      </c>
      <c r="AZ165" s="124">
        <v>2.453E-2</v>
      </c>
      <c r="BA165" s="124">
        <v>2.0730000000000002E-2</v>
      </c>
      <c r="BB165" s="124">
        <v>0.15943000000000002</v>
      </c>
      <c r="BC165" s="124">
        <v>9.5189999999999997E-2</v>
      </c>
      <c r="BD165" s="124">
        <v>2.4820000000000002E-2</v>
      </c>
      <c r="BE165" s="124">
        <v>0.11738</v>
      </c>
      <c r="BF165" s="124">
        <v>0.12673000000000001</v>
      </c>
      <c r="BG165" s="124">
        <v>9.1980000000000006E-2</v>
      </c>
      <c r="BH165" s="124">
        <v>0.35858000000000001</v>
      </c>
      <c r="BI165" s="124">
        <v>0.44355</v>
      </c>
      <c r="BJ165" s="124">
        <v>0.11709</v>
      </c>
      <c r="BK165" s="124">
        <v>0.14717</v>
      </c>
      <c r="BL165" s="124">
        <v>0.10249</v>
      </c>
      <c r="BM165" s="124">
        <v>0.10016</v>
      </c>
      <c r="BN165" s="118">
        <v>183</v>
      </c>
      <c r="BO165" s="118">
        <v>3.07</v>
      </c>
      <c r="BP165" s="118"/>
      <c r="BQ165" s="118"/>
      <c r="BR165" s="118"/>
    </row>
    <row r="166" spans="1:70">
      <c r="A166" s="122">
        <v>32701</v>
      </c>
      <c r="B166" s="122" t="s">
        <v>729</v>
      </c>
      <c r="C166" s="122" t="s">
        <v>730</v>
      </c>
      <c r="D166" s="122" t="s">
        <v>731</v>
      </c>
      <c r="E166" s="122" t="s">
        <v>76</v>
      </c>
      <c r="F166" s="122" t="s">
        <v>1354</v>
      </c>
      <c r="G166" s="163" t="s">
        <v>1355</v>
      </c>
      <c r="H166" s="122">
        <v>14</v>
      </c>
      <c r="I166" s="122" t="s">
        <v>291</v>
      </c>
      <c r="J166" s="118">
        <v>301.14999999999998</v>
      </c>
      <c r="K166" s="118">
        <v>20.6</v>
      </c>
      <c r="L166" s="118">
        <v>2.67</v>
      </c>
      <c r="M166" s="118">
        <v>0.35</v>
      </c>
      <c r="N166" s="118">
        <v>70.040000000000006</v>
      </c>
      <c r="O166" s="118">
        <v>4.24</v>
      </c>
      <c r="P166" s="118">
        <v>0.09</v>
      </c>
      <c r="Q166" s="118">
        <v>0.22</v>
      </c>
      <c r="R166" s="118">
        <v>0.56000000000000005</v>
      </c>
      <c r="S166" s="118">
        <v>0.2</v>
      </c>
      <c r="T166" s="118">
        <v>0.17</v>
      </c>
      <c r="U166" s="118">
        <v>36.49</v>
      </c>
      <c r="V166" s="118">
        <v>0</v>
      </c>
      <c r="W166" s="118">
        <v>1.95</v>
      </c>
      <c r="X166" s="118">
        <v>6.82</v>
      </c>
      <c r="Y166" s="118">
        <v>0.02</v>
      </c>
      <c r="Z166" s="118">
        <v>1.63</v>
      </c>
      <c r="AA166" s="118">
        <v>0</v>
      </c>
      <c r="AB166" s="118">
        <v>0</v>
      </c>
      <c r="AC166" s="118"/>
      <c r="AD166" s="118">
        <v>3.12</v>
      </c>
      <c r="AE166" s="118">
        <v>18.72</v>
      </c>
      <c r="AF166" s="118"/>
      <c r="AG166" s="118"/>
      <c r="AH166" s="118">
        <v>2.86</v>
      </c>
      <c r="AI166" s="118">
        <v>62.54</v>
      </c>
      <c r="AJ166" s="118">
        <v>0.43</v>
      </c>
      <c r="AK166" s="118">
        <v>5.54</v>
      </c>
      <c r="AL166" s="118">
        <v>31.04</v>
      </c>
      <c r="AM166" s="118">
        <v>0.52</v>
      </c>
      <c r="AN166" s="118">
        <v>85.46</v>
      </c>
      <c r="AO166" s="118">
        <v>1009</v>
      </c>
      <c r="AP166" s="118">
        <v>1.86</v>
      </c>
      <c r="AQ166" s="118">
        <v>0.24</v>
      </c>
      <c r="AR166" s="118">
        <v>0.38</v>
      </c>
      <c r="AS166" s="118">
        <v>0.4</v>
      </c>
      <c r="AT166" s="118">
        <v>0.14000000000000001</v>
      </c>
      <c r="AU166" s="118"/>
      <c r="AV166" s="124">
        <v>2.7129999999999998E-2</v>
      </c>
      <c r="AW166" s="124">
        <v>2.052E-2</v>
      </c>
      <c r="AX166" s="124">
        <v>4.829E-2</v>
      </c>
      <c r="AY166" s="124">
        <v>3.1660000000000001E-2</v>
      </c>
      <c r="AZ166" s="124">
        <v>9.11E-3</v>
      </c>
      <c r="BA166" s="124">
        <v>7.4099999999999999E-3</v>
      </c>
      <c r="BB166" s="124">
        <v>2.6380000000000001E-2</v>
      </c>
      <c r="BC166" s="124">
        <v>3.3579999999999999E-2</v>
      </c>
      <c r="BD166" s="124">
        <v>8.8999999999999999E-3</v>
      </c>
      <c r="BE166" s="124">
        <v>3.0429999999999999E-2</v>
      </c>
      <c r="BF166" s="124">
        <v>6.8860000000000005E-2</v>
      </c>
      <c r="BG166" s="124">
        <v>0.14482</v>
      </c>
      <c r="BH166" s="124">
        <v>7.2749999999999995E-2</v>
      </c>
      <c r="BI166" s="124">
        <v>0.11465</v>
      </c>
      <c r="BJ166" s="124">
        <v>3.7520000000000005E-2</v>
      </c>
      <c r="BK166" s="124">
        <v>9.5459999999999989E-2</v>
      </c>
      <c r="BL166" s="124">
        <v>5.0479999999999997E-2</v>
      </c>
      <c r="BM166" s="124">
        <v>2.0039999999999999E-2</v>
      </c>
      <c r="BN166" s="118">
        <v>286</v>
      </c>
      <c r="BO166" s="118">
        <v>20.23</v>
      </c>
      <c r="BP166" s="118"/>
      <c r="BQ166" s="118"/>
      <c r="BR166" s="118"/>
    </row>
    <row r="167" spans="1:70">
      <c r="A167" s="122">
        <v>32002</v>
      </c>
      <c r="B167" s="122" t="s">
        <v>733</v>
      </c>
      <c r="C167" s="122" t="s">
        <v>734</v>
      </c>
      <c r="D167" s="127" t="s">
        <v>735</v>
      </c>
      <c r="E167" s="122" t="s">
        <v>76</v>
      </c>
      <c r="F167" s="122" t="s">
        <v>1356</v>
      </c>
      <c r="G167" s="163" t="s">
        <v>1357</v>
      </c>
      <c r="H167" s="122">
        <v>14</v>
      </c>
      <c r="I167" s="122" t="s">
        <v>291</v>
      </c>
      <c r="J167" s="118">
        <v>43</v>
      </c>
      <c r="K167" s="118">
        <v>88.74</v>
      </c>
      <c r="L167" s="118">
        <v>0.82</v>
      </c>
      <c r="M167" s="118">
        <v>0.39</v>
      </c>
      <c r="N167" s="118">
        <v>8.33</v>
      </c>
      <c r="O167" s="118">
        <v>1.4</v>
      </c>
      <c r="P167" s="118">
        <v>0.11</v>
      </c>
      <c r="Q167" s="118">
        <v>0.04</v>
      </c>
      <c r="R167" s="118">
        <v>0.3</v>
      </c>
      <c r="S167" s="118"/>
      <c r="T167" s="118">
        <v>0.09</v>
      </c>
      <c r="U167" s="118">
        <v>12.1</v>
      </c>
      <c r="V167" s="118"/>
      <c r="W167" s="118">
        <v>20.94</v>
      </c>
      <c r="X167" s="118">
        <v>0</v>
      </c>
      <c r="Y167" s="118">
        <v>0.1</v>
      </c>
      <c r="Z167" s="118">
        <v>2.4</v>
      </c>
      <c r="AA167" s="118">
        <v>0</v>
      </c>
      <c r="AB167" s="118"/>
      <c r="AC167" s="118"/>
      <c r="AD167" s="118"/>
      <c r="AE167" s="118"/>
      <c r="AF167" s="118"/>
      <c r="AG167" s="118"/>
      <c r="AH167" s="118"/>
      <c r="AI167" s="118">
        <v>20.41</v>
      </c>
      <c r="AJ167" s="118">
        <v>0.24</v>
      </c>
      <c r="AK167" s="118">
        <v>1.6</v>
      </c>
      <c r="AL167" s="118">
        <v>12</v>
      </c>
      <c r="AM167" s="118">
        <v>1.28</v>
      </c>
      <c r="AN167" s="118">
        <v>6.82</v>
      </c>
      <c r="AO167" s="118">
        <v>122.22</v>
      </c>
      <c r="AP167" s="118">
        <v>0.08</v>
      </c>
      <c r="AQ167" s="118">
        <v>0.6</v>
      </c>
      <c r="AR167" s="118"/>
      <c r="AS167" s="118"/>
      <c r="AT167" s="118"/>
      <c r="AU167" s="118"/>
      <c r="AV167" s="124"/>
      <c r="AW167" s="124"/>
      <c r="AX167" s="124"/>
      <c r="AY167" s="124"/>
      <c r="AZ167" s="124"/>
      <c r="BA167" s="124"/>
      <c r="BB167" s="124"/>
      <c r="BC167" s="124"/>
      <c r="BD167" s="124"/>
      <c r="BE167" s="124"/>
      <c r="BF167" s="124"/>
      <c r="BG167" s="124"/>
      <c r="BH167" s="124"/>
      <c r="BI167" s="124"/>
      <c r="BJ167" s="124"/>
      <c r="BK167" s="124"/>
      <c r="BL167" s="124"/>
      <c r="BM167" s="124"/>
      <c r="BN167" s="118">
        <v>22.69</v>
      </c>
      <c r="BO167" s="118"/>
      <c r="BP167" s="118">
        <v>5</v>
      </c>
      <c r="BQ167" s="118"/>
      <c r="BR167" s="118"/>
    </row>
    <row r="168" spans="1:70">
      <c r="A168" s="122">
        <v>32030</v>
      </c>
      <c r="B168" s="122" t="s">
        <v>738</v>
      </c>
      <c r="C168" s="122" t="s">
        <v>739</v>
      </c>
      <c r="D168" s="122" t="s">
        <v>710</v>
      </c>
      <c r="E168" s="122" t="s">
        <v>76</v>
      </c>
      <c r="F168" s="122" t="s">
        <v>1358</v>
      </c>
      <c r="G168" s="163" t="s">
        <v>1359</v>
      </c>
      <c r="H168" s="122">
        <v>14</v>
      </c>
      <c r="I168" s="122" t="s">
        <v>291</v>
      </c>
      <c r="J168" s="118">
        <v>49</v>
      </c>
      <c r="K168" s="118">
        <v>85.14</v>
      </c>
      <c r="L168" s="118">
        <v>0.69</v>
      </c>
      <c r="M168" s="118">
        <v>0.08</v>
      </c>
      <c r="N168" s="118">
        <v>10.59</v>
      </c>
      <c r="O168" s="118">
        <v>1.68</v>
      </c>
      <c r="P168" s="118">
        <v>0.02</v>
      </c>
      <c r="Q168" s="118">
        <v>0.02</v>
      </c>
      <c r="R168" s="118">
        <v>0.26</v>
      </c>
      <c r="S168" s="118">
        <v>0.13</v>
      </c>
      <c r="T168" s="118">
        <v>0.13</v>
      </c>
      <c r="U168" s="118">
        <v>25.86</v>
      </c>
      <c r="V168" s="118"/>
      <c r="W168" s="118">
        <v>90.24</v>
      </c>
      <c r="X168" s="118">
        <v>7.68</v>
      </c>
      <c r="Y168" s="118">
        <v>0.91</v>
      </c>
      <c r="Z168" s="118">
        <v>14.42</v>
      </c>
      <c r="AA168" s="118">
        <v>0</v>
      </c>
      <c r="AB168" s="118"/>
      <c r="AC168" s="118"/>
      <c r="AD168" s="118">
        <v>72.37</v>
      </c>
      <c r="AE168" s="118"/>
      <c r="AF168" s="118"/>
      <c r="AG168" s="118"/>
      <c r="AH168" s="118"/>
      <c r="AI168" s="118">
        <v>27</v>
      </c>
      <c r="AJ168" s="118">
        <v>0.08</v>
      </c>
      <c r="AK168" s="118">
        <v>0.4</v>
      </c>
      <c r="AL168" s="118">
        <v>17.54</v>
      </c>
      <c r="AM168" s="118">
        <v>0.23</v>
      </c>
      <c r="AN168" s="118">
        <v>14.92</v>
      </c>
      <c r="AO168" s="118">
        <v>147</v>
      </c>
      <c r="AP168" s="118"/>
      <c r="AQ168" s="118">
        <v>0.09</v>
      </c>
      <c r="AR168" s="118">
        <v>0.03</v>
      </c>
      <c r="AS168" s="118">
        <v>0.01</v>
      </c>
      <c r="AT168" s="118">
        <v>0.03</v>
      </c>
      <c r="AU168" s="118"/>
      <c r="AV168" s="124">
        <v>1.9530000000000002E-2</v>
      </c>
      <c r="AW168" s="124">
        <v>3.0640000000000001E-2</v>
      </c>
      <c r="AX168" s="124">
        <v>5.4509999999999996E-2</v>
      </c>
      <c r="AY168" s="124">
        <v>3.6850000000000001E-2</v>
      </c>
      <c r="AZ168" s="124">
        <v>9.4500000000000001E-3</v>
      </c>
      <c r="BA168" s="124">
        <v>4.9000000000000007E-3</v>
      </c>
      <c r="BB168" s="124">
        <v>2.588E-2</v>
      </c>
      <c r="BC168" s="124">
        <v>2.8910000000000002E-2</v>
      </c>
      <c r="BD168" s="124">
        <v>7.3099999999999997E-3</v>
      </c>
      <c r="BE168" s="124">
        <v>3.9949999999999999E-2</v>
      </c>
      <c r="BF168" s="124">
        <v>6.3619999999999996E-2</v>
      </c>
      <c r="BG168" s="124">
        <v>3.6850000000000001E-2</v>
      </c>
      <c r="BH168" s="124">
        <v>7.059E-2</v>
      </c>
      <c r="BI168" s="124">
        <v>9.819E-2</v>
      </c>
      <c r="BJ168" s="124">
        <v>3.7469999999999996E-2</v>
      </c>
      <c r="BK168" s="124">
        <v>3.6850000000000001E-2</v>
      </c>
      <c r="BL168" s="124">
        <v>3.4430000000000002E-2</v>
      </c>
      <c r="BM168" s="124">
        <v>2.3390000000000001E-2</v>
      </c>
      <c r="BN168" s="118">
        <v>580</v>
      </c>
      <c r="BO168" s="118">
        <v>15.26</v>
      </c>
      <c r="BP168" s="118"/>
      <c r="BQ168" s="118"/>
      <c r="BR168" s="118"/>
    </row>
    <row r="169" spans="1:70">
      <c r="A169" s="122">
        <v>32003</v>
      </c>
      <c r="B169" s="122" t="s">
        <v>741</v>
      </c>
      <c r="C169" s="122" t="s">
        <v>742</v>
      </c>
      <c r="D169" s="122" t="s">
        <v>743</v>
      </c>
      <c r="E169" s="122" t="s">
        <v>76</v>
      </c>
      <c r="F169" s="122" t="s">
        <v>1360</v>
      </c>
      <c r="G169" s="163" t="s">
        <v>1361</v>
      </c>
      <c r="H169" s="122">
        <v>14</v>
      </c>
      <c r="I169" s="122" t="s">
        <v>291</v>
      </c>
      <c r="J169" s="118">
        <v>22</v>
      </c>
      <c r="K169" s="118">
        <v>94.22</v>
      </c>
      <c r="L169" s="118">
        <v>0.47</v>
      </c>
      <c r="M169" s="118">
        <v>0.2</v>
      </c>
      <c r="N169" s="118">
        <v>4.38</v>
      </c>
      <c r="O169" s="118">
        <v>0.4</v>
      </c>
      <c r="P169" s="118">
        <v>0.02</v>
      </c>
      <c r="Q169" s="118">
        <v>0.04</v>
      </c>
      <c r="R169" s="118">
        <v>0.18</v>
      </c>
      <c r="S169" s="118">
        <v>0.19</v>
      </c>
      <c r="T169" s="118">
        <v>0.05</v>
      </c>
      <c r="U169" s="118">
        <v>3</v>
      </c>
      <c r="V169" s="118">
        <v>0</v>
      </c>
      <c r="W169" s="118">
        <v>23.95</v>
      </c>
      <c r="X169" s="118">
        <v>0.56000000000000005</v>
      </c>
      <c r="Y169" s="118">
        <v>0.05</v>
      </c>
      <c r="Z169" s="118">
        <v>2.1</v>
      </c>
      <c r="AA169" s="118">
        <v>0</v>
      </c>
      <c r="AB169" s="118">
        <v>29.31</v>
      </c>
      <c r="AC169" s="118">
        <v>0</v>
      </c>
      <c r="AD169" s="118">
        <v>299.73</v>
      </c>
      <c r="AE169" s="118">
        <v>947.5</v>
      </c>
      <c r="AF169" s="118"/>
      <c r="AG169" s="118"/>
      <c r="AH169" s="118">
        <v>24.66</v>
      </c>
      <c r="AI169" s="118">
        <v>12.44</v>
      </c>
      <c r="AJ169" s="118">
        <v>0.12</v>
      </c>
      <c r="AK169" s="118">
        <v>0.39</v>
      </c>
      <c r="AL169" s="118">
        <v>11.01</v>
      </c>
      <c r="AM169" s="118">
        <v>0.04</v>
      </c>
      <c r="AN169" s="118">
        <v>12</v>
      </c>
      <c r="AO169" s="118">
        <v>106.75</v>
      </c>
      <c r="AP169" s="118"/>
      <c r="AQ169" s="118">
        <v>0.15</v>
      </c>
      <c r="AR169" s="118">
        <v>0.05</v>
      </c>
      <c r="AS169" s="118">
        <v>0.02</v>
      </c>
      <c r="AT169" s="118">
        <v>7.0000000000000007E-2</v>
      </c>
      <c r="AU169" s="118"/>
      <c r="AV169" s="124">
        <v>1.529E-2</v>
      </c>
      <c r="AW169" s="124">
        <v>2.0320000000000001E-2</v>
      </c>
      <c r="AX169" s="124">
        <v>1.7760000000000001E-2</v>
      </c>
      <c r="AY169" s="124">
        <v>1.865E-2</v>
      </c>
      <c r="AZ169" s="124">
        <v>5.1200000000000004E-3</v>
      </c>
      <c r="BA169" s="124">
        <v>4.79E-3</v>
      </c>
      <c r="BB169" s="124">
        <v>1.5679999999999999E-2</v>
      </c>
      <c r="BC169" s="124">
        <v>2.6510000000000002E-2</v>
      </c>
      <c r="BD169" s="124">
        <v>6.7800000000000004E-3</v>
      </c>
      <c r="BE169" s="124">
        <v>2.1360000000000001E-2</v>
      </c>
      <c r="BF169" s="124">
        <v>2.35E-2</v>
      </c>
      <c r="BG169" s="124">
        <v>4.7780000000000003E-2</v>
      </c>
      <c r="BH169" s="124">
        <v>9.7459999999999991E-2</v>
      </c>
      <c r="BI169" s="124">
        <v>8.4940000000000002E-2</v>
      </c>
      <c r="BJ169" s="124">
        <v>1.2320000000000001E-2</v>
      </c>
      <c r="BK169" s="124">
        <v>2.3530000000000002E-2</v>
      </c>
      <c r="BL169" s="124">
        <v>1.779E-2</v>
      </c>
      <c r="BM169" s="124">
        <v>1.119E-2</v>
      </c>
      <c r="BN169" s="118">
        <v>5.89</v>
      </c>
      <c r="BO169" s="118">
        <v>10</v>
      </c>
      <c r="BP169" s="118">
        <v>11</v>
      </c>
      <c r="BQ169" s="118"/>
      <c r="BR169" s="118"/>
    </row>
    <row r="170" spans="1:70">
      <c r="A170" s="122">
        <v>31002</v>
      </c>
      <c r="B170" s="122" t="s">
        <v>745</v>
      </c>
      <c r="C170" s="122" t="s">
        <v>746</v>
      </c>
      <c r="D170" s="122" t="s">
        <v>200</v>
      </c>
      <c r="E170" s="122" t="s">
        <v>76</v>
      </c>
      <c r="F170" s="122" t="s">
        <v>1362</v>
      </c>
      <c r="G170" s="163" t="s">
        <v>1363</v>
      </c>
      <c r="H170" s="122">
        <v>14</v>
      </c>
      <c r="I170" s="122" t="s">
        <v>291</v>
      </c>
      <c r="J170" s="118">
        <v>74</v>
      </c>
      <c r="K170" s="118">
        <v>76.989999999999995</v>
      </c>
      <c r="L170" s="118">
        <v>1.2</v>
      </c>
      <c r="M170" s="118">
        <v>0.2</v>
      </c>
      <c r="N170" s="118">
        <v>13.29</v>
      </c>
      <c r="O170" s="118">
        <v>7.24</v>
      </c>
      <c r="P170" s="118">
        <v>0.11</v>
      </c>
      <c r="Q170" s="118">
        <v>0.05</v>
      </c>
      <c r="R170" s="118">
        <v>0.92</v>
      </c>
      <c r="S170" s="118">
        <v>0.16</v>
      </c>
      <c r="T170" s="118">
        <v>0.31</v>
      </c>
      <c r="U170" s="118">
        <v>24</v>
      </c>
      <c r="V170" s="118">
        <v>0</v>
      </c>
      <c r="W170" s="118">
        <v>3.43</v>
      </c>
      <c r="X170" s="118">
        <v>10.87</v>
      </c>
      <c r="Y170" s="118">
        <v>0.11</v>
      </c>
      <c r="Z170" s="118">
        <v>37</v>
      </c>
      <c r="AA170" s="118">
        <v>0</v>
      </c>
      <c r="AB170" s="118">
        <v>2</v>
      </c>
      <c r="AC170" s="118"/>
      <c r="AD170" s="118">
        <v>28.18</v>
      </c>
      <c r="AE170" s="118">
        <v>19.3</v>
      </c>
      <c r="AF170" s="118"/>
      <c r="AG170" s="118"/>
      <c r="AH170" s="118">
        <v>2.42</v>
      </c>
      <c r="AI170" s="118">
        <v>13.15</v>
      </c>
      <c r="AJ170" s="118">
        <v>0.03</v>
      </c>
      <c r="AK170" s="118">
        <v>0.32</v>
      </c>
      <c r="AL170" s="118">
        <v>42.42</v>
      </c>
      <c r="AM170" s="118">
        <v>0.35</v>
      </c>
      <c r="AN170" s="118">
        <v>41</v>
      </c>
      <c r="AO170" s="118">
        <v>267.98</v>
      </c>
      <c r="AP170" s="118"/>
      <c r="AQ170" s="118">
        <v>0.59</v>
      </c>
      <c r="AR170" s="118">
        <v>0.04</v>
      </c>
      <c r="AS170" s="118">
        <v>0.04</v>
      </c>
      <c r="AT170" s="118">
        <v>0.04</v>
      </c>
      <c r="AU170" s="118"/>
      <c r="AV170" s="124">
        <v>4.4659999999999998E-2</v>
      </c>
      <c r="AW170" s="124">
        <v>9.5629999999999993E-2</v>
      </c>
      <c r="AX170" s="124">
        <v>0.18522</v>
      </c>
      <c r="AY170" s="124">
        <v>9.0969999999999995E-2</v>
      </c>
      <c r="AZ170" s="124">
        <v>1.4800000000000001E-2</v>
      </c>
      <c r="BA170" s="124">
        <v>1.3699999999999999E-2</v>
      </c>
      <c r="BB170" s="124">
        <v>0.12303</v>
      </c>
      <c r="BC170" s="124">
        <v>0.11919</v>
      </c>
      <c r="BD170" s="124">
        <v>1.6989999999999998E-2</v>
      </c>
      <c r="BE170" s="124">
        <v>0.14193</v>
      </c>
      <c r="BF170" s="124">
        <v>0.16878000000000001</v>
      </c>
      <c r="BG170" s="124">
        <v>8.8230000000000003E-2</v>
      </c>
      <c r="BH170" s="124">
        <v>0.7198</v>
      </c>
      <c r="BI170" s="124">
        <v>0.25318000000000002</v>
      </c>
      <c r="BJ170" s="124">
        <v>0.14796000000000001</v>
      </c>
      <c r="BK170" s="124">
        <v>0.12111</v>
      </c>
      <c r="BL170" s="124">
        <v>0.14768999999999999</v>
      </c>
      <c r="BM170" s="124">
        <v>8.8230000000000003E-2</v>
      </c>
      <c r="BN170" s="118">
        <v>53.74</v>
      </c>
      <c r="BO170" s="118">
        <v>52.94</v>
      </c>
      <c r="BP170" s="118">
        <v>10</v>
      </c>
      <c r="BQ170" s="118"/>
      <c r="BR170" s="118"/>
    </row>
    <row r="171" spans="1:70">
      <c r="A171" s="122">
        <v>32004</v>
      </c>
      <c r="B171" s="122" t="s">
        <v>748</v>
      </c>
      <c r="C171" s="122" t="s">
        <v>749</v>
      </c>
      <c r="D171" s="122" t="s">
        <v>750</v>
      </c>
      <c r="E171" s="122" t="s">
        <v>76</v>
      </c>
      <c r="F171" s="122" t="s">
        <v>1364</v>
      </c>
      <c r="G171" s="163" t="s">
        <v>1365</v>
      </c>
      <c r="H171" s="122">
        <v>14</v>
      </c>
      <c r="I171" s="122" t="s">
        <v>291</v>
      </c>
      <c r="J171" s="118">
        <v>389</v>
      </c>
      <c r="K171" s="118">
        <v>42.9</v>
      </c>
      <c r="L171" s="118">
        <v>3.33</v>
      </c>
      <c r="M171" s="118">
        <v>36.67</v>
      </c>
      <c r="N171" s="118">
        <v>6.91</v>
      </c>
      <c r="O171" s="118">
        <v>9.17</v>
      </c>
      <c r="P171" s="118">
        <v>0.05</v>
      </c>
      <c r="Q171" s="118">
        <v>0.04</v>
      </c>
      <c r="R171" s="118">
        <v>0.5</v>
      </c>
      <c r="S171" s="118">
        <v>0.21</v>
      </c>
      <c r="T171" s="118">
        <v>0.05</v>
      </c>
      <c r="U171" s="118">
        <v>22.88</v>
      </c>
      <c r="V171" s="118">
        <v>0</v>
      </c>
      <c r="W171" s="118">
        <v>3.26</v>
      </c>
      <c r="X171" s="118">
        <v>0</v>
      </c>
      <c r="Y171" s="118">
        <v>0.73</v>
      </c>
      <c r="Z171" s="118">
        <v>23.22</v>
      </c>
      <c r="AA171" s="118">
        <v>0</v>
      </c>
      <c r="AB171" s="118">
        <v>0</v>
      </c>
      <c r="AC171" s="118">
        <v>0</v>
      </c>
      <c r="AD171" s="118">
        <v>0</v>
      </c>
      <c r="AE171" s="118">
        <v>122</v>
      </c>
      <c r="AF171" s="118"/>
      <c r="AG171" s="118"/>
      <c r="AH171" s="118">
        <v>4.84</v>
      </c>
      <c r="AI171" s="118">
        <v>15.72</v>
      </c>
      <c r="AJ171" s="118">
        <v>0.31</v>
      </c>
      <c r="AK171" s="118">
        <v>2.17</v>
      </c>
      <c r="AL171" s="118">
        <v>37</v>
      </c>
      <c r="AM171" s="118">
        <v>0.74</v>
      </c>
      <c r="AN171" s="118">
        <v>116.8</v>
      </c>
      <c r="AO171" s="118">
        <v>424</v>
      </c>
      <c r="AP171" s="118"/>
      <c r="AQ171" s="118">
        <v>0.74</v>
      </c>
      <c r="AR171" s="118">
        <v>28.05</v>
      </c>
      <c r="AS171" s="118">
        <v>2.4500000000000002</v>
      </c>
      <c r="AT171" s="118">
        <v>0.64</v>
      </c>
      <c r="AU171" s="118"/>
      <c r="AV171" s="124">
        <v>9.2159999999999992E-2</v>
      </c>
      <c r="AW171" s="124">
        <v>0.16781000000000001</v>
      </c>
      <c r="AX171" s="124">
        <v>0.26611000000000001</v>
      </c>
      <c r="AY171" s="124">
        <v>0.15666999999999998</v>
      </c>
      <c r="AZ171" s="124">
        <v>8.4099999999999994E-2</v>
      </c>
      <c r="BA171" s="124">
        <v>5.645E-2</v>
      </c>
      <c r="BB171" s="124">
        <v>0.17318</v>
      </c>
      <c r="BC171" s="124">
        <v>0.12479999999999999</v>
      </c>
      <c r="BD171" s="124">
        <v>4.6079999999999996E-2</v>
      </c>
      <c r="BE171" s="124">
        <v>0.22387000000000001</v>
      </c>
      <c r="BF171" s="124">
        <v>0.20236999999999999</v>
      </c>
      <c r="BG171" s="124">
        <v>0.53261000000000003</v>
      </c>
      <c r="BH171" s="124">
        <v>0.36941000000000002</v>
      </c>
      <c r="BI171" s="124">
        <v>0.73421000000000003</v>
      </c>
      <c r="BJ171" s="124">
        <v>0.17779</v>
      </c>
      <c r="BK171" s="124">
        <v>0.17702000000000001</v>
      </c>
      <c r="BL171" s="124">
        <v>0.20466999999999999</v>
      </c>
      <c r="BM171" s="124">
        <v>0.12287999999999999</v>
      </c>
      <c r="BN171" s="118">
        <v>35.22</v>
      </c>
      <c r="BO171" s="118">
        <v>136</v>
      </c>
      <c r="BP171" s="118"/>
      <c r="BQ171" s="118"/>
      <c r="BR171" s="118"/>
    </row>
    <row r="172" spans="1:70">
      <c r="A172" s="122">
        <v>32005</v>
      </c>
      <c r="B172" s="122" t="s">
        <v>752</v>
      </c>
      <c r="C172" s="122" t="s">
        <v>753</v>
      </c>
      <c r="D172" s="122" t="s">
        <v>754</v>
      </c>
      <c r="E172" s="122" t="s">
        <v>76</v>
      </c>
      <c r="F172" s="122" t="s">
        <v>1366</v>
      </c>
      <c r="G172" s="163" t="s">
        <v>1367</v>
      </c>
      <c r="H172" s="122">
        <v>14</v>
      </c>
      <c r="I172" s="122" t="s">
        <v>197</v>
      </c>
      <c r="J172" s="118">
        <v>26</v>
      </c>
      <c r="K172" s="118">
        <v>92.14</v>
      </c>
      <c r="L172" s="118">
        <v>1.1399999999999999</v>
      </c>
      <c r="M172" s="118">
        <v>0.2</v>
      </c>
      <c r="N172" s="118">
        <v>4.07</v>
      </c>
      <c r="O172" s="118">
        <v>1.8</v>
      </c>
      <c r="P172" s="118">
        <v>0.04</v>
      </c>
      <c r="Q172" s="118">
        <v>0.02</v>
      </c>
      <c r="R172" s="118">
        <v>0.4</v>
      </c>
      <c r="S172" s="118"/>
      <c r="T172" s="118">
        <v>0.09</v>
      </c>
      <c r="U172" s="118">
        <v>14.5</v>
      </c>
      <c r="V172" s="118"/>
      <c r="W172" s="118">
        <v>24.7</v>
      </c>
      <c r="X172" s="118">
        <v>0.59</v>
      </c>
      <c r="Y172" s="118">
        <v>0.03</v>
      </c>
      <c r="Z172" s="118">
        <v>0.1</v>
      </c>
      <c r="AA172" s="118">
        <v>0</v>
      </c>
      <c r="AB172" s="118">
        <v>0</v>
      </c>
      <c r="AC172" s="118">
        <v>0</v>
      </c>
      <c r="AD172" s="118">
        <v>0</v>
      </c>
      <c r="AE172" s="118"/>
      <c r="AF172" s="118"/>
      <c r="AG172" s="118"/>
      <c r="AH172" s="118"/>
      <c r="AI172" s="118">
        <v>31.5</v>
      </c>
      <c r="AJ172" s="118">
        <v>0.05</v>
      </c>
      <c r="AK172" s="118">
        <v>0.42</v>
      </c>
      <c r="AL172" s="118">
        <v>9.5</v>
      </c>
      <c r="AM172" s="118">
        <v>0.13400000000000001</v>
      </c>
      <c r="AN172" s="118">
        <v>34</v>
      </c>
      <c r="AO172" s="118">
        <v>235.5</v>
      </c>
      <c r="AP172" s="118">
        <v>0.7</v>
      </c>
      <c r="AQ172" s="118">
        <v>0.52</v>
      </c>
      <c r="AR172" s="118"/>
      <c r="AS172" s="118"/>
      <c r="AT172" s="118"/>
      <c r="AU172" s="118"/>
      <c r="AV172" s="124"/>
      <c r="AW172" s="124"/>
      <c r="AX172" s="124"/>
      <c r="AY172" s="124"/>
      <c r="AZ172" s="124"/>
      <c r="BA172" s="124"/>
      <c r="BB172" s="124"/>
      <c r="BC172" s="124"/>
      <c r="BD172" s="124"/>
      <c r="BE172" s="124"/>
      <c r="BF172" s="124"/>
      <c r="BG172" s="124"/>
      <c r="BH172" s="124"/>
      <c r="BI172" s="124"/>
      <c r="BJ172" s="124"/>
      <c r="BK172" s="124"/>
      <c r="BL172" s="124"/>
      <c r="BM172" s="124"/>
      <c r="BN172" s="118"/>
      <c r="BO172" s="118"/>
      <c r="BP172" s="118"/>
      <c r="BQ172" s="118"/>
      <c r="BR172" s="118"/>
    </row>
    <row r="173" spans="1:70">
      <c r="A173" s="122">
        <v>32006</v>
      </c>
      <c r="B173" s="122" t="s">
        <v>756</v>
      </c>
      <c r="C173" s="122" t="s">
        <v>757</v>
      </c>
      <c r="D173" s="122" t="s">
        <v>758</v>
      </c>
      <c r="E173" s="122" t="s">
        <v>76</v>
      </c>
      <c r="F173" s="122" t="s">
        <v>1368</v>
      </c>
      <c r="G173" s="163" t="s">
        <v>1369</v>
      </c>
      <c r="H173" s="122">
        <v>2</v>
      </c>
      <c r="I173" s="122" t="s">
        <v>291</v>
      </c>
      <c r="J173" s="118">
        <v>95</v>
      </c>
      <c r="K173" s="118">
        <v>75.22</v>
      </c>
      <c r="L173" s="118">
        <v>1.26</v>
      </c>
      <c r="M173" s="118">
        <v>0.84</v>
      </c>
      <c r="N173" s="118">
        <v>19.239999999999998</v>
      </c>
      <c r="O173" s="118">
        <v>2.6</v>
      </c>
      <c r="P173" s="118">
        <v>0.05</v>
      </c>
      <c r="Q173" s="118">
        <v>0.08</v>
      </c>
      <c r="R173" s="118">
        <v>0.7</v>
      </c>
      <c r="S173" s="118">
        <v>0.36</v>
      </c>
      <c r="T173" s="118">
        <v>0.1</v>
      </c>
      <c r="U173" s="118">
        <v>20</v>
      </c>
      <c r="V173" s="118">
        <v>0</v>
      </c>
      <c r="W173" s="118">
        <v>1.03</v>
      </c>
      <c r="X173" s="118">
        <v>0.19</v>
      </c>
      <c r="Y173" s="118">
        <v>0.75</v>
      </c>
      <c r="Z173" s="118">
        <v>2.2000000000000002</v>
      </c>
      <c r="AA173" s="118">
        <v>0</v>
      </c>
      <c r="AB173" s="118">
        <v>1.79</v>
      </c>
      <c r="AC173" s="118">
        <v>3.57</v>
      </c>
      <c r="AD173" s="118">
        <v>21.44</v>
      </c>
      <c r="AE173" s="118">
        <v>26.9</v>
      </c>
      <c r="AF173" s="118"/>
      <c r="AG173" s="118"/>
      <c r="AH173" s="118">
        <v>2.33</v>
      </c>
      <c r="AI173" s="118">
        <v>11.34</v>
      </c>
      <c r="AJ173" s="118">
        <v>0.09</v>
      </c>
      <c r="AK173" s="118">
        <v>0.28999999999999998</v>
      </c>
      <c r="AL173" s="118">
        <v>22.96</v>
      </c>
      <c r="AM173" s="118">
        <v>0.36</v>
      </c>
      <c r="AN173" s="118">
        <v>36</v>
      </c>
      <c r="AO173" s="118">
        <v>410.68</v>
      </c>
      <c r="AP173" s="118"/>
      <c r="AQ173" s="118">
        <v>0.24</v>
      </c>
      <c r="AR173" s="118">
        <v>0.11</v>
      </c>
      <c r="AS173" s="118">
        <v>0.02</v>
      </c>
      <c r="AT173" s="118">
        <v>0.13</v>
      </c>
      <c r="AU173" s="118"/>
      <c r="AV173" s="124">
        <v>7.1959999999999996E-2</v>
      </c>
      <c r="AW173" s="124">
        <v>4.539E-2</v>
      </c>
      <c r="AX173" s="124">
        <v>0.10123</v>
      </c>
      <c r="AY173" s="124">
        <v>5.289E-2</v>
      </c>
      <c r="AZ173" s="124">
        <v>1.341E-2</v>
      </c>
      <c r="BA173" s="124">
        <v>7.0099999999999997E-3</v>
      </c>
      <c r="BB173" s="124">
        <v>5.2639999999999999E-2</v>
      </c>
      <c r="BC173" s="124">
        <v>5.0310000000000001E-2</v>
      </c>
      <c r="BD173" s="124">
        <v>1.218E-2</v>
      </c>
      <c r="BE173" s="124">
        <v>7.442E-2</v>
      </c>
      <c r="BF173" s="124">
        <v>8.7080000000000005E-2</v>
      </c>
      <c r="BG173" s="124">
        <v>4.5509999999999995E-2</v>
      </c>
      <c r="BH173" s="124">
        <v>0.16075999999999999</v>
      </c>
      <c r="BI173" s="124">
        <v>0.18659000000000001</v>
      </c>
      <c r="BJ173" s="124">
        <v>5.892E-2</v>
      </c>
      <c r="BK173" s="124">
        <v>4.4899999999999995E-2</v>
      </c>
      <c r="BL173" s="124">
        <v>5.781E-2</v>
      </c>
      <c r="BM173" s="124">
        <v>2.632E-2</v>
      </c>
      <c r="BN173" s="118">
        <v>10.7</v>
      </c>
      <c r="BO173" s="118">
        <v>13.98</v>
      </c>
      <c r="BP173" s="118">
        <v>3</v>
      </c>
      <c r="BQ173" s="118"/>
      <c r="BR173" s="118"/>
    </row>
    <row r="174" spans="1:70">
      <c r="A174" s="122">
        <v>32007</v>
      </c>
      <c r="B174" s="122" t="s">
        <v>760</v>
      </c>
      <c r="C174" s="122" t="s">
        <v>761</v>
      </c>
      <c r="D174" s="122" t="s">
        <v>762</v>
      </c>
      <c r="E174" s="122" t="s">
        <v>76</v>
      </c>
      <c r="F174" s="122" t="s">
        <v>1370</v>
      </c>
      <c r="G174" s="163" t="s">
        <v>1371</v>
      </c>
      <c r="H174" s="122">
        <v>14</v>
      </c>
      <c r="I174" s="122" t="s">
        <v>291</v>
      </c>
      <c r="J174" s="118">
        <v>44</v>
      </c>
      <c r="K174" s="118">
        <v>86.69</v>
      </c>
      <c r="L174" s="118">
        <v>0.8</v>
      </c>
      <c r="M174" s="118">
        <v>0.11</v>
      </c>
      <c r="N174" s="118">
        <v>8.3000000000000007</v>
      </c>
      <c r="O174" s="118">
        <v>3.4</v>
      </c>
      <c r="P174" s="118">
        <v>0.02</v>
      </c>
      <c r="Q174" s="118">
        <v>0.08</v>
      </c>
      <c r="R174" s="118">
        <v>0.2</v>
      </c>
      <c r="S174" s="118">
        <v>0.35</v>
      </c>
      <c r="T174" s="118">
        <v>0.27</v>
      </c>
      <c r="U174" s="118">
        <v>7.86</v>
      </c>
      <c r="V174" s="118">
        <v>0</v>
      </c>
      <c r="W174" s="118">
        <v>453.35</v>
      </c>
      <c r="X174" s="118">
        <v>0.27</v>
      </c>
      <c r="Y174" s="118">
        <v>0.12</v>
      </c>
      <c r="Z174" s="118">
        <v>1.64</v>
      </c>
      <c r="AA174" s="118">
        <v>0</v>
      </c>
      <c r="AB174" s="118">
        <v>0.75</v>
      </c>
      <c r="AC174" s="118">
        <v>0</v>
      </c>
      <c r="AD174" s="118">
        <v>9</v>
      </c>
      <c r="AE174" s="118">
        <v>38.700000000000003</v>
      </c>
      <c r="AF174" s="118"/>
      <c r="AG174" s="118"/>
      <c r="AH174" s="118">
        <v>2.86</v>
      </c>
      <c r="AI174" s="118">
        <v>32.020000000000003</v>
      </c>
      <c r="AJ174" s="118">
        <v>0.12</v>
      </c>
      <c r="AK174" s="118">
        <v>0.94</v>
      </c>
      <c r="AL174" s="118">
        <v>28</v>
      </c>
      <c r="AM174" s="118">
        <v>0.11</v>
      </c>
      <c r="AN174" s="118">
        <v>25</v>
      </c>
      <c r="AO174" s="118">
        <v>225</v>
      </c>
      <c r="AP174" s="118"/>
      <c r="AQ174" s="118">
        <v>0.3</v>
      </c>
      <c r="AR174" s="118">
        <v>0.04</v>
      </c>
      <c r="AS174" s="118">
        <v>0.02</v>
      </c>
      <c r="AT174" s="118">
        <v>0.08</v>
      </c>
      <c r="AU174" s="118"/>
      <c r="AV174" s="124">
        <v>8.1600000000000006E-3</v>
      </c>
      <c r="AW174" s="124">
        <v>6.6E-3</v>
      </c>
      <c r="AX174" s="124">
        <v>1.4449999999999999E-2</v>
      </c>
      <c r="AY174" s="124">
        <v>1.3800000000000002E-2</v>
      </c>
      <c r="AZ174" s="124">
        <v>2.48E-3</v>
      </c>
      <c r="BA174" s="124">
        <v>2.0699999999999998E-3</v>
      </c>
      <c r="BB174" s="124">
        <v>1.6489999999999998E-2</v>
      </c>
      <c r="BC174" s="124">
        <v>1.1220000000000001E-2</v>
      </c>
      <c r="BD174" s="124">
        <v>2.5499999999999997E-3</v>
      </c>
      <c r="BE174" s="124">
        <v>1.017E-2</v>
      </c>
      <c r="BF174" s="124">
        <v>2.1999999999999999E-2</v>
      </c>
      <c r="BG174" s="124">
        <v>1.316E-2</v>
      </c>
      <c r="BH174" s="124">
        <v>5.0659999999999997E-2</v>
      </c>
      <c r="BI174" s="124">
        <v>8.1259999999999999E-2</v>
      </c>
      <c r="BJ174" s="124">
        <v>1.703E-2</v>
      </c>
      <c r="BK174" s="124">
        <v>1.523E-2</v>
      </c>
      <c r="BL174" s="124">
        <v>1.6829999999999998E-2</v>
      </c>
      <c r="BM174" s="124">
        <v>8.8400000000000006E-3</v>
      </c>
      <c r="BN174" s="118">
        <v>1031</v>
      </c>
      <c r="BO174" s="118">
        <v>8</v>
      </c>
      <c r="BP174" s="118">
        <v>296</v>
      </c>
      <c r="BQ174" s="118"/>
      <c r="BR174" s="118"/>
    </row>
    <row r="175" spans="1:70">
      <c r="A175" s="122">
        <v>32008</v>
      </c>
      <c r="B175" s="122" t="s">
        <v>764</v>
      </c>
      <c r="C175" s="122" t="s">
        <v>765</v>
      </c>
      <c r="D175" s="122" t="s">
        <v>766</v>
      </c>
      <c r="E175" s="122" t="s">
        <v>76</v>
      </c>
      <c r="F175" s="122" t="s">
        <v>1372</v>
      </c>
      <c r="G175" s="163" t="s">
        <v>1373</v>
      </c>
      <c r="H175" s="122">
        <v>14</v>
      </c>
      <c r="I175" s="122" t="s">
        <v>291</v>
      </c>
      <c r="J175" s="118">
        <v>62</v>
      </c>
      <c r="K175" s="118">
        <v>81.790000000000006</v>
      </c>
      <c r="L175" s="118">
        <v>1.42</v>
      </c>
      <c r="M175" s="118">
        <v>0.48</v>
      </c>
      <c r="N175" s="118">
        <v>10.18</v>
      </c>
      <c r="O175" s="118">
        <v>5.51</v>
      </c>
      <c r="P175" s="118">
        <v>0.02</v>
      </c>
      <c r="Q175" s="118">
        <v>0.06</v>
      </c>
      <c r="R175" s="118">
        <v>0.6</v>
      </c>
      <c r="S175" s="118">
        <v>0.19</v>
      </c>
      <c r="T175" s="118">
        <v>7.0000000000000007E-2</v>
      </c>
      <c r="U175" s="118">
        <v>15.69</v>
      </c>
      <c r="V175" s="118">
        <v>0</v>
      </c>
      <c r="W175" s="118">
        <v>11.03</v>
      </c>
      <c r="X175" s="118">
        <v>0.33</v>
      </c>
      <c r="Y175" s="118">
        <v>0.06</v>
      </c>
      <c r="Z175" s="118">
        <v>7.8</v>
      </c>
      <c r="AA175" s="118">
        <v>0</v>
      </c>
      <c r="AB175" s="118">
        <v>0</v>
      </c>
      <c r="AC175" s="118">
        <v>0</v>
      </c>
      <c r="AD175" s="118">
        <v>1.47</v>
      </c>
      <c r="AE175" s="118">
        <v>27.33</v>
      </c>
      <c r="AF175" s="118"/>
      <c r="AG175" s="118"/>
      <c r="AH175" s="118">
        <v>1.61</v>
      </c>
      <c r="AI175" s="118">
        <v>10.6</v>
      </c>
      <c r="AJ175" s="118">
        <v>0.2</v>
      </c>
      <c r="AK175" s="118">
        <v>0.46</v>
      </c>
      <c r="AL175" s="118">
        <v>14.58</v>
      </c>
      <c r="AM175" s="118">
        <v>0.04</v>
      </c>
      <c r="AN175" s="118">
        <v>17.39</v>
      </c>
      <c r="AO175" s="118">
        <v>130.69999999999999</v>
      </c>
      <c r="AP175" s="118">
        <v>0.46</v>
      </c>
      <c r="AQ175" s="118">
        <v>0.27</v>
      </c>
      <c r="AR175" s="118">
        <v>0.09</v>
      </c>
      <c r="AS175" s="118">
        <v>0.05</v>
      </c>
      <c r="AT175" s="118">
        <v>0.79</v>
      </c>
      <c r="AU175" s="118"/>
      <c r="AV175" s="124">
        <v>1.822E-2</v>
      </c>
      <c r="AW175" s="124">
        <v>4.6829999999999997E-2</v>
      </c>
      <c r="AX175" s="124">
        <v>7.9989999999999992E-2</v>
      </c>
      <c r="AY175" s="124">
        <v>4.9009999999999998E-2</v>
      </c>
      <c r="AZ175" s="124">
        <v>1.4449999999999999E-2</v>
      </c>
      <c r="BA175" s="124">
        <v>1.208E-2</v>
      </c>
      <c r="BB175" s="124">
        <v>5.3359999999999998E-2</v>
      </c>
      <c r="BC175" s="124">
        <v>4.6929999999999999E-2</v>
      </c>
      <c r="BD175" s="124">
        <v>7.3299999999999997E-3</v>
      </c>
      <c r="BE175" s="124">
        <v>5.9900000000000002E-2</v>
      </c>
      <c r="BF175" s="124">
        <v>0.10454000000000001</v>
      </c>
      <c r="BG175" s="124">
        <v>2.2179999999999998E-2</v>
      </c>
      <c r="BH175" s="124">
        <v>0.11534</v>
      </c>
      <c r="BI175" s="124">
        <v>0.15909000000000001</v>
      </c>
      <c r="BJ175" s="124">
        <v>5.5039999999999999E-2</v>
      </c>
      <c r="BK175" s="124">
        <v>5.663E-2</v>
      </c>
      <c r="BL175" s="124">
        <v>5.108E-2</v>
      </c>
      <c r="BM175" s="124">
        <v>2.8910000000000002E-2</v>
      </c>
      <c r="BN175" s="118">
        <v>124</v>
      </c>
      <c r="BO175" s="118">
        <v>2.57</v>
      </c>
      <c r="BP175" s="118">
        <v>19</v>
      </c>
      <c r="BQ175" s="118"/>
      <c r="BR175" s="118"/>
    </row>
    <row r="176" spans="1:70">
      <c r="A176" s="122">
        <v>32702</v>
      </c>
      <c r="B176" s="122" t="s">
        <v>768</v>
      </c>
      <c r="C176" s="122" t="s">
        <v>769</v>
      </c>
      <c r="D176" s="122" t="s">
        <v>136</v>
      </c>
      <c r="E176" s="122" t="s">
        <v>76</v>
      </c>
      <c r="F176" s="122" t="s">
        <v>1374</v>
      </c>
      <c r="G176" s="163" t="s">
        <v>1375</v>
      </c>
      <c r="H176" s="122">
        <v>14</v>
      </c>
      <c r="I176" s="122" t="s">
        <v>291</v>
      </c>
      <c r="J176" s="118">
        <v>320</v>
      </c>
      <c r="K176" s="118">
        <v>14.8</v>
      </c>
      <c r="L176" s="118">
        <v>2.1</v>
      </c>
      <c r="M176" s="118">
        <v>0.49</v>
      </c>
      <c r="N176" s="118">
        <v>72.8</v>
      </c>
      <c r="O176" s="118">
        <v>8.1999999999999993</v>
      </c>
      <c r="P176" s="118">
        <v>0.03</v>
      </c>
      <c r="Q176" s="118">
        <v>0.03</v>
      </c>
      <c r="R176" s="118"/>
      <c r="S176" s="118">
        <v>0.78</v>
      </c>
      <c r="T176" s="118">
        <v>0.12</v>
      </c>
      <c r="U176" s="118">
        <v>19</v>
      </c>
      <c r="V176" s="118">
        <v>0</v>
      </c>
      <c r="W176" s="118">
        <v>7.9</v>
      </c>
      <c r="X176" s="118">
        <v>1.37</v>
      </c>
      <c r="Y176" s="118">
        <v>0.02</v>
      </c>
      <c r="Z176" s="118">
        <v>3.34</v>
      </c>
      <c r="AA176" s="118">
        <v>0</v>
      </c>
      <c r="AB176" s="118">
        <v>227</v>
      </c>
      <c r="AC176" s="118"/>
      <c r="AD176" s="118">
        <v>2729</v>
      </c>
      <c r="AE176" s="118">
        <v>283</v>
      </c>
      <c r="AF176" s="118"/>
      <c r="AG176" s="118"/>
      <c r="AH176" s="118">
        <v>6.89</v>
      </c>
      <c r="AI176" s="118">
        <v>55</v>
      </c>
      <c r="AJ176" s="118">
        <v>0.34</v>
      </c>
      <c r="AK176" s="118">
        <v>1.5</v>
      </c>
      <c r="AL176" s="118">
        <v>50</v>
      </c>
      <c r="AM176" s="118">
        <v>0.82</v>
      </c>
      <c r="AN176" s="118">
        <v>56</v>
      </c>
      <c r="AO176" s="118">
        <v>613</v>
      </c>
      <c r="AP176" s="118">
        <v>0.78</v>
      </c>
      <c r="AQ176" s="118">
        <v>0.71</v>
      </c>
      <c r="AR176" s="118">
        <v>0.11</v>
      </c>
      <c r="AS176" s="118">
        <v>0.03</v>
      </c>
      <c r="AT176" s="118">
        <v>0.15</v>
      </c>
      <c r="AU176" s="118"/>
      <c r="AV176" s="124">
        <v>4.7189999999999996E-2</v>
      </c>
      <c r="AW176" s="124">
        <v>6.0139999999999999E-2</v>
      </c>
      <c r="AX176" s="124">
        <v>0.12584000000000001</v>
      </c>
      <c r="AY176" s="124">
        <v>6.3530000000000003E-2</v>
      </c>
      <c r="AZ176" s="124">
        <v>2.759E-2</v>
      </c>
      <c r="BA176" s="124">
        <v>3.134E-2</v>
      </c>
      <c r="BB176" s="124">
        <v>8.3610000000000004E-2</v>
      </c>
      <c r="BC176" s="124">
        <v>8.4699999999999998E-2</v>
      </c>
      <c r="BD176" s="124">
        <v>3.243E-2</v>
      </c>
      <c r="BE176" s="124">
        <v>7.442E-2</v>
      </c>
      <c r="BF176" s="124">
        <v>0.16891999999999999</v>
      </c>
      <c r="BG176" s="124">
        <v>9.6560000000000007E-2</v>
      </c>
      <c r="BH176" s="124">
        <v>0.27200999999999997</v>
      </c>
      <c r="BI176" s="124">
        <v>0.37037999999999999</v>
      </c>
      <c r="BJ176" s="124">
        <v>0.14688999999999999</v>
      </c>
      <c r="BK176" s="124">
        <v>0.13794000000000001</v>
      </c>
      <c r="BL176" s="124">
        <v>0.12027</v>
      </c>
      <c r="BM176" s="124">
        <v>5.0220000000000001E-2</v>
      </c>
      <c r="BN176" s="118">
        <v>102</v>
      </c>
      <c r="BO176" s="118">
        <v>130</v>
      </c>
      <c r="BP176" s="118"/>
      <c r="BQ176" s="118"/>
      <c r="BR176" s="118"/>
    </row>
    <row r="177" spans="1:70">
      <c r="A177" s="122">
        <v>32009</v>
      </c>
      <c r="B177" s="122" t="s">
        <v>771</v>
      </c>
      <c r="C177" s="122" t="s">
        <v>772</v>
      </c>
      <c r="D177" s="122" t="s">
        <v>773</v>
      </c>
      <c r="E177" s="122" t="s">
        <v>76</v>
      </c>
      <c r="F177" s="122" t="s">
        <v>1376</v>
      </c>
      <c r="G177" s="163" t="s">
        <v>1377</v>
      </c>
      <c r="H177" s="122">
        <v>14</v>
      </c>
      <c r="I177" s="122" t="s">
        <v>291</v>
      </c>
      <c r="J177" s="118">
        <v>67</v>
      </c>
      <c r="K177" s="118">
        <v>80.900000000000006</v>
      </c>
      <c r="L177" s="118">
        <v>1.6</v>
      </c>
      <c r="M177" s="118">
        <v>0.2</v>
      </c>
      <c r="N177" s="118">
        <v>12.7</v>
      </c>
      <c r="O177" s="118">
        <v>4</v>
      </c>
      <c r="P177" s="118">
        <v>0.02</v>
      </c>
      <c r="Q177" s="118">
        <v>0.1</v>
      </c>
      <c r="R177" s="118">
        <v>0.3</v>
      </c>
      <c r="S177" s="118">
        <v>0.42</v>
      </c>
      <c r="T177" s="118">
        <v>0.11</v>
      </c>
      <c r="U177" s="118">
        <v>38</v>
      </c>
      <c r="V177" s="118">
        <v>0</v>
      </c>
      <c r="W177" s="118">
        <v>26</v>
      </c>
      <c r="X177" s="118">
        <v>3.32</v>
      </c>
      <c r="Y177" s="118">
        <v>0.6</v>
      </c>
      <c r="Z177" s="118">
        <v>18.5</v>
      </c>
      <c r="AA177" s="118">
        <v>0</v>
      </c>
      <c r="AB177" s="118">
        <v>2.75</v>
      </c>
      <c r="AC177" s="118">
        <v>26</v>
      </c>
      <c r="AD177" s="118">
        <v>20</v>
      </c>
      <c r="AE177" s="118">
        <v>27.87</v>
      </c>
      <c r="AF177" s="118"/>
      <c r="AG177" s="118"/>
      <c r="AH177" s="118">
        <v>2.5099999999999998</v>
      </c>
      <c r="AI177" s="118">
        <v>21</v>
      </c>
      <c r="AJ177" s="118">
        <v>0.34</v>
      </c>
      <c r="AK177" s="118">
        <v>0.3</v>
      </c>
      <c r="AL177" s="118">
        <v>44</v>
      </c>
      <c r="AM177" s="118">
        <v>0.13</v>
      </c>
      <c r="AN177" s="118">
        <v>70</v>
      </c>
      <c r="AO177" s="118">
        <v>133</v>
      </c>
      <c r="AP177" s="118">
        <v>0.55000000000000004</v>
      </c>
      <c r="AQ177" s="118">
        <v>0.82</v>
      </c>
      <c r="AR177" s="118">
        <v>0.43</v>
      </c>
      <c r="AS177" s="118">
        <v>0.04</v>
      </c>
      <c r="AT177" s="118">
        <v>0.04</v>
      </c>
      <c r="AU177" s="118"/>
      <c r="AV177" s="124">
        <v>2.58E-2</v>
      </c>
      <c r="AW177" s="124">
        <v>2.2210000000000001E-2</v>
      </c>
      <c r="AX177" s="124">
        <v>6.4769999999999994E-2</v>
      </c>
      <c r="AY177" s="124">
        <v>1.5300000000000001E-2</v>
      </c>
      <c r="AZ177" s="124">
        <v>8.1099999999999992E-3</v>
      </c>
      <c r="BA177" s="124">
        <v>1.184E-2</v>
      </c>
      <c r="BB177" s="124">
        <v>4.2290000000000001E-2</v>
      </c>
      <c r="BC177" s="124">
        <v>3.4450000000000001E-2</v>
      </c>
      <c r="BD177" s="124">
        <v>6.1200000000000004E-3</v>
      </c>
      <c r="BE177" s="124">
        <v>3.1920000000000004E-2</v>
      </c>
      <c r="BF177" s="124">
        <v>6.3840000000000008E-2</v>
      </c>
      <c r="BG177" s="124">
        <v>0.11106000000000001</v>
      </c>
      <c r="BH177" s="124">
        <v>0.11305</v>
      </c>
      <c r="BI177" s="124">
        <v>0.36349000000000004</v>
      </c>
      <c r="BJ177" s="124">
        <v>4.7219999999999998E-2</v>
      </c>
      <c r="BK177" s="124">
        <v>4.6020000000000005E-2</v>
      </c>
      <c r="BL177" s="124">
        <v>6.4239999999999992E-2</v>
      </c>
      <c r="BM177" s="124">
        <v>2.4340000000000001E-2</v>
      </c>
      <c r="BN177" s="118">
        <v>67.099999999999994</v>
      </c>
      <c r="BO177" s="118">
        <v>45.71</v>
      </c>
      <c r="BP177" s="118">
        <v>14</v>
      </c>
      <c r="BQ177" s="118"/>
      <c r="BR177" s="118"/>
    </row>
    <row r="178" spans="1:70">
      <c r="A178" s="122">
        <v>32011</v>
      </c>
      <c r="B178" s="122" t="s">
        <v>775</v>
      </c>
      <c r="C178" s="122" t="s">
        <v>776</v>
      </c>
      <c r="D178" s="122" t="s">
        <v>777</v>
      </c>
      <c r="E178" s="122" t="s">
        <v>76</v>
      </c>
      <c r="F178" s="122" t="s">
        <v>1378</v>
      </c>
      <c r="G178" s="163" t="s">
        <v>1379</v>
      </c>
      <c r="H178" s="122">
        <v>14</v>
      </c>
      <c r="I178" s="122" t="s">
        <v>291</v>
      </c>
      <c r="J178" s="118">
        <v>95.6</v>
      </c>
      <c r="K178" s="118">
        <v>73.34</v>
      </c>
      <c r="L178" s="118">
        <v>0.86</v>
      </c>
      <c r="M178" s="118">
        <v>0.37</v>
      </c>
      <c r="N178" s="118">
        <v>21.46</v>
      </c>
      <c r="O178" s="118">
        <v>3.02</v>
      </c>
      <c r="P178" s="118">
        <v>0.02</v>
      </c>
      <c r="Q178" s="118">
        <v>0.02</v>
      </c>
      <c r="R178" s="118">
        <v>0.74</v>
      </c>
      <c r="S178" s="118">
        <v>0.52</v>
      </c>
      <c r="T178" s="118">
        <v>0.13</v>
      </c>
      <c r="U178" s="118">
        <v>9.8000000000000007</v>
      </c>
      <c r="V178" s="118">
        <v>0</v>
      </c>
      <c r="W178" s="118">
        <v>5.26</v>
      </c>
      <c r="X178" s="118">
        <v>1.2</v>
      </c>
      <c r="Y178" s="118">
        <v>0.09</v>
      </c>
      <c r="Z178" s="118">
        <v>3.5</v>
      </c>
      <c r="AA178" s="118">
        <v>0</v>
      </c>
      <c r="AB178" s="118"/>
      <c r="AC178" s="118"/>
      <c r="AD178" s="118"/>
      <c r="AE178" s="118">
        <v>8.1199999999999992</v>
      </c>
      <c r="AF178" s="118"/>
      <c r="AG178" s="118"/>
      <c r="AH178" s="118">
        <v>2.5</v>
      </c>
      <c r="AI178" s="118">
        <v>37.15</v>
      </c>
      <c r="AJ178" s="118">
        <v>0.19</v>
      </c>
      <c r="AK178" s="118">
        <v>0.77</v>
      </c>
      <c r="AL178" s="118">
        <v>57.43</v>
      </c>
      <c r="AM178" s="118">
        <v>0.56999999999999995</v>
      </c>
      <c r="AN178" s="118">
        <v>62.83</v>
      </c>
      <c r="AO178" s="118">
        <v>382</v>
      </c>
      <c r="AP178" s="118">
        <v>2.4300000000000002</v>
      </c>
      <c r="AQ178" s="118">
        <v>0.67</v>
      </c>
      <c r="AR178" s="118">
        <v>0.87</v>
      </c>
      <c r="AS178" s="118">
        <v>0.11</v>
      </c>
      <c r="AT178" s="118">
        <v>0.1</v>
      </c>
      <c r="AU178" s="118"/>
      <c r="AV178" s="124">
        <v>1.6E-2</v>
      </c>
      <c r="AW178" s="124">
        <v>2.8120000000000003E-2</v>
      </c>
      <c r="AX178" s="124">
        <v>5.0310000000000001E-2</v>
      </c>
      <c r="AY178" s="124">
        <v>3.2340000000000001E-2</v>
      </c>
      <c r="AZ178" s="124">
        <v>8.43E-3</v>
      </c>
      <c r="BA178" s="124">
        <v>1.0580000000000001E-2</v>
      </c>
      <c r="BB178" s="124">
        <v>3.9899999999999998E-2</v>
      </c>
      <c r="BC178" s="124">
        <v>3.2250000000000001E-2</v>
      </c>
      <c r="BD178" s="124">
        <v>9.1199999999999996E-3</v>
      </c>
      <c r="BE178" s="124">
        <v>3.2680000000000001E-2</v>
      </c>
      <c r="BF178" s="124">
        <v>5.3409999999999999E-2</v>
      </c>
      <c r="BG178" s="124">
        <v>4.6700000000000005E-2</v>
      </c>
      <c r="BH178" s="124">
        <v>0.13605</v>
      </c>
      <c r="BI178" s="124">
        <v>0.12504000000000001</v>
      </c>
      <c r="BJ178" s="124">
        <v>4.4810000000000003E-2</v>
      </c>
      <c r="BK178" s="124">
        <v>3.1649999999999998E-2</v>
      </c>
      <c r="BL178" s="124">
        <v>5.04E-2</v>
      </c>
      <c r="BM178" s="124">
        <v>3.1129999999999998E-2</v>
      </c>
      <c r="BN178" s="118"/>
      <c r="BO178" s="118">
        <v>25.86</v>
      </c>
      <c r="BP178" s="118"/>
      <c r="BQ178" s="118"/>
      <c r="BR178" s="118"/>
    </row>
    <row r="179" spans="1:70">
      <c r="A179" s="122">
        <v>32012</v>
      </c>
      <c r="B179" s="122" t="s">
        <v>779</v>
      </c>
      <c r="C179" s="122" t="s">
        <v>780</v>
      </c>
      <c r="D179" s="122" t="s">
        <v>731</v>
      </c>
      <c r="E179" s="122" t="s">
        <v>76</v>
      </c>
      <c r="F179" s="122" t="s">
        <v>1380</v>
      </c>
      <c r="G179" s="163" t="s">
        <v>1381</v>
      </c>
      <c r="H179" s="122">
        <v>14</v>
      </c>
      <c r="I179" s="122" t="s">
        <v>291</v>
      </c>
      <c r="J179" s="118">
        <v>94</v>
      </c>
      <c r="K179" s="118">
        <v>75.3</v>
      </c>
      <c r="L179" s="118">
        <v>0.5</v>
      </c>
      <c r="M179" s="118">
        <v>0.62</v>
      </c>
      <c r="N179" s="118">
        <v>20.18</v>
      </c>
      <c r="O179" s="118">
        <v>2.9</v>
      </c>
      <c r="P179" s="118">
        <v>0.1</v>
      </c>
      <c r="Q179" s="118">
        <v>0.06</v>
      </c>
      <c r="R179" s="118">
        <v>0.23</v>
      </c>
      <c r="S179" s="118">
        <v>7.0000000000000007E-2</v>
      </c>
      <c r="T179" s="118">
        <v>0.06</v>
      </c>
      <c r="U179" s="118">
        <v>7.72</v>
      </c>
      <c r="V179" s="118">
        <v>0</v>
      </c>
      <c r="W179" s="118">
        <v>29</v>
      </c>
      <c r="X179" s="118">
        <v>5.46</v>
      </c>
      <c r="Y179" s="118">
        <v>0.4</v>
      </c>
      <c r="Z179" s="118">
        <v>3.65</v>
      </c>
      <c r="AA179" s="118">
        <v>0</v>
      </c>
      <c r="AB179" s="118">
        <v>2.75</v>
      </c>
      <c r="AC179" s="118"/>
      <c r="AD179" s="118">
        <v>30.77</v>
      </c>
      <c r="AE179" s="118">
        <v>31.3</v>
      </c>
      <c r="AF179" s="118"/>
      <c r="AG179" s="118"/>
      <c r="AH179" s="118">
        <v>4.0599999999999996</v>
      </c>
      <c r="AI179" s="118">
        <v>22</v>
      </c>
      <c r="AJ179" s="118">
        <v>0.13</v>
      </c>
      <c r="AK179" s="118">
        <v>0.5</v>
      </c>
      <c r="AL179" s="118">
        <v>82</v>
      </c>
      <c r="AM179" s="118">
        <v>0.08</v>
      </c>
      <c r="AN179" s="118">
        <v>30</v>
      </c>
      <c r="AO179" s="118">
        <v>191</v>
      </c>
      <c r="AP179" s="118"/>
      <c r="AQ179" s="118">
        <v>7.0000000000000007E-2</v>
      </c>
      <c r="AR179" s="118">
        <v>92.42</v>
      </c>
      <c r="AS179" s="118">
        <v>11.1</v>
      </c>
      <c r="AT179" s="118">
        <v>119</v>
      </c>
      <c r="AU179" s="118"/>
      <c r="AV179" s="124">
        <v>2.01E-2</v>
      </c>
      <c r="AW179" s="124">
        <v>1.694E-2</v>
      </c>
      <c r="AX179" s="124">
        <v>4.8590000000000001E-2</v>
      </c>
      <c r="AY179" s="124">
        <v>1.8020000000000001E-2</v>
      </c>
      <c r="AZ179" s="124">
        <v>8.0099999999999998E-3</v>
      </c>
      <c r="BA179" s="124">
        <v>9.6300000000000014E-3</v>
      </c>
      <c r="BB179" s="124">
        <v>2.402E-2</v>
      </c>
      <c r="BC179" s="124">
        <v>4.104E-2</v>
      </c>
      <c r="BD179" s="124">
        <v>5.0800000000000003E-3</v>
      </c>
      <c r="BE179" s="124">
        <v>1.8940000000000002E-2</v>
      </c>
      <c r="BF179" s="124">
        <v>5.475E-2</v>
      </c>
      <c r="BG179" s="124">
        <v>5.067E-2</v>
      </c>
      <c r="BH179" s="124">
        <v>8.0159999999999995E-2</v>
      </c>
      <c r="BI179" s="124">
        <v>0.16671</v>
      </c>
      <c r="BJ179" s="124">
        <v>2.649E-2</v>
      </c>
      <c r="BK179" s="124">
        <v>3.3030000000000004E-2</v>
      </c>
      <c r="BL179" s="124">
        <v>3.5499999999999997E-2</v>
      </c>
      <c r="BM179" s="124">
        <v>1.8020000000000001E-2</v>
      </c>
      <c r="BN179" s="118">
        <v>144</v>
      </c>
      <c r="BO179" s="118">
        <v>1.27</v>
      </c>
      <c r="BP179" s="118"/>
      <c r="BQ179" s="118"/>
      <c r="BR179" s="118"/>
    </row>
    <row r="180" spans="1:70">
      <c r="A180" s="122">
        <v>32013</v>
      </c>
      <c r="B180" s="122" t="s">
        <v>782</v>
      </c>
      <c r="C180" s="122" t="s">
        <v>783</v>
      </c>
      <c r="D180" s="122" t="s">
        <v>784</v>
      </c>
      <c r="E180" s="122" t="s">
        <v>76</v>
      </c>
      <c r="F180" s="122" t="s">
        <v>1382</v>
      </c>
      <c r="G180" s="163" t="s">
        <v>1383</v>
      </c>
      <c r="H180" s="122">
        <v>14</v>
      </c>
      <c r="I180" s="122" t="s">
        <v>291</v>
      </c>
      <c r="J180" s="118">
        <v>60</v>
      </c>
      <c r="K180" s="118">
        <v>84.3</v>
      </c>
      <c r="L180" s="118">
        <v>1.88</v>
      </c>
      <c r="M180" s="118">
        <v>0.2</v>
      </c>
      <c r="N180" s="118">
        <v>12.62</v>
      </c>
      <c r="O180" s="118"/>
      <c r="P180" s="118">
        <v>0.02</v>
      </c>
      <c r="Q180" s="118">
        <v>0.06</v>
      </c>
      <c r="R180" s="118">
        <v>0.8</v>
      </c>
      <c r="S180" s="118">
        <v>0.14000000000000001</v>
      </c>
      <c r="T180" s="118">
        <v>0.08</v>
      </c>
      <c r="U180" s="118"/>
      <c r="V180" s="118">
        <v>0</v>
      </c>
      <c r="W180" s="118">
        <v>66.099999999999994</v>
      </c>
      <c r="X180" s="118">
        <v>16.8</v>
      </c>
      <c r="Y180" s="118"/>
      <c r="Z180" s="118">
        <v>2.5</v>
      </c>
      <c r="AA180" s="118">
        <v>0</v>
      </c>
      <c r="AB180" s="118">
        <v>2</v>
      </c>
      <c r="AC180" s="118">
        <v>0</v>
      </c>
      <c r="AD180" s="118">
        <v>24</v>
      </c>
      <c r="AE180" s="118">
        <v>10.7</v>
      </c>
      <c r="AF180" s="118"/>
      <c r="AG180" s="118"/>
      <c r="AH180" s="118">
        <v>1.6</v>
      </c>
      <c r="AI180" s="118">
        <v>14</v>
      </c>
      <c r="AJ180" s="118">
        <v>0.15</v>
      </c>
      <c r="AK180" s="118">
        <v>0.8</v>
      </c>
      <c r="AL180" s="118">
        <v>24.5</v>
      </c>
      <c r="AM180" s="118">
        <v>0.24</v>
      </c>
      <c r="AN180" s="118">
        <v>33</v>
      </c>
      <c r="AO180" s="118">
        <v>353.5</v>
      </c>
      <c r="AP180" s="118">
        <v>1.42</v>
      </c>
      <c r="AQ180" s="118">
        <v>0.32</v>
      </c>
      <c r="AR180" s="118">
        <v>0.12</v>
      </c>
      <c r="AS180" s="118">
        <v>0.13</v>
      </c>
      <c r="AT180" s="118">
        <v>0.04</v>
      </c>
      <c r="AU180" s="118"/>
      <c r="AV180" s="124">
        <v>2.4660000000000001E-2</v>
      </c>
      <c r="AW180" s="124">
        <v>5.4810000000000005E-2</v>
      </c>
      <c r="AX180" s="124">
        <v>4.811E-2</v>
      </c>
      <c r="AY180" s="124">
        <v>2.01E-2</v>
      </c>
      <c r="AZ180" s="124">
        <v>1.4199999999999999E-2</v>
      </c>
      <c r="BA180" s="124">
        <v>2.0640000000000002E-2</v>
      </c>
      <c r="BB180" s="124">
        <v>4.65E-2</v>
      </c>
      <c r="BC180" s="124">
        <v>3.1489999999999997E-2</v>
      </c>
      <c r="BD180" s="124">
        <v>1.1789999999999998E-2</v>
      </c>
      <c r="BE180" s="124">
        <v>6.2579999999999997E-2</v>
      </c>
      <c r="BF180" s="124">
        <v>6.191E-2</v>
      </c>
      <c r="BG180" s="124">
        <v>7.3829999999999993E-2</v>
      </c>
      <c r="BH180" s="124">
        <v>0.42666000000000004</v>
      </c>
      <c r="BI180" s="124">
        <v>0.23222000000000001</v>
      </c>
      <c r="BJ180" s="124">
        <v>4.1540000000000001E-2</v>
      </c>
      <c r="BK180" s="124">
        <v>3.3770000000000001E-2</v>
      </c>
      <c r="BL180" s="124">
        <v>5.1720000000000002E-2</v>
      </c>
      <c r="BM180" s="124">
        <v>4.6359999999999998E-2</v>
      </c>
      <c r="BN180" s="118">
        <v>131</v>
      </c>
      <c r="BO180" s="118">
        <v>85.6</v>
      </c>
      <c r="BP180" s="118"/>
      <c r="BQ180" s="118"/>
      <c r="BR180" s="118"/>
    </row>
    <row r="181" spans="1:70">
      <c r="A181" s="122">
        <v>31003</v>
      </c>
      <c r="B181" s="122" t="s">
        <v>789</v>
      </c>
      <c r="C181" s="122" t="s">
        <v>786</v>
      </c>
      <c r="D181" s="122" t="s">
        <v>787</v>
      </c>
      <c r="E181" s="122" t="s">
        <v>76</v>
      </c>
      <c r="F181" s="122" t="s">
        <v>1384</v>
      </c>
      <c r="G181" s="163" t="s">
        <v>1385</v>
      </c>
      <c r="H181" s="122">
        <v>14</v>
      </c>
      <c r="I181" s="122" t="s">
        <v>291</v>
      </c>
      <c r="J181" s="118">
        <v>49</v>
      </c>
      <c r="K181" s="118">
        <v>86.3</v>
      </c>
      <c r="L181" s="118">
        <v>0.2</v>
      </c>
      <c r="M181" s="118">
        <v>0.1</v>
      </c>
      <c r="N181" s="118">
        <v>10.7</v>
      </c>
      <c r="O181" s="118">
        <v>2.4</v>
      </c>
      <c r="P181" s="118">
        <v>0.15</v>
      </c>
      <c r="Q181" s="118">
        <v>0.01</v>
      </c>
      <c r="R181" s="118">
        <v>0.3</v>
      </c>
      <c r="S181" s="118"/>
      <c r="T181" s="118">
        <v>0.08</v>
      </c>
      <c r="U181" s="118">
        <v>46.2</v>
      </c>
      <c r="V181" s="118">
        <v>0</v>
      </c>
      <c r="W181" s="118">
        <v>54</v>
      </c>
      <c r="X181" s="118">
        <v>0</v>
      </c>
      <c r="Y181" s="118">
        <v>0.18</v>
      </c>
      <c r="Z181" s="118">
        <v>2.5</v>
      </c>
      <c r="AA181" s="118">
        <v>0</v>
      </c>
      <c r="AB181" s="118">
        <v>11.21</v>
      </c>
      <c r="AC181" s="118">
        <v>11</v>
      </c>
      <c r="AD181" s="118">
        <v>71</v>
      </c>
      <c r="AE181" s="118"/>
      <c r="AF181" s="118"/>
      <c r="AG181" s="118"/>
      <c r="AH181" s="118"/>
      <c r="AI181" s="118">
        <v>31</v>
      </c>
      <c r="AJ181" s="118">
        <v>0.05</v>
      </c>
      <c r="AK181" s="118">
        <v>0.1</v>
      </c>
      <c r="AL181" s="118">
        <v>10</v>
      </c>
      <c r="AM181" s="118">
        <v>0.02</v>
      </c>
      <c r="AN181" s="118">
        <v>14</v>
      </c>
      <c r="AO181" s="118">
        <v>181</v>
      </c>
      <c r="AP181" s="118">
        <v>0.19</v>
      </c>
      <c r="AQ181" s="118">
        <v>7.0000000000000007E-2</v>
      </c>
      <c r="AR181" s="118"/>
      <c r="AS181" s="118"/>
      <c r="AT181" s="118"/>
      <c r="AU181" s="118"/>
      <c r="AV181" s="124"/>
      <c r="AW181" s="124"/>
      <c r="AX181" s="124"/>
      <c r="AY181" s="124"/>
      <c r="AZ181" s="124"/>
      <c r="BA181" s="124"/>
      <c r="BB181" s="124"/>
      <c r="BC181" s="124"/>
      <c r="BD181" s="124"/>
      <c r="BE181" s="124"/>
      <c r="BF181" s="124"/>
      <c r="BG181" s="124"/>
      <c r="BH181" s="124"/>
      <c r="BI181" s="124"/>
      <c r="BJ181" s="124"/>
      <c r="BK181" s="124"/>
      <c r="BL181" s="124"/>
      <c r="BM181" s="124"/>
      <c r="BN181" s="118">
        <v>54.73</v>
      </c>
      <c r="BO181" s="118"/>
      <c r="BP181" s="118"/>
      <c r="BQ181" s="118"/>
      <c r="BR181" s="118"/>
    </row>
    <row r="182" spans="1:70">
      <c r="A182" s="122">
        <v>32014</v>
      </c>
      <c r="B182" s="122" t="s">
        <v>791</v>
      </c>
      <c r="C182" s="122" t="s">
        <v>792</v>
      </c>
      <c r="D182" s="122" t="s">
        <v>793</v>
      </c>
      <c r="E182" s="122" t="s">
        <v>76</v>
      </c>
      <c r="F182" s="122" t="s">
        <v>1386</v>
      </c>
      <c r="G182" s="163" t="s">
        <v>1387</v>
      </c>
      <c r="H182" s="122">
        <v>14</v>
      </c>
      <c r="I182" s="122" t="s">
        <v>291</v>
      </c>
      <c r="J182" s="118">
        <v>62</v>
      </c>
      <c r="K182" s="118">
        <v>83.28</v>
      </c>
      <c r="L182" s="118">
        <v>0.34</v>
      </c>
      <c r="M182" s="118">
        <v>0.19</v>
      </c>
      <c r="N182" s="118">
        <v>13.55</v>
      </c>
      <c r="O182" s="118">
        <v>2.4</v>
      </c>
      <c r="P182" s="118">
        <v>0.09</v>
      </c>
      <c r="Q182" s="118">
        <v>0.03</v>
      </c>
      <c r="R182" s="118">
        <v>0.1</v>
      </c>
      <c r="S182" s="118">
        <v>0.1</v>
      </c>
      <c r="T182" s="118">
        <v>0.04</v>
      </c>
      <c r="U182" s="118">
        <v>3</v>
      </c>
      <c r="V182" s="118">
        <v>0</v>
      </c>
      <c r="W182" s="118">
        <v>4.03</v>
      </c>
      <c r="X182" s="118">
        <v>1.96</v>
      </c>
      <c r="Y182" s="118">
        <v>0.18</v>
      </c>
      <c r="Z182" s="118">
        <v>3.65</v>
      </c>
      <c r="AA182" s="118">
        <v>0</v>
      </c>
      <c r="AB182" s="118">
        <v>2.71</v>
      </c>
      <c r="AC182" s="118">
        <v>0</v>
      </c>
      <c r="AD182" s="118">
        <v>27</v>
      </c>
      <c r="AE182" s="118"/>
      <c r="AF182" s="118"/>
      <c r="AG182" s="118"/>
      <c r="AH182" s="118"/>
      <c r="AI182" s="118">
        <v>6</v>
      </c>
      <c r="AJ182" s="118">
        <v>0.03</v>
      </c>
      <c r="AK182" s="118">
        <v>0.12</v>
      </c>
      <c r="AL182" s="118">
        <v>5</v>
      </c>
      <c r="AM182" s="118">
        <v>0.05</v>
      </c>
      <c r="AN182" s="118">
        <v>11</v>
      </c>
      <c r="AO182" s="118">
        <v>107</v>
      </c>
      <c r="AP182" s="118">
        <v>0.47</v>
      </c>
      <c r="AQ182" s="118">
        <v>0.04</v>
      </c>
      <c r="AR182" s="118">
        <v>0.14000000000000001</v>
      </c>
      <c r="AS182" s="118">
        <v>0.05</v>
      </c>
      <c r="AT182" s="118">
        <v>0.24</v>
      </c>
      <c r="AU182" s="118"/>
      <c r="AV182" s="124">
        <v>8.5100000000000002E-3</v>
      </c>
      <c r="AW182" s="124">
        <v>1.4320000000000001E-2</v>
      </c>
      <c r="AX182" s="124">
        <v>1.9399999999999997E-2</v>
      </c>
      <c r="AY182" s="124">
        <v>1.048E-2</v>
      </c>
      <c r="AZ182" s="124">
        <v>4.5500000000000002E-3</v>
      </c>
      <c r="BA182" s="124">
        <v>2.49E-3</v>
      </c>
      <c r="BB182" s="124">
        <v>1.282E-2</v>
      </c>
      <c r="BC182" s="124">
        <v>1.4369999999999999E-2</v>
      </c>
      <c r="BD182" s="124">
        <v>2.9100000000000003E-3</v>
      </c>
      <c r="BE182" s="124">
        <v>1.3460000000000001E-2</v>
      </c>
      <c r="BF182" s="124">
        <v>2.5899999999999999E-2</v>
      </c>
      <c r="BG182" s="124">
        <v>1.1220000000000001E-2</v>
      </c>
      <c r="BH182" s="124">
        <v>7.9189999999999997E-2</v>
      </c>
      <c r="BI182" s="124">
        <v>3.2850000000000004E-2</v>
      </c>
      <c r="BJ182" s="124">
        <v>1.5519999999999999E-2</v>
      </c>
      <c r="BK182" s="124">
        <v>1.308E-2</v>
      </c>
      <c r="BL182" s="124">
        <v>1.9390000000000001E-2</v>
      </c>
      <c r="BM182" s="124">
        <v>8.3499999999999998E-3</v>
      </c>
      <c r="BN182" s="118">
        <v>35.81</v>
      </c>
      <c r="BO182" s="118">
        <v>0.55000000000000004</v>
      </c>
      <c r="BP182" s="118">
        <v>10</v>
      </c>
      <c r="BQ182" s="118"/>
      <c r="BR182" s="118"/>
    </row>
    <row r="183" spans="1:70">
      <c r="A183" s="122">
        <v>32015</v>
      </c>
      <c r="B183" s="122" t="s">
        <v>795</v>
      </c>
      <c r="C183" s="122" t="s">
        <v>796</v>
      </c>
      <c r="D183" s="122" t="s">
        <v>797</v>
      </c>
      <c r="E183" s="122" t="s">
        <v>76</v>
      </c>
      <c r="F183" s="122" t="s">
        <v>1388</v>
      </c>
      <c r="G183" s="163" t="s">
        <v>1389</v>
      </c>
      <c r="H183" s="122">
        <v>14</v>
      </c>
      <c r="I183" s="122" t="s">
        <v>291</v>
      </c>
      <c r="J183" s="118">
        <v>85</v>
      </c>
      <c r="K183" s="118">
        <v>76.06</v>
      </c>
      <c r="L183" s="118">
        <v>1.82</v>
      </c>
      <c r="M183" s="118">
        <v>0.26</v>
      </c>
      <c r="N183" s="118">
        <v>16.559999999999999</v>
      </c>
      <c r="O183" s="118">
        <v>4.4000000000000004</v>
      </c>
      <c r="P183" s="118">
        <v>7.0000000000000007E-2</v>
      </c>
      <c r="Q183" s="118">
        <v>0.14000000000000001</v>
      </c>
      <c r="R183" s="118">
        <v>0.8</v>
      </c>
      <c r="S183" s="118">
        <v>0.19</v>
      </c>
      <c r="T183" s="118">
        <v>0.2</v>
      </c>
      <c r="U183" s="118">
        <v>14</v>
      </c>
      <c r="V183" s="118"/>
      <c r="W183" s="118">
        <v>37.950000000000003</v>
      </c>
      <c r="X183" s="118">
        <v>0.15</v>
      </c>
      <c r="Y183" s="118">
        <v>0.19</v>
      </c>
      <c r="Z183" s="118">
        <v>58</v>
      </c>
      <c r="AA183" s="118">
        <v>0</v>
      </c>
      <c r="AB183" s="118">
        <v>0.33</v>
      </c>
      <c r="AC183" s="118">
        <v>0</v>
      </c>
      <c r="AD183" s="118">
        <v>4</v>
      </c>
      <c r="AE183" s="118">
        <v>12.45</v>
      </c>
      <c r="AF183" s="118"/>
      <c r="AG183" s="118"/>
      <c r="AH183" s="118">
        <v>1.8</v>
      </c>
      <c r="AI183" s="118">
        <v>17.149999999999999</v>
      </c>
      <c r="AJ183" s="118">
        <v>0.09</v>
      </c>
      <c r="AK183" s="118">
        <v>1.02</v>
      </c>
      <c r="AL183" s="118">
        <v>25</v>
      </c>
      <c r="AM183" s="118">
        <v>0.15</v>
      </c>
      <c r="AN183" s="118">
        <v>47</v>
      </c>
      <c r="AO183" s="118">
        <v>366.1</v>
      </c>
      <c r="AP183" s="118"/>
      <c r="AQ183" s="118">
        <v>0.33</v>
      </c>
      <c r="AR183" s="118">
        <v>0.14000000000000001</v>
      </c>
      <c r="AS183" s="118">
        <v>0.04</v>
      </c>
      <c r="AT183" s="118">
        <v>0.13</v>
      </c>
      <c r="AU183" s="118"/>
      <c r="AV183" s="124">
        <v>8.5050000000000001E-2</v>
      </c>
      <c r="AW183" s="124">
        <v>3.6609999999999997E-2</v>
      </c>
      <c r="AX183" s="124">
        <v>7.9060000000000005E-2</v>
      </c>
      <c r="AY183" s="124">
        <v>6.9010000000000002E-2</v>
      </c>
      <c r="AZ183" s="124">
        <v>1.6039999999999999E-2</v>
      </c>
      <c r="BA183" s="124">
        <v>7.7800000000000005E-3</v>
      </c>
      <c r="BB183" s="124">
        <v>6.7390000000000005E-2</v>
      </c>
      <c r="BC183" s="124">
        <v>7.0790000000000006E-2</v>
      </c>
      <c r="BD183" s="124">
        <v>1.393E-2</v>
      </c>
      <c r="BE183" s="124">
        <v>7.8730000000000008E-2</v>
      </c>
      <c r="BF183" s="124">
        <v>0.1147</v>
      </c>
      <c r="BG183" s="124">
        <v>6.2689999999999996E-2</v>
      </c>
      <c r="BH183" s="124">
        <v>0.29677999999999999</v>
      </c>
      <c r="BI183" s="124">
        <v>0.28058</v>
      </c>
      <c r="BJ183" s="124">
        <v>7.8730000000000008E-2</v>
      </c>
      <c r="BK183" s="124">
        <v>7.8079999999999997E-2</v>
      </c>
      <c r="BL183" s="124">
        <v>8.294E-2</v>
      </c>
      <c r="BM183" s="124">
        <v>3.1910000000000001E-2</v>
      </c>
      <c r="BN183" s="118">
        <v>13.91</v>
      </c>
      <c r="BO183" s="118">
        <v>15.22</v>
      </c>
      <c r="BP183" s="118">
        <v>30</v>
      </c>
      <c r="BQ183" s="118"/>
      <c r="BR183" s="118"/>
    </row>
    <row r="184" spans="1:70">
      <c r="A184" s="122">
        <v>32016</v>
      </c>
      <c r="B184" s="122" t="s">
        <v>799</v>
      </c>
      <c r="C184" s="122" t="s">
        <v>800</v>
      </c>
      <c r="D184" s="122" t="s">
        <v>801</v>
      </c>
      <c r="E184" s="122" t="s">
        <v>76</v>
      </c>
      <c r="F184" s="122" t="s">
        <v>1390</v>
      </c>
      <c r="G184" s="163" t="s">
        <v>1391</v>
      </c>
      <c r="H184" s="122">
        <v>14</v>
      </c>
      <c r="I184" s="122" t="s">
        <v>291</v>
      </c>
      <c r="J184" s="118">
        <v>40</v>
      </c>
      <c r="K184" s="118">
        <v>89.5</v>
      </c>
      <c r="L184" s="118">
        <v>0.7</v>
      </c>
      <c r="M184" s="118">
        <v>0.3</v>
      </c>
      <c r="N184" s="118">
        <v>8</v>
      </c>
      <c r="O184" s="118">
        <v>1.2</v>
      </c>
      <c r="P184" s="118">
        <v>0.01</v>
      </c>
      <c r="Q184" s="118">
        <v>0.05</v>
      </c>
      <c r="R184" s="118">
        <v>0.4</v>
      </c>
      <c r="S184" s="118"/>
      <c r="T184" s="118"/>
      <c r="U184" s="118"/>
      <c r="V184" s="118"/>
      <c r="W184" s="118">
        <v>22.3</v>
      </c>
      <c r="X184" s="118">
        <v>0</v>
      </c>
      <c r="Y184" s="118">
        <v>0.04</v>
      </c>
      <c r="Z184" s="118">
        <v>7.94</v>
      </c>
      <c r="AA184" s="118">
        <v>0</v>
      </c>
      <c r="AB184" s="118"/>
      <c r="AC184" s="118"/>
      <c r="AD184" s="118"/>
      <c r="AE184" s="118"/>
      <c r="AF184" s="118"/>
      <c r="AG184" s="118"/>
      <c r="AH184" s="118"/>
      <c r="AI184" s="118">
        <v>9.0500000000000007</v>
      </c>
      <c r="AJ184" s="118">
        <v>0.02</v>
      </c>
      <c r="AK184" s="118">
        <v>0.32</v>
      </c>
      <c r="AL184" s="118">
        <v>4</v>
      </c>
      <c r="AM184" s="118">
        <v>0.04</v>
      </c>
      <c r="AN184" s="118">
        <v>30</v>
      </c>
      <c r="AO184" s="118">
        <v>104.2</v>
      </c>
      <c r="AP184" s="118"/>
      <c r="AQ184" s="118">
        <v>0.08</v>
      </c>
      <c r="AR184" s="118">
        <v>7.0000000000000007E-2</v>
      </c>
      <c r="AS184" s="118">
        <v>0.03</v>
      </c>
      <c r="AT184" s="118">
        <v>0.05</v>
      </c>
      <c r="AU184" s="118"/>
      <c r="AV184" s="124"/>
      <c r="AW184" s="124"/>
      <c r="AX184" s="124"/>
      <c r="AY184" s="124"/>
      <c r="AZ184" s="124"/>
      <c r="BA184" s="124"/>
      <c r="BB184" s="124"/>
      <c r="BC184" s="124"/>
      <c r="BD184" s="124"/>
      <c r="BE184" s="124"/>
      <c r="BF184" s="124"/>
      <c r="BG184" s="124"/>
      <c r="BH184" s="124"/>
      <c r="BI184" s="124"/>
      <c r="BJ184" s="124"/>
      <c r="BK184" s="124"/>
      <c r="BL184" s="124"/>
      <c r="BM184" s="124"/>
      <c r="BN184" s="118">
        <v>68.47</v>
      </c>
      <c r="BO184" s="118">
        <v>8.65</v>
      </c>
      <c r="BP184" s="118"/>
      <c r="BQ184" s="118"/>
      <c r="BR184" s="118"/>
    </row>
    <row r="185" spans="1:70">
      <c r="A185" s="122">
        <v>31004</v>
      </c>
      <c r="B185" s="122" t="s">
        <v>803</v>
      </c>
      <c r="C185" s="122" t="s">
        <v>804</v>
      </c>
      <c r="D185" s="122" t="s">
        <v>805</v>
      </c>
      <c r="E185" s="122" t="s">
        <v>76</v>
      </c>
      <c r="F185" s="122" t="s">
        <v>1392</v>
      </c>
      <c r="G185" s="163" t="s">
        <v>1393</v>
      </c>
      <c r="H185" s="122">
        <v>14</v>
      </c>
      <c r="I185" s="122" t="s">
        <v>291</v>
      </c>
      <c r="J185" s="118">
        <v>38</v>
      </c>
      <c r="K185" s="118">
        <v>89.92</v>
      </c>
      <c r="L185" s="118">
        <v>0.45</v>
      </c>
      <c r="M185" s="118">
        <v>0.34</v>
      </c>
      <c r="N185" s="118">
        <v>7.69</v>
      </c>
      <c r="O185" s="118">
        <v>1</v>
      </c>
      <c r="P185" s="118">
        <v>0.06</v>
      </c>
      <c r="Q185" s="118">
        <v>0.04</v>
      </c>
      <c r="R185" s="118">
        <v>0.2</v>
      </c>
      <c r="S185" s="118">
        <v>0.05</v>
      </c>
      <c r="T185" s="118">
        <v>0.04</v>
      </c>
      <c r="U185" s="118">
        <v>26</v>
      </c>
      <c r="V185" s="118">
        <v>0</v>
      </c>
      <c r="W185" s="118">
        <v>121.67</v>
      </c>
      <c r="X185" s="118">
        <v>0.76</v>
      </c>
      <c r="Y185" s="118">
        <v>0.24</v>
      </c>
      <c r="Z185" s="118">
        <v>4.88</v>
      </c>
      <c r="AA185" s="118">
        <v>0</v>
      </c>
      <c r="AB185" s="118">
        <v>3.3</v>
      </c>
      <c r="AC185" s="118">
        <v>21.88</v>
      </c>
      <c r="AD185" s="118">
        <v>28.62</v>
      </c>
      <c r="AE185" s="118">
        <v>22.5</v>
      </c>
      <c r="AF185" s="118"/>
      <c r="AG185" s="118">
        <v>10.43</v>
      </c>
      <c r="AH185" s="118">
        <v>5.9</v>
      </c>
      <c r="AI185" s="118">
        <v>35.58</v>
      </c>
      <c r="AJ185" s="118">
        <v>0.06</v>
      </c>
      <c r="AK185" s="118">
        <v>0.21</v>
      </c>
      <c r="AL185" s="118">
        <v>15</v>
      </c>
      <c r="AM185" s="118">
        <v>0.01</v>
      </c>
      <c r="AN185" s="118">
        <v>21</v>
      </c>
      <c r="AO185" s="118">
        <v>235.45</v>
      </c>
      <c r="AP185" s="118"/>
      <c r="AQ185" s="118">
        <v>0.06</v>
      </c>
      <c r="AR185" s="118">
        <v>0.12</v>
      </c>
      <c r="AS185" s="118">
        <v>0.04</v>
      </c>
      <c r="AT185" s="118">
        <v>0.19</v>
      </c>
      <c r="AU185" s="118"/>
      <c r="AV185" s="124">
        <v>1.1970000000000001E-2</v>
      </c>
      <c r="AW185" s="124">
        <v>1.9109999999999999E-2</v>
      </c>
      <c r="AX185" s="124">
        <v>3.1890000000000002E-2</v>
      </c>
      <c r="AY185" s="124">
        <v>2.5700000000000001E-2</v>
      </c>
      <c r="AZ185" s="124">
        <v>5.9199999999999999E-3</v>
      </c>
      <c r="BA185" s="124">
        <v>0.55079999999999996</v>
      </c>
      <c r="BB185" s="124">
        <v>1.6660000000000001E-2</v>
      </c>
      <c r="BC185" s="124">
        <v>2.1690000000000001E-2</v>
      </c>
      <c r="BD185" s="124">
        <v>3.2599999999999999E-3</v>
      </c>
      <c r="BE185" s="124">
        <v>2.8760000000000001E-2</v>
      </c>
      <c r="BF185" s="124">
        <v>5.1819999999999998E-2</v>
      </c>
      <c r="BG185" s="124">
        <v>3.5290000000000002E-2</v>
      </c>
      <c r="BH185" s="124">
        <v>0.18836000000000003</v>
      </c>
      <c r="BI185" s="124">
        <v>8.3979999999999999E-2</v>
      </c>
      <c r="BJ185" s="124">
        <v>1.8630000000000001E-2</v>
      </c>
      <c r="BK185" s="124">
        <v>6.3990000000000005E-2</v>
      </c>
      <c r="BL185" s="124">
        <v>3.2500000000000001E-2</v>
      </c>
      <c r="BM185" s="124">
        <v>1.244E-2</v>
      </c>
      <c r="BN185" s="118">
        <v>25.35</v>
      </c>
      <c r="BO185" s="118">
        <v>20.36</v>
      </c>
      <c r="BP185" s="118"/>
      <c r="BQ185" s="118"/>
      <c r="BR185" s="118"/>
    </row>
    <row r="186" spans="1:70">
      <c r="A186" s="122">
        <v>31014</v>
      </c>
      <c r="B186" s="122" t="s">
        <v>807</v>
      </c>
      <c r="C186" s="122" t="s">
        <v>808</v>
      </c>
      <c r="D186" s="122" t="s">
        <v>289</v>
      </c>
      <c r="E186" s="122" t="s">
        <v>76</v>
      </c>
      <c r="F186" s="122" t="s">
        <v>1394</v>
      </c>
      <c r="G186" s="163" t="s">
        <v>1395</v>
      </c>
      <c r="H186" s="122">
        <v>14</v>
      </c>
      <c r="I186" s="122" t="s">
        <v>291</v>
      </c>
      <c r="J186" s="118">
        <v>30</v>
      </c>
      <c r="K186" s="118">
        <v>90.62</v>
      </c>
      <c r="L186" s="118">
        <v>0.78</v>
      </c>
      <c r="M186" s="118">
        <v>0.08</v>
      </c>
      <c r="N186" s="118">
        <v>5.71</v>
      </c>
      <c r="O186" s="118">
        <v>1.5</v>
      </c>
      <c r="P186" s="118">
        <v>0.03</v>
      </c>
      <c r="Q186" s="118">
        <v>0.02</v>
      </c>
      <c r="R186" s="118">
        <v>0.2</v>
      </c>
      <c r="S186" s="118">
        <v>0.24</v>
      </c>
      <c r="T186" s="118">
        <v>0.03</v>
      </c>
      <c r="U186" s="118">
        <v>29.79</v>
      </c>
      <c r="V186" s="118">
        <v>0</v>
      </c>
      <c r="W186" s="118">
        <v>18.57</v>
      </c>
      <c r="X186" s="118">
        <v>7.81</v>
      </c>
      <c r="Y186" s="118">
        <v>7.0000000000000007E-2</v>
      </c>
      <c r="Z186" s="118">
        <v>19.7</v>
      </c>
      <c r="AA186" s="118">
        <v>0</v>
      </c>
      <c r="AB186" s="118">
        <v>0.57999999999999996</v>
      </c>
      <c r="AC186" s="118"/>
      <c r="AD186" s="118">
        <v>7</v>
      </c>
      <c r="AE186" s="118">
        <v>266</v>
      </c>
      <c r="AF186" s="118"/>
      <c r="AG186" s="118"/>
      <c r="AH186" s="118">
        <v>7.88</v>
      </c>
      <c r="AI186" s="118">
        <v>14.59</v>
      </c>
      <c r="AJ186" s="118">
        <v>0.02</v>
      </c>
      <c r="AK186" s="118">
        <v>0.6</v>
      </c>
      <c r="AL186" s="118">
        <v>56</v>
      </c>
      <c r="AM186" s="118">
        <v>0.37</v>
      </c>
      <c r="AN186" s="118">
        <v>15.37</v>
      </c>
      <c r="AO186" s="118">
        <v>129.07</v>
      </c>
      <c r="AP186" s="118"/>
      <c r="AQ186" s="118">
        <v>0.22</v>
      </c>
      <c r="AR186" s="118">
        <v>7.0000000000000007E-2</v>
      </c>
      <c r="AS186" s="118">
        <v>0.04</v>
      </c>
      <c r="AT186" s="118">
        <v>0.08</v>
      </c>
      <c r="AU186" s="118"/>
      <c r="AV186" s="124">
        <v>4.8499999999999993E-3</v>
      </c>
      <c r="AW186" s="124">
        <v>7.8499999999999993E-3</v>
      </c>
      <c r="AX186" s="124">
        <v>1.61E-2</v>
      </c>
      <c r="AY186" s="124">
        <v>1.9100000000000002E-2</v>
      </c>
      <c r="AZ186" s="124">
        <v>3.15E-3</v>
      </c>
      <c r="BA186" s="124">
        <v>1.8850000000000002E-2</v>
      </c>
      <c r="BB186" s="124">
        <v>1.9550000000000001E-2</v>
      </c>
      <c r="BC186" s="124">
        <v>1.4250000000000001E-2</v>
      </c>
      <c r="BD186" s="124">
        <v>5.0000000000000001E-3</v>
      </c>
      <c r="BE186" s="124">
        <v>1.5800000000000002E-2</v>
      </c>
      <c r="BF186" s="124">
        <v>2.5350000000000001E-2</v>
      </c>
      <c r="BG186" s="124">
        <v>1.54E-2</v>
      </c>
      <c r="BH186" s="124">
        <v>5.9499999999999997E-2</v>
      </c>
      <c r="BI186" s="124">
        <v>7.1349999999999997E-2</v>
      </c>
      <c r="BJ186" s="124">
        <v>2.4649999999999998E-2</v>
      </c>
      <c r="BK186" s="124">
        <v>1.495E-2</v>
      </c>
      <c r="BL186" s="124">
        <v>1.78E-2</v>
      </c>
      <c r="BM186" s="124">
        <v>2.1899999999999999E-2</v>
      </c>
      <c r="BN186" s="118">
        <v>11.21</v>
      </c>
      <c r="BO186" s="118">
        <v>22.08</v>
      </c>
      <c r="BP186" s="118"/>
      <c r="BQ186" s="118"/>
      <c r="BR186" s="118"/>
    </row>
    <row r="187" spans="1:70">
      <c r="A187" s="122">
        <v>31005</v>
      </c>
      <c r="B187" s="122" t="s">
        <v>809</v>
      </c>
      <c r="C187" s="122" t="s">
        <v>810</v>
      </c>
      <c r="D187" s="122" t="s">
        <v>289</v>
      </c>
      <c r="E187" s="122" t="s">
        <v>76</v>
      </c>
      <c r="F187" s="122" t="s">
        <v>1396</v>
      </c>
      <c r="G187" s="163" t="s">
        <v>1397</v>
      </c>
      <c r="H187" s="122">
        <v>12</v>
      </c>
      <c r="I187" s="122" t="s">
        <v>713</v>
      </c>
      <c r="J187" s="118">
        <v>33</v>
      </c>
      <c r="K187" s="118">
        <v>90.47</v>
      </c>
      <c r="L187" s="118">
        <v>0.61</v>
      </c>
      <c r="M187" s="118">
        <v>0.15</v>
      </c>
      <c r="N187" s="118">
        <v>6.46</v>
      </c>
      <c r="O187" s="118">
        <v>1.7</v>
      </c>
      <c r="P187" s="118">
        <v>0.08</v>
      </c>
      <c r="Q187" s="118">
        <v>0.03</v>
      </c>
      <c r="R187" s="118">
        <v>0.34</v>
      </c>
      <c r="S187" s="118">
        <v>0.44</v>
      </c>
      <c r="T187" s="118">
        <v>0.02</v>
      </c>
      <c r="U187" s="118">
        <v>58</v>
      </c>
      <c r="V187" s="118">
        <v>0</v>
      </c>
      <c r="W187" s="118">
        <v>61.8</v>
      </c>
      <c r="X187" s="118">
        <v>12.81</v>
      </c>
      <c r="Y187" s="118">
        <v>0.3</v>
      </c>
      <c r="Z187" s="118">
        <v>2.59</v>
      </c>
      <c r="AA187" s="118">
        <v>0</v>
      </c>
      <c r="AB187" s="118">
        <v>60.11</v>
      </c>
      <c r="AC187" s="118">
        <v>2</v>
      </c>
      <c r="AD187" s="118">
        <v>425.77</v>
      </c>
      <c r="AE187" s="118">
        <v>5.43</v>
      </c>
      <c r="AF187" s="118">
        <v>833</v>
      </c>
      <c r="AG187" s="118">
        <v>648</v>
      </c>
      <c r="AH187" s="118">
        <v>280</v>
      </c>
      <c r="AI187" s="118">
        <v>28.68</v>
      </c>
      <c r="AJ187" s="118">
        <v>0.03</v>
      </c>
      <c r="AK187" s="118">
        <v>0.35</v>
      </c>
      <c r="AL187" s="118">
        <v>10.31</v>
      </c>
      <c r="AM187" s="118">
        <v>0.03</v>
      </c>
      <c r="AN187" s="118">
        <v>11.02</v>
      </c>
      <c r="AO187" s="118">
        <v>182.14</v>
      </c>
      <c r="AP187" s="118">
        <v>12.78</v>
      </c>
      <c r="AQ187" s="118">
        <v>0.17</v>
      </c>
      <c r="AR187" s="118">
        <v>0.06</v>
      </c>
      <c r="AS187" s="118">
        <v>0.03</v>
      </c>
      <c r="AT187" s="118">
        <v>0.05</v>
      </c>
      <c r="AU187" s="118"/>
      <c r="AV187" s="124">
        <v>3.65E-3</v>
      </c>
      <c r="AW187" s="124">
        <v>9.5299999999999985E-3</v>
      </c>
      <c r="AX187" s="124">
        <v>1.8609999999999998E-2</v>
      </c>
      <c r="AY187" s="124">
        <v>2.0619999999999999E-2</v>
      </c>
      <c r="AZ187" s="124">
        <v>2.8599999999999997E-3</v>
      </c>
      <c r="BA187" s="124">
        <v>3.0699999999999998E-3</v>
      </c>
      <c r="BB187" s="124">
        <v>8.1099999999999992E-3</v>
      </c>
      <c r="BC187" s="124">
        <v>1.3730000000000001E-2</v>
      </c>
      <c r="BD187" s="124">
        <v>6.9699999999999996E-3</v>
      </c>
      <c r="BE187" s="124">
        <v>1.651E-2</v>
      </c>
      <c r="BF187" s="124">
        <v>1.7770000000000001E-2</v>
      </c>
      <c r="BG187" s="124">
        <v>1.0880000000000001E-2</v>
      </c>
      <c r="BH187" s="124">
        <v>6.4760000000000012E-2</v>
      </c>
      <c r="BI187" s="124">
        <v>5.7329999999999999E-2</v>
      </c>
      <c r="BJ187" s="124">
        <v>2.222E-2</v>
      </c>
      <c r="BK187" s="124">
        <v>1.9109999999999999E-2</v>
      </c>
      <c r="BL187" s="124">
        <v>1.9739999999999997E-2</v>
      </c>
      <c r="BM187" s="124">
        <v>1.1970000000000001E-2</v>
      </c>
      <c r="BN187" s="118">
        <v>17.88</v>
      </c>
      <c r="BO187" s="118">
        <v>23</v>
      </c>
      <c r="BP187" s="118">
        <v>1</v>
      </c>
      <c r="BQ187" s="118"/>
      <c r="BR187" s="118"/>
    </row>
    <row r="188" spans="1:70">
      <c r="A188" s="122">
        <v>31006</v>
      </c>
      <c r="B188" s="122" t="s">
        <v>812</v>
      </c>
      <c r="C188" s="122" t="s">
        <v>813</v>
      </c>
      <c r="D188" s="122" t="s">
        <v>814</v>
      </c>
      <c r="E188" s="122" t="s">
        <v>76</v>
      </c>
      <c r="F188" s="122" t="s">
        <v>1398</v>
      </c>
      <c r="G188" s="163" t="s">
        <v>1399</v>
      </c>
      <c r="H188" s="122">
        <v>14</v>
      </c>
      <c r="I188" s="122" t="s">
        <v>291</v>
      </c>
      <c r="J188" s="118">
        <v>63</v>
      </c>
      <c r="K188" s="118">
        <v>81.430000000000007</v>
      </c>
      <c r="L188" s="118">
        <v>1.01</v>
      </c>
      <c r="M188" s="118">
        <v>0.5</v>
      </c>
      <c r="N188" s="118">
        <v>10.93</v>
      </c>
      <c r="O188" s="118">
        <v>5.4</v>
      </c>
      <c r="P188" s="118">
        <v>0.21</v>
      </c>
      <c r="Q188" s="118">
        <v>0.09</v>
      </c>
      <c r="R188" s="118">
        <v>1.08</v>
      </c>
      <c r="S188" s="118">
        <v>0.24</v>
      </c>
      <c r="T188" s="118">
        <v>0.11</v>
      </c>
      <c r="U188" s="118">
        <v>49</v>
      </c>
      <c r="V188" s="118">
        <v>0</v>
      </c>
      <c r="W188" s="118">
        <v>228.3</v>
      </c>
      <c r="X188" s="118">
        <v>1.3</v>
      </c>
      <c r="Y188" s="118">
        <v>0.73</v>
      </c>
      <c r="Z188" s="118">
        <v>3.68</v>
      </c>
      <c r="AA188" s="118">
        <v>0</v>
      </c>
      <c r="AB188" s="118">
        <v>32.5</v>
      </c>
      <c r="AC188" s="118">
        <v>0</v>
      </c>
      <c r="AD188" s="118">
        <v>340</v>
      </c>
      <c r="AE188" s="118">
        <v>55</v>
      </c>
      <c r="AF188" s="118"/>
      <c r="AG188" s="118"/>
      <c r="AH188" s="118">
        <v>7.43</v>
      </c>
      <c r="AI188" s="118">
        <v>17.48</v>
      </c>
      <c r="AJ188" s="118">
        <v>0.15</v>
      </c>
      <c r="AK188" s="118">
        <v>0.66</v>
      </c>
      <c r="AL188" s="118">
        <v>25.1</v>
      </c>
      <c r="AM188" s="118">
        <v>0.22</v>
      </c>
      <c r="AN188" s="118">
        <v>17.62</v>
      </c>
      <c r="AO188" s="118">
        <v>261.3</v>
      </c>
      <c r="AP188" s="118">
        <v>1.84</v>
      </c>
      <c r="AQ188" s="118">
        <v>0.31</v>
      </c>
      <c r="AR188" s="118">
        <v>0.04</v>
      </c>
      <c r="AS188" s="118">
        <v>0.02</v>
      </c>
      <c r="AT188" s="118">
        <v>0.13</v>
      </c>
      <c r="AU188" s="118"/>
      <c r="AV188" s="124">
        <v>2.5510000000000001E-2</v>
      </c>
      <c r="AW188" s="124">
        <v>5.2729999999999999E-2</v>
      </c>
      <c r="AX188" s="124">
        <v>8.4030000000000007E-2</v>
      </c>
      <c r="AY188" s="124">
        <v>3.4909999999999997E-2</v>
      </c>
      <c r="AZ188" s="124">
        <v>1.2160000000000001E-2</v>
      </c>
      <c r="BA188" s="124">
        <v>1.308E-2</v>
      </c>
      <c r="BB188" s="124">
        <v>1.9E-2</v>
      </c>
      <c r="BC188" s="124">
        <v>4.5499999999999999E-2</v>
      </c>
      <c r="BD188" s="124">
        <v>1.052E-2</v>
      </c>
      <c r="BE188" s="124">
        <v>4.3590000000000004E-2</v>
      </c>
      <c r="BF188" s="124">
        <v>8.4030000000000007E-2</v>
      </c>
      <c r="BG188" s="124">
        <v>4.267E-2</v>
      </c>
      <c r="BH188" s="124">
        <v>0.25569999999999998</v>
      </c>
      <c r="BI188" s="124">
        <v>0.20573</v>
      </c>
      <c r="BJ188" s="124">
        <v>8.6129999999999998E-2</v>
      </c>
      <c r="BK188" s="124">
        <v>7.3840000000000003E-2</v>
      </c>
      <c r="BL188" s="124">
        <v>5.253E-2</v>
      </c>
      <c r="BM188" s="124">
        <v>3.4779999999999998E-2</v>
      </c>
      <c r="BN188" s="118">
        <v>96.93</v>
      </c>
      <c r="BO188" s="118">
        <v>50.63</v>
      </c>
      <c r="BP188" s="118">
        <v>14</v>
      </c>
      <c r="BQ188" s="118"/>
      <c r="BR188" s="118"/>
    </row>
    <row r="189" spans="1:70">
      <c r="A189" s="122">
        <v>32017</v>
      </c>
      <c r="B189" s="122" t="s">
        <v>816</v>
      </c>
      <c r="C189" s="122" t="s">
        <v>817</v>
      </c>
      <c r="D189" s="122" t="s">
        <v>818</v>
      </c>
      <c r="E189" s="122" t="s">
        <v>76</v>
      </c>
      <c r="F189" s="122" t="s">
        <v>1400</v>
      </c>
      <c r="G189" s="163" t="s">
        <v>1401</v>
      </c>
      <c r="H189" s="122">
        <v>19</v>
      </c>
      <c r="I189" s="122" t="s">
        <v>138</v>
      </c>
      <c r="J189" s="118">
        <v>33</v>
      </c>
      <c r="K189" s="118">
        <v>91.7</v>
      </c>
      <c r="L189" s="118">
        <v>0.7</v>
      </c>
      <c r="M189" s="118">
        <v>0</v>
      </c>
      <c r="N189" s="118">
        <v>7.5</v>
      </c>
      <c r="O189" s="118">
        <v>0</v>
      </c>
      <c r="P189" s="118">
        <v>0.04</v>
      </c>
      <c r="Q189" s="118">
        <v>0.04</v>
      </c>
      <c r="R189" s="118">
        <v>0.14000000000000001</v>
      </c>
      <c r="S189" s="118">
        <v>0.23</v>
      </c>
      <c r="T189" s="118">
        <v>0.4</v>
      </c>
      <c r="U189" s="118">
        <v>44.53</v>
      </c>
      <c r="V189" s="118"/>
      <c r="W189" s="118">
        <v>6.73</v>
      </c>
      <c r="X189" s="118">
        <v>0.41</v>
      </c>
      <c r="Y189" s="118">
        <v>0.02</v>
      </c>
      <c r="Z189" s="118"/>
      <c r="AA189" s="118">
        <v>0</v>
      </c>
      <c r="AB189" s="118">
        <v>0</v>
      </c>
      <c r="AC189" s="118">
        <v>0</v>
      </c>
      <c r="AD189" s="118">
        <v>7.87</v>
      </c>
      <c r="AE189" s="118">
        <v>8.36</v>
      </c>
      <c r="AF189" s="118"/>
      <c r="AG189" s="118"/>
      <c r="AH189" s="118"/>
      <c r="AI189" s="118">
        <v>8</v>
      </c>
      <c r="AJ189" s="118">
        <v>0.06</v>
      </c>
      <c r="AK189" s="118">
        <v>1.1000000000000001</v>
      </c>
      <c r="AL189" s="118">
        <v>10.31</v>
      </c>
      <c r="AM189" s="118">
        <v>0.72</v>
      </c>
      <c r="AN189" s="118">
        <v>6.19</v>
      </c>
      <c r="AO189" s="118">
        <v>24.92</v>
      </c>
      <c r="AP189" s="118"/>
      <c r="AQ189" s="118">
        <v>0.01</v>
      </c>
      <c r="AR189" s="118">
        <v>0.14000000000000001</v>
      </c>
      <c r="AS189" s="118">
        <v>0.03</v>
      </c>
      <c r="AT189" s="118">
        <v>0.17</v>
      </c>
      <c r="AU189" s="118"/>
      <c r="AV189" s="124">
        <v>2.8599999999999997E-3</v>
      </c>
      <c r="AW189" s="124">
        <v>6.0999999999999995E-3</v>
      </c>
      <c r="AX189" s="124">
        <v>5.6799999999999993E-3</v>
      </c>
      <c r="AY189" s="124">
        <v>4.0499999999999998E-3</v>
      </c>
      <c r="AZ189" s="124">
        <v>6.4000000000000005E-4</v>
      </c>
      <c r="BA189" s="124">
        <v>8.3000000000000001E-4</v>
      </c>
      <c r="BB189" s="124">
        <v>8.1799999999999998E-3</v>
      </c>
      <c r="BC189" s="124">
        <v>4.8300000000000001E-3</v>
      </c>
      <c r="BD189" s="124">
        <v>1.1999999999999999E-3</v>
      </c>
      <c r="BE189" s="124">
        <v>6.7000000000000002E-3</v>
      </c>
      <c r="BF189" s="124">
        <v>8.3499999999999998E-3</v>
      </c>
      <c r="BG189" s="124">
        <v>5.4900000000000001E-3</v>
      </c>
      <c r="BH189" s="124">
        <v>4.8780000000000004E-2</v>
      </c>
      <c r="BI189" s="124">
        <v>1.856E-2</v>
      </c>
      <c r="BJ189" s="124">
        <v>4.3200000000000001E-3</v>
      </c>
      <c r="BK189" s="124">
        <v>3.9399999999999999E-3</v>
      </c>
      <c r="BL189" s="124">
        <v>5.6799999999999993E-3</v>
      </c>
      <c r="BM189" s="124">
        <v>3.7599999999999999E-3</v>
      </c>
      <c r="BN189" s="118">
        <v>127</v>
      </c>
      <c r="BO189" s="118"/>
      <c r="BP189" s="118"/>
      <c r="BQ189" s="118"/>
      <c r="BR189" s="118"/>
    </row>
    <row r="190" spans="1:70">
      <c r="A190" s="122">
        <v>32018</v>
      </c>
      <c r="B190" s="122" t="s">
        <v>820</v>
      </c>
      <c r="C190" s="122" t="s">
        <v>821</v>
      </c>
      <c r="D190" s="122" t="s">
        <v>822</v>
      </c>
      <c r="E190" s="122" t="s">
        <v>76</v>
      </c>
      <c r="F190" s="122" t="s">
        <v>1402</v>
      </c>
      <c r="G190" s="163" t="s">
        <v>823</v>
      </c>
      <c r="H190" s="122">
        <v>14</v>
      </c>
      <c r="I190" s="122" t="s">
        <v>291</v>
      </c>
      <c r="J190" s="118">
        <v>39</v>
      </c>
      <c r="K190" s="118">
        <v>88.23</v>
      </c>
      <c r="L190" s="118">
        <v>0.87</v>
      </c>
      <c r="M190" s="118">
        <v>0.48</v>
      </c>
      <c r="N190" s="118">
        <v>6.12</v>
      </c>
      <c r="O190" s="118">
        <v>3.5</v>
      </c>
      <c r="P190" s="118">
        <v>0.09</v>
      </c>
      <c r="Q190" s="118">
        <v>0.02</v>
      </c>
      <c r="R190" s="118">
        <v>0.2</v>
      </c>
      <c r="S190" s="118">
        <v>0.31</v>
      </c>
      <c r="T190" s="118">
        <v>0.04</v>
      </c>
      <c r="U190" s="118"/>
      <c r="V190" s="118">
        <v>0</v>
      </c>
      <c r="W190" s="118">
        <v>74.12</v>
      </c>
      <c r="X190" s="118">
        <v>0.82</v>
      </c>
      <c r="Y190" s="118">
        <v>0.04</v>
      </c>
      <c r="Z190" s="118"/>
      <c r="AA190" s="118">
        <v>0</v>
      </c>
      <c r="AB190" s="118">
        <v>92.7</v>
      </c>
      <c r="AC190" s="118"/>
      <c r="AD190" s="118">
        <v>1110</v>
      </c>
      <c r="AE190" s="118">
        <v>18.489999999999998</v>
      </c>
      <c r="AF190" s="118"/>
      <c r="AG190" s="118"/>
      <c r="AH190" s="118">
        <v>5.68</v>
      </c>
      <c r="AI190" s="118">
        <v>22.76</v>
      </c>
      <c r="AJ190" s="118">
        <v>7.0000000000000007E-2</v>
      </c>
      <c r="AK190" s="118">
        <v>0.84</v>
      </c>
      <c r="AL190" s="118">
        <v>36.659999999999997</v>
      </c>
      <c r="AM190" s="118"/>
      <c r="AN190" s="118">
        <v>15.82</v>
      </c>
      <c r="AO190" s="118">
        <v>172.33</v>
      </c>
      <c r="AP190" s="118"/>
      <c r="AQ190" s="118">
        <v>0.21</v>
      </c>
      <c r="AR190" s="118">
        <v>7.0000000000000007E-2</v>
      </c>
      <c r="AS190" s="118">
        <v>0.03</v>
      </c>
      <c r="AT190" s="118">
        <v>0.05</v>
      </c>
      <c r="AU190" s="118"/>
      <c r="AV190" s="124">
        <v>1.9519999999999999E-2</v>
      </c>
      <c r="AW190" s="124">
        <v>4.2720000000000001E-2</v>
      </c>
      <c r="AX190" s="124">
        <v>6.9860000000000005E-2</v>
      </c>
      <c r="AY190" s="124">
        <v>1.6320000000000001E-2</v>
      </c>
      <c r="AZ190" s="124">
        <v>1.5169999999999999E-2</v>
      </c>
      <c r="BA190" s="124">
        <v>7.6299999999999996E-3</v>
      </c>
      <c r="BB190" s="124">
        <v>4.6170000000000003E-2</v>
      </c>
      <c r="BC190" s="124">
        <v>4.3619999999999999E-2</v>
      </c>
      <c r="BD190" s="124">
        <v>6.8099999999999992E-3</v>
      </c>
      <c r="BE190" s="124">
        <v>5.7320000000000003E-2</v>
      </c>
      <c r="BF190" s="124">
        <v>5.7729999999999997E-2</v>
      </c>
      <c r="BG190" s="124">
        <v>1.2630000000000001E-2</v>
      </c>
      <c r="BH190" s="124">
        <v>9.8319999999999991E-2</v>
      </c>
      <c r="BI190" s="124">
        <v>0.12479999999999999</v>
      </c>
      <c r="BJ190" s="124">
        <v>5.4039999999999998E-2</v>
      </c>
      <c r="BK190" s="124">
        <v>4.9939999999999998E-2</v>
      </c>
      <c r="BL190" s="124">
        <v>4.5429999999999998E-2</v>
      </c>
      <c r="BM190" s="124">
        <v>2.649E-2</v>
      </c>
      <c r="BN190" s="118"/>
      <c r="BO190" s="118">
        <v>8</v>
      </c>
      <c r="BP190" s="118">
        <v>89</v>
      </c>
      <c r="BQ190" s="118"/>
      <c r="BR190" s="118"/>
    </row>
    <row r="191" spans="1:70">
      <c r="A191" s="122">
        <v>32019</v>
      </c>
      <c r="B191" s="122" t="s">
        <v>824</v>
      </c>
      <c r="C191" s="122" t="s">
        <v>825</v>
      </c>
      <c r="D191" s="122" t="s">
        <v>826</v>
      </c>
      <c r="E191" s="122" t="s">
        <v>103</v>
      </c>
      <c r="F191" s="122">
        <v>168202</v>
      </c>
      <c r="G191" s="163" t="s">
        <v>1403</v>
      </c>
      <c r="H191" s="122">
        <v>14</v>
      </c>
      <c r="I191" s="122" t="s">
        <v>291</v>
      </c>
      <c r="J191" s="118">
        <v>57</v>
      </c>
      <c r="K191" s="118">
        <v>85.8</v>
      </c>
      <c r="L191" s="118">
        <v>0.28000000000000003</v>
      </c>
      <c r="M191" s="118">
        <v>0.15</v>
      </c>
      <c r="N191" s="118">
        <v>13.6</v>
      </c>
      <c r="O191" s="118">
        <v>2.4</v>
      </c>
      <c r="P191" s="118">
        <v>1.7999999999999999E-2</v>
      </c>
      <c r="Q191" s="118">
        <v>2.5999999999999999E-2</v>
      </c>
      <c r="R191" s="118">
        <v>9.4E-2</v>
      </c>
      <c r="S191" s="118">
        <v>7.3999999999999996E-2</v>
      </c>
      <c r="T191" s="118">
        <v>5.0999999999999997E-2</v>
      </c>
      <c r="U191" s="118">
        <v>3</v>
      </c>
      <c r="V191" s="118"/>
      <c r="W191" s="118"/>
      <c r="X191" s="118"/>
      <c r="Y191" s="118">
        <v>0.18</v>
      </c>
      <c r="Z191" s="118">
        <v>1.8</v>
      </c>
      <c r="AA191" s="118"/>
      <c r="AB191" s="118">
        <v>3</v>
      </c>
      <c r="AC191" s="118">
        <v>0</v>
      </c>
      <c r="AD191" s="118">
        <v>25</v>
      </c>
      <c r="AE191" s="118">
        <v>28</v>
      </c>
      <c r="AF191" s="118">
        <v>0</v>
      </c>
      <c r="AG191" s="118">
        <v>12</v>
      </c>
      <c r="AH191" s="118"/>
      <c r="AI191" s="118">
        <v>6</v>
      </c>
      <c r="AJ191" s="118">
        <v>0.03</v>
      </c>
      <c r="AK191" s="118">
        <v>0.13</v>
      </c>
      <c r="AL191" s="118">
        <v>5</v>
      </c>
      <c r="AM191" s="118">
        <v>3.5000000000000003E-2</v>
      </c>
      <c r="AN191" s="118">
        <v>10</v>
      </c>
      <c r="AO191" s="118">
        <v>100</v>
      </c>
      <c r="AP191" s="118">
        <v>0</v>
      </c>
      <c r="AQ191" s="118">
        <v>0.04</v>
      </c>
      <c r="AR191" s="118"/>
      <c r="AS191" s="118"/>
      <c r="AT191" s="118"/>
      <c r="AU191" s="118"/>
      <c r="AV191" s="118">
        <v>5.0000000000000001E-3</v>
      </c>
      <c r="AW191" s="118">
        <v>6.0000000000000001E-3</v>
      </c>
      <c r="AX191" s="118">
        <v>1.4E-2</v>
      </c>
      <c r="AY191" s="118">
        <v>1.2999999999999999E-2</v>
      </c>
      <c r="AZ191" s="118">
        <v>1E-3</v>
      </c>
      <c r="BA191" s="118">
        <v>1E-3</v>
      </c>
      <c r="BB191" s="118">
        <v>7.0000000000000001E-3</v>
      </c>
      <c r="BC191" s="118">
        <v>6.0000000000000001E-3</v>
      </c>
      <c r="BD191" s="118">
        <v>1E-3</v>
      </c>
      <c r="BE191" s="118">
        <v>1.2999999999999999E-2</v>
      </c>
      <c r="BF191" s="118">
        <v>1.2E-2</v>
      </c>
      <c r="BG191" s="118">
        <v>6.0000000000000001E-3</v>
      </c>
      <c r="BH191" s="118">
        <v>7.4999999999999997E-2</v>
      </c>
      <c r="BI191" s="118">
        <v>2.5999999999999999E-2</v>
      </c>
      <c r="BJ191" s="118">
        <v>8.9999999999999993E-3</v>
      </c>
      <c r="BK191" s="118">
        <v>6.0000000000000001E-3</v>
      </c>
      <c r="BL191" s="118">
        <v>1.0999999999999999E-2</v>
      </c>
      <c r="BM191" s="118">
        <v>1E-3</v>
      </c>
      <c r="BN191" s="118"/>
      <c r="BO191" s="118"/>
      <c r="BP191" s="118"/>
      <c r="BQ191" s="118"/>
      <c r="BR191" s="118"/>
    </row>
    <row r="192" spans="1:70">
      <c r="A192" s="122">
        <v>32020</v>
      </c>
      <c r="B192" s="122" t="s">
        <v>827</v>
      </c>
      <c r="C192" s="122" t="s">
        <v>828</v>
      </c>
      <c r="D192" s="122" t="s">
        <v>829</v>
      </c>
      <c r="E192" s="122" t="s">
        <v>76</v>
      </c>
      <c r="F192" s="122" t="s">
        <v>1404</v>
      </c>
      <c r="G192" s="163" t="s">
        <v>1405</v>
      </c>
      <c r="H192" s="122">
        <v>14</v>
      </c>
      <c r="I192" s="122" t="s">
        <v>291</v>
      </c>
      <c r="J192" s="118">
        <v>78</v>
      </c>
      <c r="K192" s="118">
        <v>79.69</v>
      </c>
      <c r="L192" s="118">
        <v>0.55000000000000004</v>
      </c>
      <c r="M192" s="118">
        <v>0.39</v>
      </c>
      <c r="N192" s="118">
        <v>17.82</v>
      </c>
      <c r="O192" s="118">
        <v>0.7</v>
      </c>
      <c r="P192" s="118">
        <v>0.04</v>
      </c>
      <c r="Q192" s="118">
        <v>0.02</v>
      </c>
      <c r="R192" s="118">
        <v>0.32</v>
      </c>
      <c r="S192" s="118">
        <v>0.13</v>
      </c>
      <c r="T192" s="118"/>
      <c r="U192" s="118"/>
      <c r="V192" s="118">
        <v>0</v>
      </c>
      <c r="W192" s="118">
        <v>35.130000000000003</v>
      </c>
      <c r="X192" s="118">
        <v>0</v>
      </c>
      <c r="Y192" s="118">
        <v>0.02</v>
      </c>
      <c r="Z192" s="118">
        <v>3.6</v>
      </c>
      <c r="AA192" s="118">
        <v>0</v>
      </c>
      <c r="AB192" s="118">
        <v>208.33</v>
      </c>
      <c r="AC192" s="118"/>
      <c r="AD192" s="118">
        <v>2500</v>
      </c>
      <c r="AE192" s="118">
        <v>5.8</v>
      </c>
      <c r="AF192" s="118"/>
      <c r="AG192" s="118"/>
      <c r="AH192" s="118">
        <v>1.5</v>
      </c>
      <c r="AI192" s="118">
        <v>15.75</v>
      </c>
      <c r="AJ192" s="118">
        <v>0.13</v>
      </c>
      <c r="AK192" s="118">
        <v>1.67</v>
      </c>
      <c r="AL192" s="118">
        <v>14.46</v>
      </c>
      <c r="AM192" s="118"/>
      <c r="AN192" s="118">
        <v>58</v>
      </c>
      <c r="AO192" s="118">
        <v>238.97</v>
      </c>
      <c r="AP192" s="118"/>
      <c r="AQ192" s="118">
        <v>0.27</v>
      </c>
      <c r="AR192" s="118">
        <v>0.03</v>
      </c>
      <c r="AS192" s="118">
        <v>0.04</v>
      </c>
      <c r="AT192" s="118">
        <v>0.08</v>
      </c>
      <c r="AU192" s="118"/>
      <c r="AV192" s="124">
        <v>1.5699999999999999E-2</v>
      </c>
      <c r="AW192" s="124">
        <v>2.0799999999999999E-2</v>
      </c>
      <c r="AX192" s="124">
        <v>1.8699999999999998E-2</v>
      </c>
      <c r="AY192" s="124">
        <v>1.175E-2</v>
      </c>
      <c r="AZ192" s="124">
        <v>4.2500000000000003E-3</v>
      </c>
      <c r="BA192" s="124">
        <v>5.4999999999999997E-3</v>
      </c>
      <c r="BB192" s="124">
        <v>1.3800000000000002E-2</v>
      </c>
      <c r="BC192" s="124">
        <v>2.1600000000000001E-2</v>
      </c>
      <c r="BD192" s="124">
        <v>2.2000000000000001E-3</v>
      </c>
      <c r="BE192" s="124">
        <v>2.155E-2</v>
      </c>
      <c r="BF192" s="124">
        <v>3.4200000000000001E-2</v>
      </c>
      <c r="BG192" s="124">
        <v>1.925E-2</v>
      </c>
      <c r="BH192" s="124">
        <v>6.93E-2</v>
      </c>
      <c r="BI192" s="124">
        <v>8.1599999999999992E-2</v>
      </c>
      <c r="BJ192" s="124">
        <v>2.2800000000000001E-2</v>
      </c>
      <c r="BK192" s="124">
        <v>2.085E-2</v>
      </c>
      <c r="BL192" s="124">
        <v>2.5899999999999999E-2</v>
      </c>
      <c r="BM192" s="124">
        <v>6.2500000000000003E-3</v>
      </c>
      <c r="BN192" s="118">
        <v>28.36</v>
      </c>
      <c r="BO192" s="118">
        <v>2.8</v>
      </c>
      <c r="BP192" s="118"/>
      <c r="BQ192" s="118"/>
      <c r="BR192" s="118"/>
    </row>
    <row r="193" spans="1:70">
      <c r="A193" s="122">
        <v>32021</v>
      </c>
      <c r="B193" s="122" t="s">
        <v>831</v>
      </c>
      <c r="C193" s="122" t="s">
        <v>832</v>
      </c>
      <c r="D193" s="122" t="s">
        <v>833</v>
      </c>
      <c r="E193" s="122" t="s">
        <v>76</v>
      </c>
      <c r="F193" s="122">
        <v>80016</v>
      </c>
      <c r="G193" s="163" t="s">
        <v>834</v>
      </c>
      <c r="H193" s="122">
        <v>12</v>
      </c>
      <c r="I193" s="122" t="s">
        <v>713</v>
      </c>
      <c r="J193" s="118">
        <v>51</v>
      </c>
      <c r="K193" s="118">
        <v>86.66</v>
      </c>
      <c r="L193" s="118">
        <v>1.08</v>
      </c>
      <c r="M193" s="118">
        <v>0.85</v>
      </c>
      <c r="N193" s="118">
        <v>8.89</v>
      </c>
      <c r="O193" s="118">
        <v>1.6</v>
      </c>
      <c r="P193" s="118">
        <v>0.28000000000000003</v>
      </c>
      <c r="Q193" s="118">
        <v>0.04</v>
      </c>
      <c r="R193" s="118">
        <v>0.3</v>
      </c>
      <c r="S193" s="118"/>
      <c r="T193" s="118"/>
      <c r="U193" s="118"/>
      <c r="V193" s="118"/>
      <c r="W193" s="118">
        <v>77.010000000000005</v>
      </c>
      <c r="X193" s="118">
        <v>0</v>
      </c>
      <c r="Y193" s="118"/>
      <c r="Z193" s="118"/>
      <c r="AA193" s="118">
        <v>0</v>
      </c>
      <c r="AB193" s="118"/>
      <c r="AC193" s="118"/>
      <c r="AD193" s="118"/>
      <c r="AE193" s="118"/>
      <c r="AF193" s="118"/>
      <c r="AG193" s="118"/>
      <c r="AH193" s="118"/>
      <c r="AI193" s="118">
        <v>56.7</v>
      </c>
      <c r="AJ193" s="118">
        <v>0.11</v>
      </c>
      <c r="AK193" s="118">
        <v>2.8</v>
      </c>
      <c r="AL193" s="118">
        <v>39.5</v>
      </c>
      <c r="AM193" s="118"/>
      <c r="AN193" s="118">
        <v>11</v>
      </c>
      <c r="AO193" s="118">
        <v>174.95</v>
      </c>
      <c r="AP193" s="118"/>
      <c r="AQ193" s="118">
        <v>0.17</v>
      </c>
      <c r="AR193" s="118"/>
      <c r="AS193" s="118"/>
      <c r="AT193" s="118"/>
      <c r="AU193" s="118"/>
      <c r="AV193" s="124"/>
      <c r="AW193" s="124"/>
      <c r="AX193" s="124"/>
      <c r="AY193" s="124"/>
      <c r="AZ193" s="124"/>
      <c r="BA193" s="124"/>
      <c r="BB193" s="124"/>
      <c r="BC193" s="124"/>
      <c r="BD193" s="124"/>
      <c r="BE193" s="124"/>
      <c r="BF193" s="124"/>
      <c r="BG193" s="124"/>
      <c r="BH193" s="124"/>
      <c r="BI193" s="124"/>
      <c r="BJ193" s="124"/>
      <c r="BK193" s="124"/>
      <c r="BL193" s="124"/>
      <c r="BM193" s="124"/>
      <c r="BN193" s="118"/>
      <c r="BO193" s="118"/>
      <c r="BP193" s="118"/>
      <c r="BQ193" s="118"/>
      <c r="BR193" s="118"/>
    </row>
    <row r="194" spans="1:70">
      <c r="A194" s="122">
        <v>32022</v>
      </c>
      <c r="B194" s="122" t="s">
        <v>835</v>
      </c>
      <c r="C194" s="122" t="s">
        <v>836</v>
      </c>
      <c r="D194" s="122" t="s">
        <v>702</v>
      </c>
      <c r="E194" s="122" t="s">
        <v>76</v>
      </c>
      <c r="F194" s="122" t="s">
        <v>1341</v>
      </c>
      <c r="G194" s="163" t="s">
        <v>1342</v>
      </c>
      <c r="H194" s="122">
        <v>14</v>
      </c>
      <c r="I194" s="122" t="s">
        <v>291</v>
      </c>
      <c r="J194" s="118">
        <v>41</v>
      </c>
      <c r="K194" s="118">
        <v>88.7</v>
      </c>
      <c r="L194" s="118">
        <v>0.54</v>
      </c>
      <c r="M194" s="118">
        <v>0.72</v>
      </c>
      <c r="N194" s="118">
        <v>6.71</v>
      </c>
      <c r="O194" s="118">
        <v>2.8</v>
      </c>
      <c r="P194" s="118">
        <v>0.12</v>
      </c>
      <c r="Q194" s="118">
        <v>0.04</v>
      </c>
      <c r="R194" s="118">
        <v>0.37</v>
      </c>
      <c r="S194" s="118">
        <v>0.26</v>
      </c>
      <c r="T194" s="118">
        <v>0.02</v>
      </c>
      <c r="U194" s="118">
        <v>12</v>
      </c>
      <c r="V194" s="118">
        <v>0</v>
      </c>
      <c r="W194" s="118">
        <v>49.4</v>
      </c>
      <c r="X194" s="118">
        <v>0.96</v>
      </c>
      <c r="Y194" s="118">
        <v>0.15</v>
      </c>
      <c r="Z194" s="118">
        <v>2</v>
      </c>
      <c r="AA194" s="118">
        <v>0</v>
      </c>
      <c r="AB194" s="118">
        <v>6.68</v>
      </c>
      <c r="AC194" s="118">
        <v>52</v>
      </c>
      <c r="AD194" s="118">
        <v>54.17</v>
      </c>
      <c r="AE194" s="118">
        <v>26.8</v>
      </c>
      <c r="AF194" s="118"/>
      <c r="AG194" s="118"/>
      <c r="AH194" s="118">
        <v>2.6</v>
      </c>
      <c r="AI194" s="118">
        <v>9.5</v>
      </c>
      <c r="AJ194" s="118">
        <v>0.12</v>
      </c>
      <c r="AK194" s="118">
        <v>0.82</v>
      </c>
      <c r="AL194" s="118">
        <v>19</v>
      </c>
      <c r="AM194" s="118">
        <v>0.06</v>
      </c>
      <c r="AN194" s="118">
        <v>23</v>
      </c>
      <c r="AO194" s="118">
        <v>127.8</v>
      </c>
      <c r="AP194" s="118">
        <v>0.56000000000000005</v>
      </c>
      <c r="AQ194" s="118">
        <v>0.38</v>
      </c>
      <c r="AR194" s="118">
        <v>0.02</v>
      </c>
      <c r="AS194" s="118">
        <v>0.03</v>
      </c>
      <c r="AT194" s="118">
        <v>0.19</v>
      </c>
      <c r="AU194" s="118"/>
      <c r="AV194" s="124">
        <v>2.0539999999999999E-2</v>
      </c>
      <c r="AW194" s="124">
        <v>2.2120000000000001E-2</v>
      </c>
      <c r="AX194" s="124">
        <v>4.4789999999999996E-2</v>
      </c>
      <c r="AY194" s="124">
        <v>4.1869999999999997E-2</v>
      </c>
      <c r="AZ194" s="124">
        <v>7.1900000000000002E-3</v>
      </c>
      <c r="BA194" s="124">
        <v>5.8499999999999993E-3</v>
      </c>
      <c r="BB194" s="124">
        <v>3.2149999999999998E-2</v>
      </c>
      <c r="BC194" s="124">
        <v>3.073E-2</v>
      </c>
      <c r="BD194" s="124">
        <v>6.8700000000000002E-3</v>
      </c>
      <c r="BE194" s="124">
        <v>3.3259999999999998E-2</v>
      </c>
      <c r="BF194" s="124">
        <v>4.8189999999999997E-2</v>
      </c>
      <c r="BG194" s="124">
        <v>4.2419999999999999E-2</v>
      </c>
      <c r="BH194" s="124">
        <v>0.13746</v>
      </c>
      <c r="BI194" s="124">
        <v>0.14655000000000001</v>
      </c>
      <c r="BJ194" s="124">
        <v>3.5159999999999997E-2</v>
      </c>
      <c r="BK194" s="124">
        <v>2.647E-2</v>
      </c>
      <c r="BL194" s="124">
        <v>3.6889999999999999E-2</v>
      </c>
      <c r="BM194" s="124">
        <v>3.073E-2</v>
      </c>
      <c r="BN194" s="118">
        <v>21.69</v>
      </c>
      <c r="BO194" s="118">
        <v>3.8</v>
      </c>
      <c r="BP194" s="118"/>
      <c r="BQ194" s="118"/>
      <c r="BR194" s="118"/>
    </row>
    <row r="195" spans="1:70">
      <c r="A195" s="122">
        <v>32023</v>
      </c>
      <c r="B195" s="122" t="s">
        <v>837</v>
      </c>
      <c r="C195" s="122" t="s">
        <v>838</v>
      </c>
      <c r="D195" s="127" t="s">
        <v>839</v>
      </c>
      <c r="E195" s="122" t="s">
        <v>1152</v>
      </c>
      <c r="F195" s="122" t="s">
        <v>1406</v>
      </c>
      <c r="G195" s="163" t="s">
        <v>1407</v>
      </c>
      <c r="H195" s="122">
        <v>14</v>
      </c>
      <c r="I195" s="122" t="s">
        <v>291</v>
      </c>
      <c r="J195" s="118">
        <v>64</v>
      </c>
      <c r="K195" s="118">
        <v>83.7</v>
      </c>
      <c r="L195" s="118">
        <v>0.4</v>
      </c>
      <c r="M195" s="118">
        <v>0.4</v>
      </c>
      <c r="N195" s="118">
        <v>14.6</v>
      </c>
      <c r="O195" s="118">
        <v>0.1</v>
      </c>
      <c r="P195" s="118">
        <v>0.02</v>
      </c>
      <c r="Q195" s="118">
        <v>0.05</v>
      </c>
      <c r="R195" s="118">
        <v>0.2</v>
      </c>
      <c r="S195" s="118"/>
      <c r="T195" s="118"/>
      <c r="U195" s="118"/>
      <c r="V195" s="118"/>
      <c r="W195" s="118">
        <v>6.2</v>
      </c>
      <c r="X195" s="118"/>
      <c r="Y195" s="118"/>
      <c r="Z195" s="118"/>
      <c r="AA195" s="118"/>
      <c r="AB195" s="118"/>
      <c r="AC195" s="118"/>
      <c r="AD195" s="118"/>
      <c r="AE195" s="118"/>
      <c r="AF195" s="118"/>
      <c r="AG195" s="118"/>
      <c r="AH195" s="118"/>
      <c r="AI195" s="118">
        <v>5</v>
      </c>
      <c r="AJ195" s="118"/>
      <c r="AK195" s="118">
        <v>0.2</v>
      </c>
      <c r="AL195" s="118"/>
      <c r="AM195" s="118"/>
      <c r="AN195" s="118">
        <v>13</v>
      </c>
      <c r="AO195" s="118">
        <v>111</v>
      </c>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row>
    <row r="196" spans="1:70">
      <c r="A196" s="122">
        <v>32024</v>
      </c>
      <c r="B196" s="122" t="s">
        <v>840</v>
      </c>
      <c r="C196" s="122" t="s">
        <v>841</v>
      </c>
      <c r="D196" s="122" t="s">
        <v>842</v>
      </c>
      <c r="E196" s="122" t="s">
        <v>76</v>
      </c>
      <c r="F196" s="122">
        <v>80020</v>
      </c>
      <c r="G196" s="163" t="s">
        <v>843</v>
      </c>
      <c r="H196" s="122">
        <v>14</v>
      </c>
      <c r="I196" s="122" t="s">
        <v>291</v>
      </c>
      <c r="J196" s="118">
        <v>35</v>
      </c>
      <c r="K196" s="118">
        <v>89.86</v>
      </c>
      <c r="L196" s="118">
        <v>0.67</v>
      </c>
      <c r="M196" s="118">
        <v>0.21</v>
      </c>
      <c r="N196" s="118">
        <v>6.9</v>
      </c>
      <c r="O196" s="118">
        <v>1.6</v>
      </c>
      <c r="P196" s="118">
        <v>0.03</v>
      </c>
      <c r="Q196" s="118">
        <v>0.01</v>
      </c>
      <c r="R196" s="118">
        <v>0.3</v>
      </c>
      <c r="S196" s="118"/>
      <c r="T196" s="118"/>
      <c r="U196" s="118"/>
      <c r="V196" s="118"/>
      <c r="W196" s="118">
        <v>40.22</v>
      </c>
      <c r="X196" s="118">
        <v>0</v>
      </c>
      <c r="Y196" s="118">
        <v>0.19</v>
      </c>
      <c r="Z196" s="118"/>
      <c r="AA196" s="118">
        <v>0</v>
      </c>
      <c r="AB196" s="118">
        <v>1.83</v>
      </c>
      <c r="AC196" s="118"/>
      <c r="AD196" s="118">
        <v>22.1</v>
      </c>
      <c r="AE196" s="118"/>
      <c r="AF196" s="118"/>
      <c r="AG196" s="118"/>
      <c r="AH196" s="118"/>
      <c r="AI196" s="118">
        <v>9.5</v>
      </c>
      <c r="AJ196" s="118">
        <v>0.57999999999999996</v>
      </c>
      <c r="AK196" s="118">
        <v>0.3</v>
      </c>
      <c r="AL196" s="118">
        <v>22.5</v>
      </c>
      <c r="AM196" s="118"/>
      <c r="AN196" s="118">
        <v>18</v>
      </c>
      <c r="AO196" s="118">
        <v>143</v>
      </c>
      <c r="AP196" s="118"/>
      <c r="AQ196" s="118">
        <v>0.39</v>
      </c>
      <c r="AR196" s="118"/>
      <c r="AS196" s="118"/>
      <c r="AT196" s="118"/>
      <c r="AU196" s="118"/>
      <c r="AV196" s="124"/>
      <c r="AW196" s="124"/>
      <c r="AX196" s="124"/>
      <c r="AY196" s="124"/>
      <c r="AZ196" s="124"/>
      <c r="BA196" s="124"/>
      <c r="BB196" s="124"/>
      <c r="BC196" s="124"/>
      <c r="BD196" s="124"/>
      <c r="BE196" s="124"/>
      <c r="BF196" s="124"/>
      <c r="BG196" s="124"/>
      <c r="BH196" s="124"/>
      <c r="BI196" s="124"/>
      <c r="BJ196" s="124"/>
      <c r="BK196" s="124"/>
      <c r="BL196" s="124"/>
      <c r="BM196" s="124"/>
      <c r="BN196" s="118"/>
      <c r="BO196" s="118"/>
      <c r="BP196" s="118"/>
      <c r="BQ196" s="118"/>
      <c r="BR196" s="118"/>
    </row>
    <row r="197" spans="1:70">
      <c r="A197" s="122">
        <v>32025</v>
      </c>
      <c r="B197" s="122" t="s">
        <v>844</v>
      </c>
      <c r="C197" s="122" t="s">
        <v>845</v>
      </c>
      <c r="D197" s="122" t="s">
        <v>846</v>
      </c>
      <c r="E197" s="122" t="s">
        <v>76</v>
      </c>
      <c r="F197" s="122">
        <v>80036</v>
      </c>
      <c r="G197" s="163" t="s">
        <v>847</v>
      </c>
      <c r="H197" s="122">
        <v>14</v>
      </c>
      <c r="I197" s="122" t="s">
        <v>291</v>
      </c>
      <c r="J197" s="118">
        <v>67</v>
      </c>
      <c r="K197" s="118">
        <v>81.150000000000006</v>
      </c>
      <c r="L197" s="118">
        <v>0.66</v>
      </c>
      <c r="M197" s="118">
        <v>0.2</v>
      </c>
      <c r="N197" s="118">
        <v>13.94</v>
      </c>
      <c r="O197" s="118">
        <v>3.6</v>
      </c>
      <c r="P197" s="118">
        <v>0.03</v>
      </c>
      <c r="Q197" s="118">
        <v>0.14000000000000001</v>
      </c>
      <c r="R197" s="118">
        <v>0.13</v>
      </c>
      <c r="S197" s="118"/>
      <c r="T197" s="118">
        <v>0.03</v>
      </c>
      <c r="U197" s="118">
        <v>8</v>
      </c>
      <c r="V197" s="118"/>
      <c r="W197" s="118">
        <v>12.75</v>
      </c>
      <c r="X197" s="118">
        <v>0</v>
      </c>
      <c r="Y197" s="118">
        <v>1.8</v>
      </c>
      <c r="Z197" s="118"/>
      <c r="AA197" s="118">
        <v>0</v>
      </c>
      <c r="AB197" s="118">
        <v>81.38</v>
      </c>
      <c r="AC197" s="118">
        <v>0</v>
      </c>
      <c r="AD197" s="118">
        <v>253</v>
      </c>
      <c r="AE197" s="118"/>
      <c r="AF197" s="118"/>
      <c r="AG197" s="118"/>
      <c r="AH197" s="118"/>
      <c r="AI197" s="118">
        <v>23.83</v>
      </c>
      <c r="AJ197" s="118">
        <v>0.14000000000000001</v>
      </c>
      <c r="AK197" s="118">
        <v>0.18</v>
      </c>
      <c r="AL197" s="118">
        <v>14.67</v>
      </c>
      <c r="AM197" s="118"/>
      <c r="AN197" s="118">
        <v>17</v>
      </c>
      <c r="AO197" s="118">
        <v>180.33</v>
      </c>
      <c r="AP197" s="118"/>
      <c r="AQ197" s="118">
        <v>7.0000000000000007E-2</v>
      </c>
      <c r="AR197" s="118"/>
      <c r="AS197" s="118"/>
      <c r="AT197" s="118"/>
      <c r="AU197" s="118"/>
      <c r="AV197" s="124"/>
      <c r="AW197" s="124"/>
      <c r="AX197" s="124"/>
      <c r="AY197" s="124"/>
      <c r="AZ197" s="124"/>
      <c r="BA197" s="124"/>
      <c r="BB197" s="124"/>
      <c r="BC197" s="124"/>
      <c r="BD197" s="124"/>
      <c r="BE197" s="124"/>
      <c r="BF197" s="124"/>
      <c r="BG197" s="124"/>
      <c r="BH197" s="124"/>
      <c r="BI197" s="124"/>
      <c r="BJ197" s="124"/>
      <c r="BK197" s="124"/>
      <c r="BL197" s="124"/>
      <c r="BM197" s="124"/>
      <c r="BN197" s="118"/>
      <c r="BO197" s="118"/>
      <c r="BP197" s="118"/>
      <c r="BQ197" s="118"/>
      <c r="BR197" s="118"/>
    </row>
    <row r="198" spans="1:70">
      <c r="A198" s="122">
        <v>32026</v>
      </c>
      <c r="B198" s="122" t="s">
        <v>848</v>
      </c>
      <c r="C198" s="122" t="s">
        <v>849</v>
      </c>
      <c r="D198" s="122" t="s">
        <v>829</v>
      </c>
      <c r="E198" s="122" t="s">
        <v>76</v>
      </c>
      <c r="F198" s="122">
        <v>80033</v>
      </c>
      <c r="G198" s="163" t="s">
        <v>850</v>
      </c>
      <c r="H198" s="122">
        <v>14</v>
      </c>
      <c r="I198" s="122" t="s">
        <v>291</v>
      </c>
      <c r="J198" s="118">
        <v>31</v>
      </c>
      <c r="K198" s="118">
        <v>91.95</v>
      </c>
      <c r="L198" s="118">
        <v>0.6</v>
      </c>
      <c r="M198" s="118">
        <v>0.1</v>
      </c>
      <c r="N198" s="118">
        <v>6.85</v>
      </c>
      <c r="O198" s="118">
        <v>0.3</v>
      </c>
      <c r="P198" s="118">
        <v>0.01</v>
      </c>
      <c r="Q198" s="118">
        <v>0.01</v>
      </c>
      <c r="R198" s="118">
        <v>0.2</v>
      </c>
      <c r="S198" s="118"/>
      <c r="T198" s="118"/>
      <c r="U198" s="118"/>
      <c r="V198" s="118">
        <v>0</v>
      </c>
      <c r="W198" s="118">
        <v>4</v>
      </c>
      <c r="X198" s="118">
        <v>0</v>
      </c>
      <c r="Y198" s="118"/>
      <c r="Z198" s="118"/>
      <c r="AA198" s="118">
        <v>0</v>
      </c>
      <c r="AB198" s="118">
        <v>0</v>
      </c>
      <c r="AC198" s="118"/>
      <c r="AD198" s="118">
        <v>0</v>
      </c>
      <c r="AE198" s="118"/>
      <c r="AF198" s="118"/>
      <c r="AG198" s="118"/>
      <c r="AH198" s="118"/>
      <c r="AI198" s="118">
        <v>43</v>
      </c>
      <c r="AJ198" s="118"/>
      <c r="AK198" s="118">
        <v>0.5</v>
      </c>
      <c r="AL198" s="118">
        <v>30</v>
      </c>
      <c r="AM198" s="118"/>
      <c r="AN198" s="118">
        <v>20</v>
      </c>
      <c r="AO198" s="118">
        <v>54</v>
      </c>
      <c r="AP198" s="118"/>
      <c r="AQ198" s="118"/>
      <c r="AR198" s="118"/>
      <c r="AS198" s="118"/>
      <c r="AT198" s="118"/>
      <c r="AU198" s="118"/>
      <c r="AV198" s="124"/>
      <c r="AW198" s="124"/>
      <c r="AX198" s="124"/>
      <c r="AY198" s="124"/>
      <c r="AZ198" s="124"/>
      <c r="BA198" s="124"/>
      <c r="BB198" s="124"/>
      <c r="BC198" s="124"/>
      <c r="BD198" s="124"/>
      <c r="BE198" s="124"/>
      <c r="BF198" s="124"/>
      <c r="BG198" s="124"/>
      <c r="BH198" s="124"/>
      <c r="BI198" s="124"/>
      <c r="BJ198" s="124"/>
      <c r="BK198" s="124"/>
      <c r="BL198" s="124"/>
      <c r="BM198" s="124"/>
      <c r="BN198" s="118"/>
      <c r="BO198" s="118"/>
      <c r="BP198" s="118"/>
      <c r="BQ198" s="118"/>
      <c r="BR198" s="118"/>
    </row>
    <row r="199" spans="1:70">
      <c r="A199" s="122">
        <v>32804</v>
      </c>
      <c r="B199" s="122" t="s">
        <v>851</v>
      </c>
      <c r="C199" s="122" t="s">
        <v>852</v>
      </c>
      <c r="D199" s="122" t="s">
        <v>853</v>
      </c>
      <c r="E199" s="122" t="s">
        <v>76</v>
      </c>
      <c r="F199" s="122" t="s">
        <v>1408</v>
      </c>
      <c r="G199" s="163" t="s">
        <v>1409</v>
      </c>
      <c r="H199" s="122">
        <v>14</v>
      </c>
      <c r="I199" s="122" t="s">
        <v>291</v>
      </c>
      <c r="J199" s="118">
        <v>111</v>
      </c>
      <c r="K199" s="118">
        <v>68.459999999999994</v>
      </c>
      <c r="L199" s="118">
        <v>2.92</v>
      </c>
      <c r="M199" s="118">
        <v>0.25</v>
      </c>
      <c r="N199" s="118">
        <v>20.86</v>
      </c>
      <c r="O199" s="118">
        <v>6.96</v>
      </c>
      <c r="P199" s="118">
        <v>0.03</v>
      </c>
      <c r="Q199" s="118">
        <v>0.02</v>
      </c>
      <c r="R199" s="118">
        <v>1.1000000000000001</v>
      </c>
      <c r="S199" s="118">
        <v>1.62</v>
      </c>
      <c r="T199" s="118"/>
      <c r="U199" s="118"/>
      <c r="V199" s="118"/>
      <c r="W199" s="118">
        <v>11.26</v>
      </c>
      <c r="X199" s="118">
        <v>43.88</v>
      </c>
      <c r="Y199" s="118"/>
      <c r="Z199" s="118">
        <v>6.8</v>
      </c>
      <c r="AA199" s="118">
        <v>0</v>
      </c>
      <c r="AB199" s="118"/>
      <c r="AC199" s="118"/>
      <c r="AD199" s="118">
        <v>2.5</v>
      </c>
      <c r="AE199" s="118">
        <v>36.119999999999997</v>
      </c>
      <c r="AF199" s="118"/>
      <c r="AG199" s="118"/>
      <c r="AH199" s="118">
        <v>2.2000000000000002</v>
      </c>
      <c r="AI199" s="118">
        <v>41.42</v>
      </c>
      <c r="AJ199" s="118">
        <v>0.15</v>
      </c>
      <c r="AK199" s="118">
        <v>0.42</v>
      </c>
      <c r="AL199" s="118">
        <v>13.29</v>
      </c>
      <c r="AM199" s="118">
        <v>0.2</v>
      </c>
      <c r="AN199" s="118">
        <v>50</v>
      </c>
      <c r="AO199" s="118">
        <v>492.84</v>
      </c>
      <c r="AP199" s="118">
        <v>2.3199999999999998</v>
      </c>
      <c r="AQ199" s="118">
        <v>0.26</v>
      </c>
      <c r="AR199" s="118">
        <v>0.19</v>
      </c>
      <c r="AS199" s="118">
        <v>0.11</v>
      </c>
      <c r="AT199" s="118">
        <v>0.15</v>
      </c>
      <c r="AU199" s="118"/>
      <c r="AV199" s="124">
        <v>6.6280000000000006E-2</v>
      </c>
      <c r="AW199" s="124">
        <v>8.6529999999999996E-2</v>
      </c>
      <c r="AX199" s="124">
        <v>0.15412000000000001</v>
      </c>
      <c r="AY199" s="124">
        <v>0.12781999999999999</v>
      </c>
      <c r="AZ199" s="124">
        <v>3.3140000000000003E-2</v>
      </c>
      <c r="BA199" s="124">
        <v>1.7100000000000001E-2</v>
      </c>
      <c r="BB199" s="124">
        <v>0.1265</v>
      </c>
      <c r="BC199" s="124">
        <v>0.10940999999999999</v>
      </c>
      <c r="BD199" s="124">
        <v>2.5770000000000001E-2</v>
      </c>
      <c r="BE199" s="124">
        <v>0.12151000000000001</v>
      </c>
      <c r="BF199" s="124">
        <v>0.12676999999999999</v>
      </c>
      <c r="BG199" s="124">
        <v>0.10152</v>
      </c>
      <c r="BH199" s="124">
        <v>0.47866000000000003</v>
      </c>
      <c r="BI199" s="124">
        <v>0.37504000000000004</v>
      </c>
      <c r="BJ199" s="124">
        <v>0.10152</v>
      </c>
      <c r="BK199" s="124">
        <v>0.13833999999999999</v>
      </c>
      <c r="BL199" s="124">
        <v>0.14202000000000001</v>
      </c>
      <c r="BM199" s="124">
        <v>6.3909999999999995E-2</v>
      </c>
      <c r="BN199" s="118">
        <v>411</v>
      </c>
      <c r="BO199" s="118">
        <v>121</v>
      </c>
      <c r="BP199" s="118"/>
      <c r="BQ199" s="118"/>
      <c r="BR199" s="118"/>
    </row>
    <row r="200" spans="1:70">
      <c r="A200" s="122">
        <v>31008</v>
      </c>
      <c r="B200" s="122" t="s">
        <v>855</v>
      </c>
      <c r="C200" s="122" t="s">
        <v>856</v>
      </c>
      <c r="D200" s="122" t="s">
        <v>857</v>
      </c>
      <c r="E200" s="122" t="s">
        <v>76</v>
      </c>
      <c r="F200" s="122">
        <v>80028</v>
      </c>
      <c r="G200" s="163" t="s">
        <v>858</v>
      </c>
      <c r="H200" s="122">
        <v>14</v>
      </c>
      <c r="I200" s="122" t="s">
        <v>291</v>
      </c>
      <c r="J200" s="118">
        <v>103</v>
      </c>
      <c r="K200" s="118">
        <v>72.33</v>
      </c>
      <c r="L200" s="118">
        <v>1.23</v>
      </c>
      <c r="M200" s="118">
        <v>0.71</v>
      </c>
      <c r="N200" s="118">
        <v>21.12</v>
      </c>
      <c r="O200" s="118">
        <v>3.63</v>
      </c>
      <c r="P200" s="118">
        <v>0.03</v>
      </c>
      <c r="Q200" s="118">
        <v>0.23</v>
      </c>
      <c r="R200" s="118">
        <v>0.46</v>
      </c>
      <c r="S200" s="118"/>
      <c r="T200" s="118"/>
      <c r="U200" s="118"/>
      <c r="V200" s="118"/>
      <c r="W200" s="118">
        <v>65.58</v>
      </c>
      <c r="X200" s="118">
        <v>0</v>
      </c>
      <c r="Y200" s="118"/>
      <c r="Z200" s="118"/>
      <c r="AA200" s="118">
        <v>0</v>
      </c>
      <c r="AB200" s="118">
        <v>309.85000000000002</v>
      </c>
      <c r="AC200" s="118"/>
      <c r="AD200" s="118">
        <v>3720</v>
      </c>
      <c r="AE200" s="118"/>
      <c r="AF200" s="118"/>
      <c r="AG200" s="118"/>
      <c r="AH200" s="118"/>
      <c r="AI200" s="118">
        <v>56.84</v>
      </c>
      <c r="AJ200" s="118">
        <v>1.05</v>
      </c>
      <c r="AK200" s="118">
        <v>0.78</v>
      </c>
      <c r="AL200" s="118">
        <v>23.69</v>
      </c>
      <c r="AM200" s="118"/>
      <c r="AN200" s="118">
        <v>22.69</v>
      </c>
      <c r="AO200" s="118">
        <v>348.33</v>
      </c>
      <c r="AP200" s="118"/>
      <c r="AQ200" s="118">
        <v>1.68</v>
      </c>
      <c r="AR200" s="118"/>
      <c r="AS200" s="118"/>
      <c r="AT200" s="118"/>
      <c r="AU200" s="118"/>
      <c r="AV200" s="124"/>
      <c r="AW200" s="124"/>
      <c r="AX200" s="124"/>
      <c r="AY200" s="124"/>
      <c r="AZ200" s="124"/>
      <c r="BA200" s="124"/>
      <c r="BB200" s="124"/>
      <c r="BC200" s="124"/>
      <c r="BD200" s="124"/>
      <c r="BE200" s="124"/>
      <c r="BF200" s="124"/>
      <c r="BG200" s="124"/>
      <c r="BH200" s="124"/>
      <c r="BI200" s="124"/>
      <c r="BJ200" s="124"/>
      <c r="BK200" s="124"/>
      <c r="BL200" s="124"/>
      <c r="BM200" s="124"/>
      <c r="BN200" s="118"/>
      <c r="BO200" s="118">
        <v>26</v>
      </c>
      <c r="BP200" s="118"/>
      <c r="BQ200" s="118"/>
      <c r="BR200" s="118"/>
    </row>
    <row r="201" spans="1:70">
      <c r="A201" s="122">
        <v>31009</v>
      </c>
      <c r="B201" s="122" t="s">
        <v>859</v>
      </c>
      <c r="C201" s="122" t="s">
        <v>860</v>
      </c>
      <c r="D201" s="122" t="s">
        <v>861</v>
      </c>
      <c r="E201" s="122" t="s">
        <v>76</v>
      </c>
      <c r="F201" s="122" t="s">
        <v>1410</v>
      </c>
      <c r="G201" s="163" t="s">
        <v>1411</v>
      </c>
      <c r="H201" s="122">
        <v>14</v>
      </c>
      <c r="I201" s="122" t="s">
        <v>291</v>
      </c>
      <c r="J201" s="118">
        <v>17</v>
      </c>
      <c r="K201" s="118">
        <v>94.96</v>
      </c>
      <c r="L201" s="118">
        <v>0.31</v>
      </c>
      <c r="M201" s="118">
        <v>0.23</v>
      </c>
      <c r="N201" s="118">
        <v>3.14</v>
      </c>
      <c r="O201" s="118">
        <v>0.8</v>
      </c>
      <c r="P201" s="118">
        <v>0.11</v>
      </c>
      <c r="Q201" s="118">
        <v>0.08</v>
      </c>
      <c r="R201" s="118">
        <v>0.47</v>
      </c>
      <c r="S201" s="118"/>
      <c r="T201" s="118">
        <v>0.06</v>
      </c>
      <c r="U201" s="118">
        <v>21.33</v>
      </c>
      <c r="V201" s="118">
        <v>0</v>
      </c>
      <c r="W201" s="118">
        <v>33.93</v>
      </c>
      <c r="X201" s="118">
        <v>0</v>
      </c>
      <c r="Y201" s="118">
        <v>7.0000000000000007E-2</v>
      </c>
      <c r="Z201" s="118">
        <v>5.7</v>
      </c>
      <c r="AA201" s="118">
        <v>0</v>
      </c>
      <c r="AB201" s="118">
        <v>104.74</v>
      </c>
      <c r="AC201" s="118">
        <v>0</v>
      </c>
      <c r="AD201" s="118">
        <v>1260</v>
      </c>
      <c r="AE201" s="118"/>
      <c r="AF201" s="118"/>
      <c r="AG201" s="118"/>
      <c r="AH201" s="118"/>
      <c r="AI201" s="118">
        <v>17.23</v>
      </c>
      <c r="AJ201" s="118">
        <v>0.06</v>
      </c>
      <c r="AK201" s="118">
        <v>0.25</v>
      </c>
      <c r="AL201" s="118">
        <v>21</v>
      </c>
      <c r="AM201" s="118">
        <v>0.04</v>
      </c>
      <c r="AN201" s="118">
        <v>14</v>
      </c>
      <c r="AO201" s="118">
        <v>211</v>
      </c>
      <c r="AP201" s="118">
        <v>0.88</v>
      </c>
      <c r="AQ201" s="118">
        <v>0.06</v>
      </c>
      <c r="AR201" s="118"/>
      <c r="AS201" s="118"/>
      <c r="AT201" s="118"/>
      <c r="AU201" s="118"/>
      <c r="AV201" s="124"/>
      <c r="AW201" s="124"/>
      <c r="AX201" s="124"/>
      <c r="AY201" s="124"/>
      <c r="AZ201" s="124"/>
      <c r="BA201" s="124"/>
      <c r="BB201" s="124"/>
      <c r="BC201" s="124"/>
      <c r="BD201" s="124"/>
      <c r="BE201" s="124"/>
      <c r="BF201" s="124"/>
      <c r="BG201" s="124"/>
      <c r="BH201" s="124"/>
      <c r="BI201" s="124"/>
      <c r="BJ201" s="124"/>
      <c r="BK201" s="124"/>
      <c r="BL201" s="124"/>
      <c r="BM201" s="124"/>
      <c r="BN201" s="118">
        <v>4.95</v>
      </c>
      <c r="BO201" s="118">
        <v>20</v>
      </c>
      <c r="BP201" s="118">
        <v>2</v>
      </c>
      <c r="BQ201" s="118"/>
      <c r="BR201" s="118"/>
    </row>
    <row r="202" spans="1:70">
      <c r="A202" s="122">
        <v>31010</v>
      </c>
      <c r="B202" s="122" t="s">
        <v>863</v>
      </c>
      <c r="C202" s="122" t="s">
        <v>864</v>
      </c>
      <c r="D202" s="122" t="s">
        <v>865</v>
      </c>
      <c r="E202" s="122" t="s">
        <v>103</v>
      </c>
      <c r="F202" s="121" t="s">
        <v>866</v>
      </c>
      <c r="G202" s="163" t="s">
        <v>867</v>
      </c>
      <c r="H202" s="122">
        <v>14</v>
      </c>
      <c r="I202" s="122" t="s">
        <v>291</v>
      </c>
      <c r="J202" s="118">
        <v>83</v>
      </c>
      <c r="K202" s="118">
        <v>78</v>
      </c>
      <c r="L202" s="118">
        <v>0.44</v>
      </c>
      <c r="M202" s="118">
        <v>1.1000000000000001</v>
      </c>
      <c r="N202" s="118">
        <v>20</v>
      </c>
      <c r="O202" s="118">
        <v>5.3</v>
      </c>
      <c r="P202" s="118">
        <v>0</v>
      </c>
      <c r="Q202" s="118">
        <v>0.02</v>
      </c>
      <c r="R202" s="118">
        <v>0.2</v>
      </c>
      <c r="S202" s="118">
        <v>0.252</v>
      </c>
      <c r="T202" s="118">
        <v>3.6999999999999998E-2</v>
      </c>
      <c r="U202" s="118">
        <v>14</v>
      </c>
      <c r="V202" s="118">
        <v>0</v>
      </c>
      <c r="W202" s="118">
        <v>14.7</v>
      </c>
      <c r="X202" s="118"/>
      <c r="Y202" s="118"/>
      <c r="Z202" s="118"/>
      <c r="AA202" s="118">
        <v>0</v>
      </c>
      <c r="AB202" s="118">
        <v>3</v>
      </c>
      <c r="AC202" s="118"/>
      <c r="AD202" s="118"/>
      <c r="AE202" s="118"/>
      <c r="AF202" s="118"/>
      <c r="AG202" s="118">
        <v>0</v>
      </c>
      <c r="AH202" s="118"/>
      <c r="AI202" s="118">
        <v>21</v>
      </c>
      <c r="AJ202" s="118">
        <v>8.5999999999999993E-2</v>
      </c>
      <c r="AK202" s="118">
        <v>0.8</v>
      </c>
      <c r="AL202" s="118">
        <v>12</v>
      </c>
      <c r="AM202" s="118"/>
      <c r="AN202" s="118">
        <v>12</v>
      </c>
      <c r="AO202" s="118">
        <v>193</v>
      </c>
      <c r="AP202" s="118">
        <v>0.6</v>
      </c>
      <c r="AQ202" s="118">
        <v>0.1</v>
      </c>
      <c r="AR202" s="118">
        <v>0.19400000000000001</v>
      </c>
      <c r="AS202" s="118">
        <v>0.52100000000000002</v>
      </c>
      <c r="AT202" s="118">
        <v>1.0999999999999999E-2</v>
      </c>
      <c r="AU202" s="118">
        <v>0</v>
      </c>
      <c r="AV202" s="118">
        <v>1.6E-2</v>
      </c>
      <c r="AW202" s="118">
        <v>1.4999999999999999E-2</v>
      </c>
      <c r="AX202" s="118">
        <v>2.4E-2</v>
      </c>
      <c r="AY202" s="118">
        <v>3.9E-2</v>
      </c>
      <c r="AZ202" s="118">
        <v>3.0000000000000001E-3</v>
      </c>
      <c r="BA202" s="118"/>
      <c r="BB202" s="118">
        <v>1.2999999999999999E-2</v>
      </c>
      <c r="BC202" s="118">
        <v>1.2E-2</v>
      </c>
      <c r="BD202" s="118">
        <v>5.0000000000000001E-3</v>
      </c>
      <c r="BE202" s="118">
        <v>1.6E-2</v>
      </c>
      <c r="BF202" s="118">
        <v>1.4E-2</v>
      </c>
      <c r="BG202" s="118">
        <v>1.7000000000000001E-2</v>
      </c>
      <c r="BH202" s="118">
        <v>3.2000000000000001E-2</v>
      </c>
      <c r="BI202" s="118">
        <v>3.7999999999999999E-2</v>
      </c>
      <c r="BJ202" s="118">
        <v>1.7000000000000001E-2</v>
      </c>
      <c r="BK202" s="118">
        <v>3.5999999999999997E-2</v>
      </c>
      <c r="BL202" s="118">
        <v>1.7999999999999999E-2</v>
      </c>
      <c r="BM202" s="118">
        <v>1.4E-2</v>
      </c>
      <c r="BN202" s="118"/>
      <c r="BO202" s="118"/>
      <c r="BP202" s="118"/>
      <c r="BQ202" s="118"/>
      <c r="BR202" s="118"/>
    </row>
    <row r="203" spans="1:70">
      <c r="A203" s="122">
        <v>31011</v>
      </c>
      <c r="B203" s="122" t="s">
        <v>868</v>
      </c>
      <c r="C203" s="122" t="s">
        <v>869</v>
      </c>
      <c r="D203" s="122" t="s">
        <v>870</v>
      </c>
      <c r="E203" s="122" t="s">
        <v>1412</v>
      </c>
      <c r="F203" s="122" t="s">
        <v>1413</v>
      </c>
      <c r="G203" s="163" t="s">
        <v>1414</v>
      </c>
      <c r="H203" s="122">
        <v>14</v>
      </c>
      <c r="I203" s="122" t="s">
        <v>291</v>
      </c>
      <c r="J203" s="118">
        <v>53</v>
      </c>
      <c r="K203" s="118">
        <v>87.05</v>
      </c>
      <c r="L203" s="118">
        <v>1.6</v>
      </c>
      <c r="M203" s="118">
        <v>0.15</v>
      </c>
      <c r="N203" s="118">
        <v>10.55</v>
      </c>
      <c r="O203" s="118">
        <v>1.1000000000000001</v>
      </c>
      <c r="P203" s="118"/>
      <c r="Q203" s="118"/>
      <c r="R203" s="118"/>
      <c r="S203" s="118"/>
      <c r="T203" s="118"/>
      <c r="U203" s="118"/>
      <c r="V203" s="118"/>
      <c r="W203" s="118">
        <v>2.6</v>
      </c>
      <c r="X203" s="118"/>
      <c r="Y203" s="118"/>
      <c r="Z203" s="118"/>
      <c r="AA203" s="118"/>
      <c r="AB203" s="118"/>
      <c r="AC203" s="118"/>
      <c r="AD203" s="118"/>
      <c r="AE203" s="118"/>
      <c r="AF203" s="118"/>
      <c r="AG203" s="118"/>
      <c r="AH203" s="118"/>
      <c r="AI203" s="118">
        <v>8</v>
      </c>
      <c r="AJ203" s="118">
        <v>0</v>
      </c>
      <c r="AK203" s="118">
        <v>0.2</v>
      </c>
      <c r="AL203" s="118">
        <v>27</v>
      </c>
      <c r="AM203" s="118">
        <v>0</v>
      </c>
      <c r="AN203" s="118">
        <v>25</v>
      </c>
      <c r="AO203" s="118">
        <v>182</v>
      </c>
      <c r="AP203" s="118">
        <v>3</v>
      </c>
      <c r="AQ203" s="118">
        <v>0.45</v>
      </c>
      <c r="AR203" s="118">
        <v>0.05</v>
      </c>
      <c r="AS203" s="118">
        <v>0</v>
      </c>
      <c r="AT203" s="118">
        <v>0</v>
      </c>
      <c r="AU203" s="118">
        <v>0</v>
      </c>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row>
    <row r="204" spans="1:70">
      <c r="A204" s="122">
        <v>32028</v>
      </c>
      <c r="B204" s="122" t="s">
        <v>871</v>
      </c>
      <c r="C204" s="122" t="s">
        <v>872</v>
      </c>
      <c r="D204" s="122" t="s">
        <v>873</v>
      </c>
      <c r="E204" s="122" t="s">
        <v>76</v>
      </c>
      <c r="F204" s="122" t="s">
        <v>1415</v>
      </c>
      <c r="G204" s="163" t="s">
        <v>1416</v>
      </c>
      <c r="H204" s="122">
        <v>14</v>
      </c>
      <c r="I204" s="122" t="s">
        <v>291</v>
      </c>
      <c r="J204" s="118">
        <v>24.62</v>
      </c>
      <c r="K204" s="118">
        <v>92.03</v>
      </c>
      <c r="L204" s="118">
        <v>0.97</v>
      </c>
      <c r="M204" s="118">
        <v>0.56000000000000005</v>
      </c>
      <c r="N204" s="118">
        <v>3.4</v>
      </c>
      <c r="O204" s="118">
        <v>2.5</v>
      </c>
      <c r="P204" s="118">
        <v>0.06</v>
      </c>
      <c r="Q204" s="118">
        <v>0.01</v>
      </c>
      <c r="R204" s="118">
        <v>0.48</v>
      </c>
      <c r="S204" s="118">
        <v>0.18</v>
      </c>
      <c r="T204" s="118">
        <v>0.09</v>
      </c>
      <c r="U204" s="118">
        <v>8.91</v>
      </c>
      <c r="V204" s="118"/>
      <c r="W204" s="118">
        <v>50.2</v>
      </c>
      <c r="X204" s="118">
        <v>3.95</v>
      </c>
      <c r="Y204" s="118">
        <v>0.26</v>
      </c>
      <c r="Z204" s="118">
        <v>19.809999999999999</v>
      </c>
      <c r="AA204" s="118">
        <v>0</v>
      </c>
      <c r="AB204" s="118">
        <v>2</v>
      </c>
      <c r="AC204" s="118"/>
      <c r="AD204" s="118">
        <v>2.19</v>
      </c>
      <c r="AE204" s="118">
        <v>19.3</v>
      </c>
      <c r="AF204" s="118"/>
      <c r="AG204" s="118"/>
      <c r="AH204" s="118">
        <v>1.45</v>
      </c>
      <c r="AI204" s="118">
        <v>15.28</v>
      </c>
      <c r="AJ204" s="118">
        <v>0.7</v>
      </c>
      <c r="AK204" s="118">
        <v>0.36</v>
      </c>
      <c r="AL204" s="118">
        <v>15.53</v>
      </c>
      <c r="AM204" s="118">
        <v>0.43</v>
      </c>
      <c r="AN204" s="118">
        <v>26.31</v>
      </c>
      <c r="AO204" s="118">
        <v>140</v>
      </c>
      <c r="AP204" s="118">
        <v>0.3</v>
      </c>
      <c r="AQ204" s="118">
        <v>0.14000000000000001</v>
      </c>
      <c r="AR204" s="118">
        <v>0.66</v>
      </c>
      <c r="AS204" s="118">
        <v>0.78</v>
      </c>
      <c r="AT204" s="118">
        <v>0.28999999999999998</v>
      </c>
      <c r="AU204" s="118"/>
      <c r="AV204" s="124">
        <v>2.4829999999999998E-2</v>
      </c>
      <c r="AW204" s="124">
        <v>3.5020000000000003E-2</v>
      </c>
      <c r="AX204" s="124">
        <v>5.4420000000000003E-2</v>
      </c>
      <c r="AY204" s="124">
        <v>3.0460000000000001E-2</v>
      </c>
      <c r="AZ204" s="124">
        <v>8.3400000000000002E-3</v>
      </c>
      <c r="BA204" s="124">
        <v>6.4999999999999997E-3</v>
      </c>
      <c r="BB204" s="124">
        <v>2.4250000000000001E-2</v>
      </c>
      <c r="BC204" s="124">
        <v>4.19E-2</v>
      </c>
      <c r="BD204" s="124">
        <v>9.0200000000000002E-3</v>
      </c>
      <c r="BE204" s="124">
        <v>4.3749999999999997E-2</v>
      </c>
      <c r="BF204" s="124">
        <v>4.8310000000000006E-2</v>
      </c>
      <c r="BG204" s="124">
        <v>4.3749999999999997E-2</v>
      </c>
      <c r="BH204" s="124">
        <v>0.19109000000000001</v>
      </c>
      <c r="BI204" s="124">
        <v>0.15403999999999998</v>
      </c>
      <c r="BJ204" s="124">
        <v>5.4609999999999999E-2</v>
      </c>
      <c r="BK204" s="124">
        <v>3.3079999999999998E-2</v>
      </c>
      <c r="BL204" s="124">
        <v>3.977E-2</v>
      </c>
      <c r="BM204" s="124">
        <v>2.794E-2</v>
      </c>
      <c r="BN204" s="118">
        <v>135</v>
      </c>
      <c r="BO204" s="118">
        <v>25.07</v>
      </c>
      <c r="BP204" s="118"/>
      <c r="BQ204" s="118"/>
      <c r="BR204" s="118"/>
    </row>
    <row r="205" spans="1:70">
      <c r="A205" s="122">
        <v>31012</v>
      </c>
      <c r="B205" s="122" t="s">
        <v>874</v>
      </c>
      <c r="C205" s="122" t="s">
        <v>875</v>
      </c>
      <c r="D205" s="122" t="s">
        <v>876</v>
      </c>
      <c r="E205" s="122" t="s">
        <v>1417</v>
      </c>
      <c r="F205" s="122" t="s">
        <v>1418</v>
      </c>
      <c r="G205" s="163" t="s">
        <v>1419</v>
      </c>
      <c r="H205" s="122">
        <v>12</v>
      </c>
      <c r="I205" s="122" t="s">
        <v>713</v>
      </c>
      <c r="J205" s="118">
        <v>250</v>
      </c>
      <c r="K205" s="118"/>
      <c r="L205" s="118">
        <v>0</v>
      </c>
      <c r="M205" s="118">
        <v>0</v>
      </c>
      <c r="N205" s="118">
        <v>65</v>
      </c>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row>
    <row r="206" spans="1:70">
      <c r="A206" s="122">
        <v>31013</v>
      </c>
      <c r="B206" s="122" t="s">
        <v>877</v>
      </c>
      <c r="C206" s="122" t="s">
        <v>878</v>
      </c>
      <c r="D206" s="122" t="s">
        <v>879</v>
      </c>
      <c r="E206" s="122" t="s">
        <v>82</v>
      </c>
      <c r="F206" s="122" t="s">
        <v>880</v>
      </c>
      <c r="G206" s="163" t="s">
        <v>881</v>
      </c>
      <c r="H206" s="122">
        <v>14</v>
      </c>
      <c r="I206" s="122" t="s">
        <v>291</v>
      </c>
      <c r="J206" s="118">
        <v>33.700000000000003</v>
      </c>
      <c r="K206" s="118">
        <v>86.04</v>
      </c>
      <c r="L206" s="118">
        <v>1.1499999999999999</v>
      </c>
      <c r="M206" s="118">
        <v>1.67</v>
      </c>
      <c r="N206" s="118">
        <v>2.87</v>
      </c>
      <c r="O206" s="118">
        <v>7.25</v>
      </c>
      <c r="P206" s="118">
        <v>0.01</v>
      </c>
      <c r="Q206" s="118">
        <v>0.02</v>
      </c>
      <c r="R206" s="118">
        <v>0.25</v>
      </c>
      <c r="S206" s="118">
        <v>0.67</v>
      </c>
      <c r="T206" s="118">
        <v>0.08</v>
      </c>
      <c r="U206" s="118">
        <v>8.7200000000000006</v>
      </c>
      <c r="V206" s="118"/>
      <c r="W206" s="118">
        <v>135</v>
      </c>
      <c r="X206" s="118">
        <v>1.43</v>
      </c>
      <c r="Y206" s="118">
        <v>0.04</v>
      </c>
      <c r="Z206" s="118">
        <v>2.5</v>
      </c>
      <c r="AA206" s="118"/>
      <c r="AB206" s="125">
        <f>AA206+1/12*(AD206)+1/24*(AC206)+1/24*(AG206)</f>
        <v>1.3033333333333332</v>
      </c>
      <c r="AC206" s="118"/>
      <c r="AD206" s="118">
        <v>15.64</v>
      </c>
      <c r="AE206" s="118">
        <v>6.12</v>
      </c>
      <c r="AF206" s="118"/>
      <c r="AG206" s="118"/>
      <c r="AH206" s="118">
        <v>1.1399999999999999</v>
      </c>
      <c r="AI206" s="118">
        <v>10.81</v>
      </c>
      <c r="AJ206" s="118">
        <v>0.71</v>
      </c>
      <c r="AK206" s="118">
        <v>0.87</v>
      </c>
      <c r="AL206" s="118">
        <v>24.45</v>
      </c>
      <c r="AM206" s="118">
        <v>0.24</v>
      </c>
      <c r="AN206" s="118">
        <v>32.619999999999997</v>
      </c>
      <c r="AO206" s="118">
        <v>351</v>
      </c>
      <c r="AP206" s="118">
        <v>1.57</v>
      </c>
      <c r="AQ206" s="118">
        <v>0.25</v>
      </c>
      <c r="AR206" s="118">
        <v>6.6799999999999998E-2</v>
      </c>
      <c r="AS206" s="118">
        <v>2.41E-2</v>
      </c>
      <c r="AT206" s="118">
        <v>5.2600000000000001E-2</v>
      </c>
      <c r="AU206" s="118"/>
      <c r="AV206" s="118">
        <v>3.08</v>
      </c>
      <c r="AW206" s="118">
        <v>2.86</v>
      </c>
      <c r="AX206" s="118">
        <v>4.8499999999999996</v>
      </c>
      <c r="AY206" s="118">
        <v>1.98</v>
      </c>
      <c r="AZ206" s="118">
        <v>1.25</v>
      </c>
      <c r="BA206" s="118">
        <v>1.18</v>
      </c>
      <c r="BB206" s="118">
        <v>3.86</v>
      </c>
      <c r="BC206" s="118">
        <v>3.66</v>
      </c>
      <c r="BD206" s="118">
        <v>0.85</v>
      </c>
      <c r="BE206" s="118">
        <v>4.62</v>
      </c>
      <c r="BF206" s="118">
        <v>5.62</v>
      </c>
      <c r="BG206" s="118">
        <v>4.21</v>
      </c>
      <c r="BH206" s="118">
        <v>15.38</v>
      </c>
      <c r="BI206" s="118">
        <v>15.62</v>
      </c>
      <c r="BJ206" s="118">
        <v>3.85</v>
      </c>
      <c r="BK206" s="118">
        <v>3.82</v>
      </c>
      <c r="BL206" s="118">
        <v>4.8499999999999996</v>
      </c>
      <c r="BM206" s="118">
        <v>3.12</v>
      </c>
      <c r="BN206" s="118">
        <v>10.65</v>
      </c>
      <c r="BO206" s="118">
        <v>4.92</v>
      </c>
      <c r="BP206" s="118">
        <v>5.88</v>
      </c>
      <c r="BQ206" s="118"/>
      <c r="BR206" s="118"/>
    </row>
    <row r="207" spans="1:70">
      <c r="A207" s="122">
        <v>32029</v>
      </c>
      <c r="B207" s="122" t="s">
        <v>882</v>
      </c>
      <c r="C207" s="122" t="s">
        <v>883</v>
      </c>
      <c r="D207" s="127" t="s">
        <v>884</v>
      </c>
      <c r="E207" s="122" t="s">
        <v>76</v>
      </c>
      <c r="F207" s="122" t="s">
        <v>1420</v>
      </c>
      <c r="G207" s="163" t="s">
        <v>1421</v>
      </c>
      <c r="H207" s="122">
        <v>14</v>
      </c>
      <c r="I207" s="122" t="s">
        <v>291</v>
      </c>
      <c r="J207" s="118">
        <v>62</v>
      </c>
      <c r="K207" s="118">
        <v>83</v>
      </c>
      <c r="L207" s="118">
        <v>0.6</v>
      </c>
      <c r="M207" s="118">
        <v>0.3</v>
      </c>
      <c r="N207" s="118">
        <v>12.3</v>
      </c>
      <c r="O207" s="118">
        <v>3.6</v>
      </c>
      <c r="P207" s="118">
        <v>0.03</v>
      </c>
      <c r="Q207" s="118">
        <v>0.03</v>
      </c>
      <c r="R207" s="118">
        <v>0.22</v>
      </c>
      <c r="S207" s="118">
        <v>0.05</v>
      </c>
      <c r="T207" s="118">
        <v>0.02</v>
      </c>
      <c r="U207" s="118">
        <v>8</v>
      </c>
      <c r="V207" s="118"/>
      <c r="W207" s="118">
        <v>3.8</v>
      </c>
      <c r="X207" s="118">
        <v>0.22</v>
      </c>
      <c r="Y207" s="118">
        <v>0.12</v>
      </c>
      <c r="Z207" s="118">
        <v>12.57</v>
      </c>
      <c r="AA207" s="118">
        <v>0</v>
      </c>
      <c r="AB207" s="118">
        <v>0</v>
      </c>
      <c r="AC207" s="118">
        <v>0</v>
      </c>
      <c r="AD207" s="118">
        <v>13.16</v>
      </c>
      <c r="AE207" s="118">
        <v>14.7</v>
      </c>
      <c r="AF207" s="118"/>
      <c r="AG207" s="118">
        <v>1.44</v>
      </c>
      <c r="AH207" s="118">
        <v>2.77</v>
      </c>
      <c r="AI207" s="118">
        <v>6</v>
      </c>
      <c r="AJ207" s="118">
        <v>0.06</v>
      </c>
      <c r="AK207" s="118">
        <v>0.5</v>
      </c>
      <c r="AL207" s="118">
        <v>8</v>
      </c>
      <c r="AM207" s="118">
        <v>0.08</v>
      </c>
      <c r="AN207" s="118">
        <v>11</v>
      </c>
      <c r="AO207" s="118">
        <v>131.4</v>
      </c>
      <c r="AP207" s="118"/>
      <c r="AQ207" s="118">
        <v>0.08</v>
      </c>
      <c r="AR207" s="118">
        <v>0.08</v>
      </c>
      <c r="AS207" s="118">
        <v>0.02</v>
      </c>
      <c r="AT207" s="118">
        <v>0.1</v>
      </c>
      <c r="AU207" s="118"/>
      <c r="AV207" s="124">
        <v>5.0000000000000001E-3</v>
      </c>
      <c r="AW207" s="124">
        <v>1.3140000000000001E-2</v>
      </c>
      <c r="AX207" s="124">
        <v>1.7819999999999999E-2</v>
      </c>
      <c r="AY207" s="124">
        <v>8.1700000000000002E-3</v>
      </c>
      <c r="AZ207" s="124">
        <v>3.7799999999999999E-3</v>
      </c>
      <c r="BA207" s="124">
        <v>3.13E-3</v>
      </c>
      <c r="BB207" s="124">
        <v>1.094E-2</v>
      </c>
      <c r="BC207" s="124">
        <v>1.3099999999999999E-2</v>
      </c>
      <c r="BD207" s="124">
        <v>2.0899999999999998E-3</v>
      </c>
      <c r="BE207" s="124">
        <v>1.8359999999999998E-2</v>
      </c>
      <c r="BF207" s="124">
        <v>2.3579999999999997E-2</v>
      </c>
      <c r="BG207" s="124">
        <v>8.9300000000000004E-3</v>
      </c>
      <c r="BH207" s="124">
        <v>9.018000000000001E-2</v>
      </c>
      <c r="BI207" s="124">
        <v>4.2009999999999999E-2</v>
      </c>
      <c r="BJ207" s="124">
        <v>1.5519999999999999E-2</v>
      </c>
      <c r="BK207" s="124">
        <v>1.3099999999999999E-2</v>
      </c>
      <c r="BL207" s="124">
        <v>1.6059999999999998E-2</v>
      </c>
      <c r="BM207" s="124">
        <v>4.9000000000000007E-3</v>
      </c>
      <c r="BN207" s="118">
        <v>10.5</v>
      </c>
      <c r="BO207" s="118">
        <v>4.83</v>
      </c>
      <c r="BP207" s="118"/>
      <c r="BQ207" s="118"/>
      <c r="BR207" s="118"/>
    </row>
    <row r="208" spans="1:70">
      <c r="A208" s="122">
        <v>86001</v>
      </c>
      <c r="B208" s="122" t="s">
        <v>886</v>
      </c>
      <c r="C208" s="122" t="s">
        <v>887</v>
      </c>
      <c r="D208" s="122"/>
      <c r="E208" s="122" t="s">
        <v>76</v>
      </c>
      <c r="F208" s="122" t="s">
        <v>1422</v>
      </c>
      <c r="G208" s="163" t="s">
        <v>1423</v>
      </c>
      <c r="H208" s="122">
        <v>19</v>
      </c>
      <c r="I208" s="122" t="s">
        <v>138</v>
      </c>
      <c r="J208" s="118">
        <v>398</v>
      </c>
      <c r="K208" s="118">
        <v>0.4</v>
      </c>
      <c r="L208" s="118">
        <v>0</v>
      </c>
      <c r="M208" s="118">
        <v>0</v>
      </c>
      <c r="N208" s="118">
        <v>99.5</v>
      </c>
      <c r="O208" s="118">
        <v>0</v>
      </c>
      <c r="P208" s="118">
        <v>0</v>
      </c>
      <c r="Q208" s="118">
        <v>0</v>
      </c>
      <c r="R208" s="118">
        <v>0</v>
      </c>
      <c r="S208" s="118"/>
      <c r="T208" s="118">
        <v>0</v>
      </c>
      <c r="U208" s="118">
        <v>0</v>
      </c>
      <c r="V208" s="118">
        <v>0</v>
      </c>
      <c r="W208" s="118">
        <v>0</v>
      </c>
      <c r="X208" s="118">
        <v>0</v>
      </c>
      <c r="Y208" s="118">
        <v>0</v>
      </c>
      <c r="Z208" s="118">
        <v>0</v>
      </c>
      <c r="AA208" s="118">
        <v>0</v>
      </c>
      <c r="AB208" s="118">
        <v>0</v>
      </c>
      <c r="AC208" s="118">
        <v>0</v>
      </c>
      <c r="AD208" s="118">
        <v>0</v>
      </c>
      <c r="AE208" s="118"/>
      <c r="AF208" s="118"/>
      <c r="AG208" s="118"/>
      <c r="AH208" s="118"/>
      <c r="AI208" s="118">
        <v>12</v>
      </c>
      <c r="AJ208" s="118">
        <v>0.12</v>
      </c>
      <c r="AK208" s="118">
        <v>0.16</v>
      </c>
      <c r="AL208" s="118">
        <v>2</v>
      </c>
      <c r="AM208" s="118">
        <v>4.0000000000000001E-3</v>
      </c>
      <c r="AN208" s="118">
        <v>1</v>
      </c>
      <c r="AO208" s="118">
        <v>5</v>
      </c>
      <c r="AP208" s="118">
        <v>0.6</v>
      </c>
      <c r="AQ208" s="118">
        <v>0.1</v>
      </c>
      <c r="AR208" s="118">
        <v>0.14000000000000001</v>
      </c>
      <c r="AS208" s="118"/>
      <c r="AT208" s="118"/>
      <c r="AU208" s="118"/>
      <c r="AV208" s="124"/>
      <c r="AW208" s="124"/>
      <c r="AX208" s="124"/>
      <c r="AY208" s="124"/>
      <c r="AZ208" s="124"/>
      <c r="BA208" s="124"/>
      <c r="BB208" s="124"/>
      <c r="BC208" s="124"/>
      <c r="BD208" s="124"/>
      <c r="BE208" s="124"/>
      <c r="BF208" s="124"/>
      <c r="BG208" s="124"/>
      <c r="BH208" s="124"/>
      <c r="BI208" s="124"/>
      <c r="BJ208" s="124"/>
      <c r="BK208" s="124"/>
      <c r="BL208" s="124"/>
      <c r="BM208" s="124"/>
      <c r="BN208" s="118"/>
      <c r="BO208" s="118"/>
      <c r="BP208" s="118"/>
      <c r="BQ208" s="118"/>
      <c r="BR208" s="118"/>
    </row>
    <row r="209" spans="1:70">
      <c r="A209" s="122">
        <v>13008</v>
      </c>
      <c r="B209" s="122" t="s">
        <v>889</v>
      </c>
      <c r="C209" s="122" t="s">
        <v>890</v>
      </c>
      <c r="D209" s="122" t="s">
        <v>70</v>
      </c>
      <c r="E209" s="122" t="s">
        <v>103</v>
      </c>
      <c r="F209" s="122">
        <v>16157</v>
      </c>
      <c r="G209" s="163" t="s">
        <v>891</v>
      </c>
      <c r="H209" s="122">
        <v>3</v>
      </c>
      <c r="I209" s="122" t="s">
        <v>72</v>
      </c>
      <c r="J209" s="118">
        <v>387</v>
      </c>
      <c r="K209" s="118">
        <v>10.3</v>
      </c>
      <c r="L209" s="118">
        <v>22.4</v>
      </c>
      <c r="M209" s="118">
        <v>6.69</v>
      </c>
      <c r="N209" s="118">
        <v>57.8</v>
      </c>
      <c r="O209" s="118">
        <v>10.8</v>
      </c>
      <c r="P209" s="118">
        <v>0.48599999999999999</v>
      </c>
      <c r="Q209" s="118">
        <v>0.106</v>
      </c>
      <c r="R209" s="118">
        <v>1.76</v>
      </c>
      <c r="S209" s="118">
        <v>0.60599999999999998</v>
      </c>
      <c r="T209" s="118">
        <v>0.49199999999999999</v>
      </c>
      <c r="U209" s="118">
        <v>437</v>
      </c>
      <c r="V209" s="118">
        <v>0</v>
      </c>
      <c r="W209" s="118">
        <v>0</v>
      </c>
      <c r="X209" s="118">
        <v>0</v>
      </c>
      <c r="Y209" s="118">
        <v>0.83</v>
      </c>
      <c r="Z209" s="118">
        <v>9.1</v>
      </c>
      <c r="AA209" s="118">
        <v>0</v>
      </c>
      <c r="AB209" s="118">
        <v>2</v>
      </c>
      <c r="AC209" s="118">
        <v>0</v>
      </c>
      <c r="AD209" s="118">
        <v>25</v>
      </c>
      <c r="AE209" s="118">
        <v>0</v>
      </c>
      <c r="AF209" s="118">
        <v>0</v>
      </c>
      <c r="AG209" s="118">
        <v>0</v>
      </c>
      <c r="AH209" s="118">
        <v>0</v>
      </c>
      <c r="AI209" s="118">
        <v>45</v>
      </c>
      <c r="AJ209" s="118">
        <v>0.91200000000000003</v>
      </c>
      <c r="AK209" s="118">
        <v>4.8600000000000003</v>
      </c>
      <c r="AL209" s="118">
        <v>166</v>
      </c>
      <c r="AM209" s="118">
        <v>1.6</v>
      </c>
      <c r="AN209" s="118">
        <v>318</v>
      </c>
      <c r="AO209" s="118">
        <v>846</v>
      </c>
      <c r="AP209" s="118">
        <v>8.3000000000000007</v>
      </c>
      <c r="AQ209" s="118">
        <v>2.81</v>
      </c>
      <c r="AR209" s="118">
        <v>0.69299999999999995</v>
      </c>
      <c r="AS209" s="118">
        <v>1.5</v>
      </c>
      <c r="AT209" s="118">
        <v>2.98</v>
      </c>
      <c r="AU209" s="118">
        <v>0</v>
      </c>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row>
    <row r="210" spans="1:70">
      <c r="A210" s="122">
        <v>12013</v>
      </c>
      <c r="B210" s="122" t="s">
        <v>892</v>
      </c>
      <c r="C210" s="122" t="s">
        <v>893</v>
      </c>
      <c r="D210" s="122"/>
      <c r="E210" s="122" t="s">
        <v>76</v>
      </c>
      <c r="F210" s="122" t="s">
        <v>1424</v>
      </c>
      <c r="G210" s="163" t="s">
        <v>1425</v>
      </c>
      <c r="H210" s="122">
        <v>1</v>
      </c>
      <c r="I210" s="122" t="s">
        <v>150</v>
      </c>
      <c r="J210" s="118">
        <v>347</v>
      </c>
      <c r="K210" s="118">
        <v>11.7</v>
      </c>
      <c r="L210" s="118">
        <v>8.91</v>
      </c>
      <c r="M210" s="118">
        <v>0.62</v>
      </c>
      <c r="N210" s="118">
        <v>74.87</v>
      </c>
      <c r="O210" s="118">
        <v>3.2</v>
      </c>
      <c r="P210" s="118">
        <v>0.19</v>
      </c>
      <c r="Q210" s="118">
        <v>0.05</v>
      </c>
      <c r="R210" s="118">
        <v>1.8</v>
      </c>
      <c r="S210" s="118">
        <v>0.52</v>
      </c>
      <c r="T210" s="118">
        <v>0.14000000000000001</v>
      </c>
      <c r="U210" s="118">
        <v>18</v>
      </c>
      <c r="V210" s="118">
        <v>0</v>
      </c>
      <c r="W210" s="118">
        <v>0</v>
      </c>
      <c r="X210" s="118">
        <v>4.05</v>
      </c>
      <c r="Y210" s="118">
        <v>0.11</v>
      </c>
      <c r="Z210" s="118">
        <v>1</v>
      </c>
      <c r="AA210" s="118">
        <v>0</v>
      </c>
      <c r="AB210" s="118">
        <v>0</v>
      </c>
      <c r="AC210" s="118">
        <v>0</v>
      </c>
      <c r="AD210" s="118">
        <v>1.68</v>
      </c>
      <c r="AE210" s="118"/>
      <c r="AF210" s="118"/>
      <c r="AG210" s="118"/>
      <c r="AH210" s="118"/>
      <c r="AI210" s="118">
        <v>22</v>
      </c>
      <c r="AJ210" s="118">
        <v>0.28999999999999998</v>
      </c>
      <c r="AK210" s="118">
        <v>2</v>
      </c>
      <c r="AL210" s="118">
        <v>42</v>
      </c>
      <c r="AM210" s="118">
        <v>0.67</v>
      </c>
      <c r="AN210" s="118">
        <v>92</v>
      </c>
      <c r="AO210" s="118">
        <v>140</v>
      </c>
      <c r="AP210" s="118">
        <v>15.33</v>
      </c>
      <c r="AQ210" s="118">
        <v>1.38</v>
      </c>
      <c r="AR210" s="118">
        <v>0.06</v>
      </c>
      <c r="AS210" s="118">
        <v>0.04</v>
      </c>
      <c r="AT210" s="118">
        <v>0.22</v>
      </c>
      <c r="AU210" s="118"/>
      <c r="AV210" s="124">
        <v>0.17072000000000001</v>
      </c>
      <c r="AW210" s="124">
        <v>0.15131999999999998</v>
      </c>
      <c r="AX210" s="124">
        <v>0.50731000000000004</v>
      </c>
      <c r="AY210" s="124">
        <v>0.17751</v>
      </c>
      <c r="AZ210" s="124">
        <v>0.11348999999999999</v>
      </c>
      <c r="BA210" s="124">
        <v>0.17751</v>
      </c>
      <c r="BB210" s="124">
        <v>0.4753</v>
      </c>
      <c r="BC210" s="124">
        <v>0.21922</v>
      </c>
      <c r="BD210" s="124">
        <v>0.10379000000000001</v>
      </c>
      <c r="BE210" s="124">
        <v>0.34338000000000002</v>
      </c>
      <c r="BF210" s="124">
        <v>0.34823000000000004</v>
      </c>
      <c r="BG210" s="124">
        <v>0.28905999999999998</v>
      </c>
      <c r="BH210" s="124">
        <v>0.52283000000000002</v>
      </c>
      <c r="BI210" s="124">
        <v>3.10012</v>
      </c>
      <c r="BJ210" s="124">
        <v>0.44037999999999999</v>
      </c>
      <c r="BK210" s="124">
        <v>0.95933000000000002</v>
      </c>
      <c r="BL210" s="124">
        <v>0.51700999999999997</v>
      </c>
      <c r="BM210" s="124">
        <v>0.21146000000000001</v>
      </c>
      <c r="BN210" s="118">
        <v>5.55</v>
      </c>
      <c r="BO210" s="118">
        <v>168</v>
      </c>
      <c r="BP210" s="118"/>
      <c r="BQ210" s="118"/>
      <c r="BR210" s="118"/>
    </row>
    <row r="211" spans="1:70">
      <c r="A211" s="122">
        <v>86002</v>
      </c>
      <c r="B211" s="122" t="s">
        <v>895</v>
      </c>
      <c r="C211" s="122" t="s">
        <v>896</v>
      </c>
      <c r="D211" s="122" t="s">
        <v>897</v>
      </c>
      <c r="E211" s="122" t="s">
        <v>76</v>
      </c>
      <c r="F211" s="122" t="s">
        <v>1426</v>
      </c>
      <c r="G211" s="163" t="s">
        <v>1427</v>
      </c>
      <c r="H211" s="122">
        <v>19</v>
      </c>
      <c r="I211" s="122" t="s">
        <v>138</v>
      </c>
      <c r="J211" s="118">
        <v>385</v>
      </c>
      <c r="K211" s="118">
        <v>3.4</v>
      </c>
      <c r="L211" s="118">
        <v>0.5</v>
      </c>
      <c r="M211" s="118">
        <v>0.1</v>
      </c>
      <c r="N211" s="118">
        <v>95.4</v>
      </c>
      <c r="O211" s="118">
        <v>0</v>
      </c>
      <c r="P211" s="118">
        <v>0.04</v>
      </c>
      <c r="Q211" s="118">
        <v>0.04</v>
      </c>
      <c r="R211" s="118">
        <v>0.02</v>
      </c>
      <c r="S211" s="118"/>
      <c r="T211" s="118">
        <v>0.71</v>
      </c>
      <c r="U211" s="118">
        <v>14.4</v>
      </c>
      <c r="V211" s="118"/>
      <c r="W211" s="118">
        <v>0</v>
      </c>
      <c r="X211" s="118">
        <v>0.47</v>
      </c>
      <c r="Y211" s="118">
        <v>0.04</v>
      </c>
      <c r="Z211" s="118"/>
      <c r="AA211" s="118">
        <v>0</v>
      </c>
      <c r="AB211" s="118">
        <v>0</v>
      </c>
      <c r="AC211" s="118"/>
      <c r="AD211" s="118"/>
      <c r="AE211" s="118"/>
      <c r="AF211" s="118"/>
      <c r="AG211" s="118"/>
      <c r="AH211" s="118"/>
      <c r="AI211" s="118">
        <v>92</v>
      </c>
      <c r="AJ211" s="118">
        <v>0.75</v>
      </c>
      <c r="AK211" s="118">
        <v>1.6</v>
      </c>
      <c r="AL211" s="118">
        <v>120</v>
      </c>
      <c r="AM211" s="118">
        <v>0.72</v>
      </c>
      <c r="AN211" s="118">
        <v>72</v>
      </c>
      <c r="AO211" s="118">
        <v>290</v>
      </c>
      <c r="AP211" s="118"/>
      <c r="AQ211" s="118">
        <v>0.1</v>
      </c>
      <c r="AR211" s="118">
        <v>7.0000000000000007E-2</v>
      </c>
      <c r="AS211" s="118">
        <v>0.02</v>
      </c>
      <c r="AT211" s="118">
        <v>0.03</v>
      </c>
      <c r="AU211" s="118"/>
      <c r="AV211" s="124">
        <v>3.0339999999999999E-2</v>
      </c>
      <c r="AW211" s="124">
        <v>4.2000000000000003E-2</v>
      </c>
      <c r="AX211" s="124">
        <v>5.4950000000000006E-2</v>
      </c>
      <c r="AY211" s="124">
        <v>5.0509999999999999E-2</v>
      </c>
      <c r="AZ211" s="124">
        <v>8.1400000000000014E-3</v>
      </c>
      <c r="BA211" s="124">
        <v>9.0699999999999999E-3</v>
      </c>
      <c r="BB211" s="124">
        <v>8.9169999999999999E-2</v>
      </c>
      <c r="BC211" s="124">
        <v>4.0329999999999998E-2</v>
      </c>
      <c r="BD211" s="124">
        <v>1.0919999999999999E-2</v>
      </c>
      <c r="BE211" s="124">
        <v>6.3829999999999998E-2</v>
      </c>
      <c r="BF211" s="124">
        <v>8.3809999999999996E-2</v>
      </c>
      <c r="BG211" s="124">
        <v>5.5689999999999996E-2</v>
      </c>
      <c r="BH211" s="124">
        <v>0.57794000000000001</v>
      </c>
      <c r="BI211" s="124">
        <v>0.23846999999999999</v>
      </c>
      <c r="BJ211" s="124">
        <v>5.0320000000000004E-2</v>
      </c>
      <c r="BK211" s="124">
        <v>3.1640000000000001E-2</v>
      </c>
      <c r="BL211" s="124">
        <v>6.1789999999999998E-2</v>
      </c>
      <c r="BM211" s="124">
        <v>1.8499999999999999E-2</v>
      </c>
      <c r="BN211" s="118">
        <v>127</v>
      </c>
      <c r="BO211" s="118"/>
      <c r="BP211" s="118"/>
      <c r="BQ211" s="118"/>
      <c r="BR211" s="118"/>
    </row>
    <row r="212" spans="1:70">
      <c r="A212" s="122">
        <v>12014</v>
      </c>
      <c r="B212" s="122" t="s">
        <v>899</v>
      </c>
      <c r="C212" s="122" t="s">
        <v>900</v>
      </c>
      <c r="D212" s="122" t="s">
        <v>901</v>
      </c>
      <c r="E212" s="122" t="s">
        <v>76</v>
      </c>
      <c r="F212" s="122" t="s">
        <v>1428</v>
      </c>
      <c r="G212" s="163" t="s">
        <v>1429</v>
      </c>
      <c r="H212" s="122">
        <v>1</v>
      </c>
      <c r="I212" s="122" t="s">
        <v>150</v>
      </c>
      <c r="J212" s="118">
        <v>346</v>
      </c>
      <c r="K212" s="118">
        <v>12.76</v>
      </c>
      <c r="L212" s="118">
        <v>10.86</v>
      </c>
      <c r="M212" s="118">
        <v>1.35</v>
      </c>
      <c r="N212" s="118">
        <v>70.599999999999994</v>
      </c>
      <c r="O212" s="118">
        <v>3.9</v>
      </c>
      <c r="P212" s="118">
        <v>0.18</v>
      </c>
      <c r="Q212" s="118">
        <v>0.05</v>
      </c>
      <c r="R212" s="118">
        <v>2.16</v>
      </c>
      <c r="S212" s="118">
        <v>0.75</v>
      </c>
      <c r="T212" s="118">
        <v>0.09</v>
      </c>
      <c r="U212" s="118">
        <v>57</v>
      </c>
      <c r="V212" s="118"/>
      <c r="W212" s="118">
        <v>0</v>
      </c>
      <c r="X212" s="118">
        <v>8.14</v>
      </c>
      <c r="Y212" s="118">
        <v>0.1</v>
      </c>
      <c r="Z212" s="118">
        <v>1.2</v>
      </c>
      <c r="AA212" s="118">
        <v>0</v>
      </c>
      <c r="AB212" s="118">
        <v>0</v>
      </c>
      <c r="AC212" s="118"/>
      <c r="AD212" s="118">
        <v>1.6</v>
      </c>
      <c r="AE212" s="118">
        <v>29.94</v>
      </c>
      <c r="AF212" s="118"/>
      <c r="AG212" s="118"/>
      <c r="AH212" s="118">
        <v>1.3</v>
      </c>
      <c r="AI212" s="118">
        <v>16.93</v>
      </c>
      <c r="AJ212" s="118">
        <v>0.25</v>
      </c>
      <c r="AK212" s="118">
        <v>1.07</v>
      </c>
      <c r="AL212" s="118">
        <v>39.5</v>
      </c>
      <c r="AM212" s="118">
        <v>1.98</v>
      </c>
      <c r="AN212" s="118">
        <v>104.7</v>
      </c>
      <c r="AO212" s="118">
        <v>157.66999999999999</v>
      </c>
      <c r="AP212" s="118">
        <v>10.93</v>
      </c>
      <c r="AQ212" s="118">
        <v>2.1800000000000002</v>
      </c>
      <c r="AR212" s="118">
        <v>0.2</v>
      </c>
      <c r="AS212" s="118">
        <v>0.2</v>
      </c>
      <c r="AT212" s="118">
        <v>0.6</v>
      </c>
      <c r="AU212" s="118">
        <v>0</v>
      </c>
      <c r="AV212" s="124">
        <v>0.27083999999999997</v>
      </c>
      <c r="AW212" s="124">
        <v>0.39033000000000001</v>
      </c>
      <c r="AX212" s="124">
        <v>0.76360000000000006</v>
      </c>
      <c r="AY212" s="124">
        <v>0.28905000000000003</v>
      </c>
      <c r="AZ212" s="124">
        <v>0.17867</v>
      </c>
      <c r="BA212" s="124">
        <v>0.20369999999999999</v>
      </c>
      <c r="BB212" s="124">
        <v>0.54283000000000003</v>
      </c>
      <c r="BC212" s="124">
        <v>0.30839999999999995</v>
      </c>
      <c r="BD212" s="124">
        <v>0.11835</v>
      </c>
      <c r="BE212" s="124">
        <v>0.50868999999999998</v>
      </c>
      <c r="BF212" s="124">
        <v>0.39374999999999999</v>
      </c>
      <c r="BG212" s="124">
        <v>0.49389</v>
      </c>
      <c r="BH212" s="124">
        <v>0.56216999999999995</v>
      </c>
      <c r="BI212" s="124">
        <v>3.5334899999999996</v>
      </c>
      <c r="BJ212" s="124">
        <v>0.39829999999999999</v>
      </c>
      <c r="BK212" s="124">
        <v>1.07996</v>
      </c>
      <c r="BL212" s="124">
        <v>0.50527</v>
      </c>
      <c r="BM212" s="124">
        <v>0.34139999999999998</v>
      </c>
      <c r="BN212" s="118">
        <v>6.5</v>
      </c>
      <c r="BO212" s="118">
        <v>367</v>
      </c>
      <c r="BP212" s="118"/>
      <c r="BQ212" s="118"/>
      <c r="BR212" s="118"/>
    </row>
    <row r="213" spans="1:70">
      <c r="A213" s="122">
        <v>90001</v>
      </c>
      <c r="B213" s="122" t="s">
        <v>903</v>
      </c>
      <c r="C213" s="122"/>
      <c r="D213" s="122"/>
      <c r="E213" s="122" t="s">
        <v>1417</v>
      </c>
      <c r="F213" s="122">
        <v>604350</v>
      </c>
      <c r="G213" s="163" t="s">
        <v>1430</v>
      </c>
      <c r="H213" s="122">
        <v>21</v>
      </c>
      <c r="I213" s="122" t="s">
        <v>78</v>
      </c>
      <c r="J213" s="118">
        <v>0</v>
      </c>
      <c r="K213" s="118"/>
      <c r="L213" s="118">
        <v>0</v>
      </c>
      <c r="M213" s="118">
        <v>0</v>
      </c>
      <c r="N213" s="118">
        <v>0</v>
      </c>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row>
    <row r="214" spans="1:70">
      <c r="A214" s="122">
        <v>90011</v>
      </c>
      <c r="B214" s="122" t="s">
        <v>904</v>
      </c>
      <c r="C214" s="122" t="s">
        <v>905</v>
      </c>
      <c r="D214" s="122"/>
      <c r="E214" s="122" t="s">
        <v>122</v>
      </c>
      <c r="F214" s="122">
        <v>746775</v>
      </c>
      <c r="G214" s="163" t="s">
        <v>906</v>
      </c>
      <c r="H214" s="122">
        <v>21</v>
      </c>
      <c r="I214" s="122" t="s">
        <v>78</v>
      </c>
      <c r="J214" s="118"/>
      <c r="K214" s="118">
        <v>0.42</v>
      </c>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v>50</v>
      </c>
      <c r="AJ214" s="118">
        <v>0</v>
      </c>
      <c r="AK214" s="118">
        <v>0</v>
      </c>
      <c r="AL214" s="118">
        <v>0</v>
      </c>
      <c r="AM214" s="118">
        <v>3.2000000000000001E-2</v>
      </c>
      <c r="AN214" s="118">
        <v>0</v>
      </c>
      <c r="AO214" s="118">
        <v>2</v>
      </c>
      <c r="AP214" s="118"/>
      <c r="AQ214" s="118">
        <v>0</v>
      </c>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row>
    <row r="215" spans="1:70">
      <c r="A215" s="122">
        <v>14003</v>
      </c>
      <c r="B215" s="122" t="s">
        <v>913</v>
      </c>
      <c r="C215" s="122" t="s">
        <v>914</v>
      </c>
      <c r="D215" s="122" t="s">
        <v>915</v>
      </c>
      <c r="E215" s="122" t="s">
        <v>1152</v>
      </c>
      <c r="F215" s="122" t="s">
        <v>1431</v>
      </c>
      <c r="G215" s="163" t="s">
        <v>1432</v>
      </c>
      <c r="H215" s="122">
        <v>4</v>
      </c>
      <c r="I215" s="122" t="s">
        <v>202</v>
      </c>
      <c r="J215" s="118">
        <v>343</v>
      </c>
      <c r="K215" s="118">
        <v>14</v>
      </c>
      <c r="L215" s="118">
        <v>0.7</v>
      </c>
      <c r="M215" s="118">
        <v>0.2</v>
      </c>
      <c r="N215" s="118">
        <v>84.7</v>
      </c>
      <c r="O215" s="118"/>
      <c r="P215" s="118">
        <v>0.01</v>
      </c>
      <c r="Q215" s="118"/>
      <c r="R215" s="118"/>
      <c r="S215" s="118"/>
      <c r="T215" s="118"/>
      <c r="U215" s="118"/>
      <c r="V215" s="118"/>
      <c r="W215" s="118"/>
      <c r="X215" s="118"/>
      <c r="Y215" s="118"/>
      <c r="Z215" s="118"/>
      <c r="AA215" s="118"/>
      <c r="AB215" s="118"/>
      <c r="AC215" s="118"/>
      <c r="AD215" s="118"/>
      <c r="AE215" s="118"/>
      <c r="AF215" s="118"/>
      <c r="AG215" s="118"/>
      <c r="AH215" s="118"/>
      <c r="AI215" s="118">
        <v>11</v>
      </c>
      <c r="AJ215" s="118"/>
      <c r="AK215" s="118">
        <v>1.5</v>
      </c>
      <c r="AL215" s="118"/>
      <c r="AM215" s="118"/>
      <c r="AN215" s="118">
        <v>13</v>
      </c>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row>
    <row r="216" spans="1:70">
      <c r="A216" s="122">
        <v>64001</v>
      </c>
      <c r="B216" s="122" t="s">
        <v>919</v>
      </c>
      <c r="C216" s="122" t="s">
        <v>920</v>
      </c>
      <c r="D216" s="122" t="s">
        <v>921</v>
      </c>
      <c r="E216" s="122" t="s">
        <v>76</v>
      </c>
      <c r="F216" s="122" t="s">
        <v>1433</v>
      </c>
      <c r="G216" s="163" t="s">
        <v>1434</v>
      </c>
      <c r="H216" s="122">
        <v>2</v>
      </c>
      <c r="I216" s="122" t="s">
        <v>197</v>
      </c>
      <c r="J216" s="118">
        <v>97</v>
      </c>
      <c r="K216" s="118">
        <v>73.7</v>
      </c>
      <c r="L216" s="118">
        <v>0.9</v>
      </c>
      <c r="M216" s="118">
        <v>0.3</v>
      </c>
      <c r="N216" s="118">
        <v>21.11</v>
      </c>
      <c r="O216" s="118">
        <v>3</v>
      </c>
      <c r="P216" s="118">
        <v>0.08</v>
      </c>
      <c r="Q216" s="118">
        <v>0.06</v>
      </c>
      <c r="R216" s="118">
        <v>0.5</v>
      </c>
      <c r="S216" s="118">
        <v>0.73</v>
      </c>
      <c r="T216" s="118">
        <v>0.21</v>
      </c>
      <c r="U216" s="118">
        <v>11</v>
      </c>
      <c r="V216" s="118">
        <v>0</v>
      </c>
      <c r="W216" s="118">
        <v>23</v>
      </c>
      <c r="X216" s="118">
        <v>1.45</v>
      </c>
      <c r="Y216" s="118">
        <v>0.26</v>
      </c>
      <c r="Z216" s="118">
        <v>3</v>
      </c>
      <c r="AA216" s="118">
        <v>0</v>
      </c>
      <c r="AB216" s="118">
        <v>719.38</v>
      </c>
      <c r="AC216" s="118">
        <v>7</v>
      </c>
      <c r="AD216" s="118">
        <v>8630</v>
      </c>
      <c r="AE216" s="118"/>
      <c r="AF216" s="118"/>
      <c r="AG216" s="118"/>
      <c r="AH216" s="118"/>
      <c r="AI216" s="118">
        <v>30</v>
      </c>
      <c r="AJ216" s="118">
        <v>0.15</v>
      </c>
      <c r="AK216" s="118">
        <v>0.61</v>
      </c>
      <c r="AL216" s="118">
        <v>25</v>
      </c>
      <c r="AM216" s="118">
        <v>0.28000000000000003</v>
      </c>
      <c r="AN216" s="118">
        <v>38</v>
      </c>
      <c r="AO216" s="118">
        <v>214</v>
      </c>
      <c r="AP216" s="118"/>
      <c r="AQ216" s="118">
        <v>0.3</v>
      </c>
      <c r="AR216" s="118"/>
      <c r="AS216" s="118"/>
      <c r="AT216" s="118"/>
      <c r="AU216" s="118"/>
      <c r="AV216" s="124"/>
      <c r="AW216" s="124"/>
      <c r="AX216" s="124"/>
      <c r="AY216" s="124"/>
      <c r="AZ216" s="124"/>
      <c r="BA216" s="124"/>
      <c r="BB216" s="124"/>
      <c r="BC216" s="124"/>
      <c r="BD216" s="124"/>
      <c r="BE216" s="124"/>
      <c r="BF216" s="124"/>
      <c r="BG216" s="124"/>
      <c r="BH216" s="124"/>
      <c r="BI216" s="124"/>
      <c r="BJ216" s="124"/>
      <c r="BK216" s="124"/>
      <c r="BL216" s="124"/>
      <c r="BM216" s="124"/>
      <c r="BN216" s="118">
        <v>6.89</v>
      </c>
      <c r="BO216" s="118">
        <v>58.86</v>
      </c>
      <c r="BP216" s="118"/>
      <c r="BQ216" s="118"/>
      <c r="BR216" s="118"/>
    </row>
    <row r="217" spans="1:70">
      <c r="A217" s="122">
        <v>86004</v>
      </c>
      <c r="B217" s="122" t="s">
        <v>935</v>
      </c>
      <c r="C217" s="122" t="s">
        <v>936</v>
      </c>
      <c r="D217" s="122"/>
      <c r="E217" s="122" t="s">
        <v>76</v>
      </c>
      <c r="F217" s="122" t="s">
        <v>1435</v>
      </c>
      <c r="G217" s="163" t="s">
        <v>935</v>
      </c>
      <c r="H217" s="122">
        <v>21</v>
      </c>
      <c r="I217" s="122" t="s">
        <v>78</v>
      </c>
      <c r="J217" s="118">
        <v>326</v>
      </c>
      <c r="K217" s="118">
        <v>18.149999999999999</v>
      </c>
      <c r="L217" s="118">
        <v>0.33</v>
      </c>
      <c r="M217" s="118">
        <v>0</v>
      </c>
      <c r="N217" s="118">
        <v>81.13</v>
      </c>
      <c r="O217" s="118">
        <v>0.2</v>
      </c>
      <c r="P217" s="118">
        <v>0</v>
      </c>
      <c r="Q217" s="118">
        <v>0.06</v>
      </c>
      <c r="R217" s="118">
        <v>0.14000000000000001</v>
      </c>
      <c r="S217" s="118"/>
      <c r="T217" s="118">
        <v>0.16</v>
      </c>
      <c r="U217" s="118">
        <v>1</v>
      </c>
      <c r="V217" s="118">
        <v>0</v>
      </c>
      <c r="W217" s="118">
        <v>1.4</v>
      </c>
      <c r="X217" s="118">
        <v>0</v>
      </c>
      <c r="Y217" s="118">
        <v>0</v>
      </c>
      <c r="Z217" s="118">
        <v>0</v>
      </c>
      <c r="AA217" s="118">
        <v>0</v>
      </c>
      <c r="AB217" s="118">
        <v>0</v>
      </c>
      <c r="AC217" s="118">
        <v>0</v>
      </c>
      <c r="AD217" s="118">
        <v>0</v>
      </c>
      <c r="AE217" s="118"/>
      <c r="AF217" s="118"/>
      <c r="AG217" s="118"/>
      <c r="AH217" s="118"/>
      <c r="AI217" s="118">
        <v>5.33</v>
      </c>
      <c r="AJ217" s="118">
        <v>0.04</v>
      </c>
      <c r="AK217" s="118">
        <v>0.53</v>
      </c>
      <c r="AL217" s="118">
        <v>2.2999999999999998</v>
      </c>
      <c r="AM217" s="118">
        <v>0.08</v>
      </c>
      <c r="AN217" s="118">
        <v>9.4</v>
      </c>
      <c r="AO217" s="118">
        <v>51.33</v>
      </c>
      <c r="AP217" s="118">
        <v>0.8</v>
      </c>
      <c r="AQ217" s="118">
        <v>0.49</v>
      </c>
      <c r="AR217" s="118"/>
      <c r="AS217" s="118"/>
      <c r="AT217" s="118"/>
      <c r="AU217" s="118"/>
      <c r="AV217" s="124"/>
      <c r="AW217" s="124"/>
      <c r="AX217" s="124"/>
      <c r="AY217" s="124"/>
      <c r="AZ217" s="124"/>
      <c r="BA217" s="124"/>
      <c r="BB217" s="124"/>
      <c r="BC217" s="124"/>
      <c r="BD217" s="124"/>
      <c r="BE217" s="124"/>
      <c r="BF217" s="124"/>
      <c r="BG217" s="124"/>
      <c r="BH217" s="124"/>
      <c r="BI217" s="124"/>
      <c r="BJ217" s="124"/>
      <c r="BK217" s="124"/>
      <c r="BL217" s="124"/>
      <c r="BM217" s="124"/>
      <c r="BN217" s="118"/>
      <c r="BO217" s="118"/>
      <c r="BP217" s="118"/>
      <c r="BQ217" s="118"/>
      <c r="BR217" s="118"/>
    </row>
    <row r="218" spans="1:70">
      <c r="A218" s="122">
        <v>15001</v>
      </c>
      <c r="B218" s="122" t="s">
        <v>937</v>
      </c>
      <c r="C218" s="122" t="s">
        <v>938</v>
      </c>
      <c r="D218" s="122" t="s">
        <v>170</v>
      </c>
      <c r="E218" s="122" t="s">
        <v>76</v>
      </c>
      <c r="F218" s="122" t="s">
        <v>1436</v>
      </c>
      <c r="G218" s="163" t="s">
        <v>1437</v>
      </c>
      <c r="H218" s="122">
        <v>1</v>
      </c>
      <c r="I218" s="122" t="s">
        <v>150</v>
      </c>
      <c r="J218" s="118">
        <v>344</v>
      </c>
      <c r="K218" s="118">
        <v>13.08</v>
      </c>
      <c r="L218" s="118">
        <v>9.94</v>
      </c>
      <c r="M218" s="118">
        <v>3.39</v>
      </c>
      <c r="N218" s="118">
        <v>64.69</v>
      </c>
      <c r="O218" s="118">
        <v>7.3</v>
      </c>
      <c r="P218" s="118">
        <v>0.39</v>
      </c>
      <c r="Q218" s="118">
        <v>0.11</v>
      </c>
      <c r="R218" s="118">
        <v>2</v>
      </c>
      <c r="S218" s="118">
        <v>0.34</v>
      </c>
      <c r="T218" s="118">
        <v>0.62</v>
      </c>
      <c r="U218" s="118">
        <v>20</v>
      </c>
      <c r="V218" s="118">
        <v>0</v>
      </c>
      <c r="W218" s="118">
        <v>0</v>
      </c>
      <c r="X218" s="118">
        <v>33.729999999999997</v>
      </c>
      <c r="Y218" s="118">
        <v>0.49</v>
      </c>
      <c r="Z218" s="118">
        <v>2.5</v>
      </c>
      <c r="AA218" s="118">
        <v>0</v>
      </c>
      <c r="AB218" s="118">
        <v>10.71</v>
      </c>
      <c r="AC218" s="118">
        <v>63</v>
      </c>
      <c r="AD218" s="118">
        <v>97</v>
      </c>
      <c r="AE218" s="118">
        <v>186</v>
      </c>
      <c r="AF218" s="118"/>
      <c r="AG218" s="118"/>
      <c r="AH218" s="118">
        <v>42.4</v>
      </c>
      <c r="AI218" s="118">
        <v>11.53</v>
      </c>
      <c r="AJ218" s="118">
        <v>0.43</v>
      </c>
      <c r="AK218" s="118">
        <v>2.86</v>
      </c>
      <c r="AL218" s="118">
        <v>142.79</v>
      </c>
      <c r="AM218" s="118">
        <v>0.71</v>
      </c>
      <c r="AN218" s="118">
        <v>329.08</v>
      </c>
      <c r="AO218" s="118">
        <v>248.4</v>
      </c>
      <c r="AP218" s="118">
        <v>8.69</v>
      </c>
      <c r="AQ218" s="118">
        <v>3.27</v>
      </c>
      <c r="AR218" s="118">
        <v>0.52</v>
      </c>
      <c r="AS218" s="118">
        <v>0.56000000000000005</v>
      </c>
      <c r="AT218" s="118">
        <v>1.54</v>
      </c>
      <c r="AU218" s="118">
        <v>0</v>
      </c>
      <c r="AV218" s="124">
        <v>0.30299999999999999</v>
      </c>
      <c r="AW218" s="124">
        <v>0.35599999999999998</v>
      </c>
      <c r="AX218" s="124">
        <v>1.2190000000000001</v>
      </c>
      <c r="AY218" s="124">
        <v>0.28000000000000003</v>
      </c>
      <c r="AZ218" s="124">
        <v>0.20799999999999999</v>
      </c>
      <c r="BA218" s="124">
        <v>0.17899999999999999</v>
      </c>
      <c r="BB218" s="124">
        <v>0.48899999999999999</v>
      </c>
      <c r="BC218" s="124">
        <v>0.373</v>
      </c>
      <c r="BD218" s="124">
        <v>7.0999999999999994E-2</v>
      </c>
      <c r="BE218" s="124">
        <v>0.503</v>
      </c>
      <c r="BF218" s="124">
        <v>0.745</v>
      </c>
      <c r="BG218" s="124">
        <v>0.496</v>
      </c>
      <c r="BH218" s="124">
        <v>0.69099999999999995</v>
      </c>
      <c r="BI218" s="124">
        <v>1.8660000000000001</v>
      </c>
      <c r="BJ218" s="124">
        <v>0.40699999999999997</v>
      </c>
      <c r="BK218" s="124">
        <v>0.86699999999999999</v>
      </c>
      <c r="BL218" s="124">
        <v>0.47199999999999998</v>
      </c>
      <c r="BM218" s="124">
        <v>0.40500000000000003</v>
      </c>
      <c r="BN218" s="118">
        <v>32.92</v>
      </c>
      <c r="BO218" s="118">
        <v>646</v>
      </c>
      <c r="BP218" s="118">
        <v>6</v>
      </c>
      <c r="BQ218" s="118"/>
      <c r="BR218" s="118"/>
    </row>
    <row r="219" spans="1:70">
      <c r="A219" s="122">
        <v>21025</v>
      </c>
      <c r="B219" s="122" t="s">
        <v>942</v>
      </c>
      <c r="C219" s="122" t="s">
        <v>943</v>
      </c>
      <c r="D219" s="122" t="s">
        <v>944</v>
      </c>
      <c r="E219" s="122" t="s">
        <v>1152</v>
      </c>
      <c r="F219" s="122" t="s">
        <v>1438</v>
      </c>
      <c r="G219" s="163" t="s">
        <v>944</v>
      </c>
      <c r="H219" s="122">
        <v>10</v>
      </c>
      <c r="I219" s="122" t="s">
        <v>207</v>
      </c>
      <c r="J219" s="118">
        <v>71.02</v>
      </c>
      <c r="K219" s="118">
        <v>82.55</v>
      </c>
      <c r="L219" s="118">
        <v>2.57</v>
      </c>
      <c r="M219" s="118">
        <v>0.6</v>
      </c>
      <c r="N219" s="118">
        <v>9.6</v>
      </c>
      <c r="O219" s="118">
        <v>8.4700000000000006</v>
      </c>
      <c r="P219" s="118"/>
      <c r="Q219" s="118"/>
      <c r="R219" s="118"/>
      <c r="S219" s="118"/>
      <c r="T219" s="118"/>
      <c r="U219" s="118"/>
      <c r="V219" s="118"/>
      <c r="W219" s="118">
        <v>271.39999999999998</v>
      </c>
      <c r="X219" s="118"/>
      <c r="Y219" s="118"/>
      <c r="Z219" s="118"/>
      <c r="AA219" s="118"/>
      <c r="AB219" s="118"/>
      <c r="AC219" s="118"/>
      <c r="AD219" s="118"/>
      <c r="AE219" s="118"/>
      <c r="AF219" s="118"/>
      <c r="AG219" s="118"/>
      <c r="AH219" s="118"/>
      <c r="AI219" s="118">
        <v>200.4</v>
      </c>
      <c r="AJ219" s="118"/>
      <c r="AK219" s="118">
        <v>4.67</v>
      </c>
      <c r="AL219" s="118"/>
      <c r="AM219" s="118"/>
      <c r="AN219" s="118"/>
      <c r="AO219" s="118">
        <v>844.39</v>
      </c>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v>3.15</v>
      </c>
      <c r="BO219" s="118"/>
      <c r="BP219" s="118"/>
      <c r="BQ219" s="118"/>
      <c r="BR219" s="118"/>
    </row>
    <row r="220" spans="1:70">
      <c r="A220" s="122">
        <v>63002</v>
      </c>
      <c r="B220" s="122" t="s">
        <v>947</v>
      </c>
      <c r="C220" s="122" t="s">
        <v>948</v>
      </c>
      <c r="D220" s="122" t="s">
        <v>949</v>
      </c>
      <c r="E220" s="122" t="s">
        <v>76</v>
      </c>
      <c r="F220" s="122" t="s">
        <v>1439</v>
      </c>
      <c r="G220" s="163" t="s">
        <v>1440</v>
      </c>
      <c r="H220" s="122">
        <v>4</v>
      </c>
      <c r="I220" s="122" t="s">
        <v>202</v>
      </c>
      <c r="J220" s="118">
        <v>638.33000000000004</v>
      </c>
      <c r="K220" s="118">
        <v>4.37</v>
      </c>
      <c r="L220" s="118">
        <v>18.41</v>
      </c>
      <c r="M220" s="118">
        <v>58.49</v>
      </c>
      <c r="N220" s="118">
        <v>3.04</v>
      </c>
      <c r="O220" s="118">
        <v>13.06</v>
      </c>
      <c r="P220" s="118">
        <v>0.15</v>
      </c>
      <c r="Q220" s="118">
        <v>0.26</v>
      </c>
      <c r="R220" s="118">
        <v>3.71</v>
      </c>
      <c r="S220" s="118">
        <v>0.73</v>
      </c>
      <c r="T220" s="118">
        <v>0.09</v>
      </c>
      <c r="U220" s="118">
        <v>36.46</v>
      </c>
      <c r="V220" s="118">
        <v>0</v>
      </c>
      <c r="W220" s="118">
        <v>0.74</v>
      </c>
      <c r="X220" s="118">
        <v>1.61</v>
      </c>
      <c r="Y220" s="118">
        <v>25.86</v>
      </c>
      <c r="Z220" s="118">
        <v>8.4</v>
      </c>
      <c r="AA220" s="118"/>
      <c r="AB220" s="118"/>
      <c r="AC220" s="118"/>
      <c r="AD220" s="118"/>
      <c r="AE220" s="118">
        <v>5.03</v>
      </c>
      <c r="AF220" s="118"/>
      <c r="AG220" s="118"/>
      <c r="AH220" s="118">
        <v>1.79</v>
      </c>
      <c r="AI220" s="118">
        <v>228</v>
      </c>
      <c r="AJ220" s="118">
        <v>1.08</v>
      </c>
      <c r="AK220" s="118">
        <v>4.59</v>
      </c>
      <c r="AL220" s="118">
        <v>318</v>
      </c>
      <c r="AM220" s="118">
        <v>2.54</v>
      </c>
      <c r="AN220" s="118">
        <v>446</v>
      </c>
      <c r="AO220" s="118">
        <v>699</v>
      </c>
      <c r="AP220" s="118">
        <v>3.61</v>
      </c>
      <c r="AQ220" s="118">
        <v>3.5</v>
      </c>
      <c r="AR220" s="118">
        <v>4.3600000000000003</v>
      </c>
      <c r="AS220" s="118">
        <v>38.340000000000003</v>
      </c>
      <c r="AT220" s="118">
        <v>13.22</v>
      </c>
      <c r="AU220" s="118"/>
      <c r="AV220" s="124">
        <v>0.40870000000000001</v>
      </c>
      <c r="AW220" s="124">
        <v>0.43816000000000005</v>
      </c>
      <c r="AX220" s="124">
        <v>0.74008000000000007</v>
      </c>
      <c r="AY220" s="124">
        <v>0.41975000000000001</v>
      </c>
      <c r="AZ220" s="124">
        <v>0.22828000000000001</v>
      </c>
      <c r="BA220" s="124">
        <v>0.15464</v>
      </c>
      <c r="BB220" s="124">
        <v>1.0327999999999999</v>
      </c>
      <c r="BC220" s="124">
        <v>0.51915999999999995</v>
      </c>
      <c r="BD220" s="124">
        <v>0.16385</v>
      </c>
      <c r="BE220" s="124">
        <v>0.81925000000000003</v>
      </c>
      <c r="BF220" s="124">
        <v>0.77322000000000002</v>
      </c>
      <c r="BG220" s="124">
        <v>2.0269400000000002</v>
      </c>
      <c r="BH220" s="124">
        <v>2.1668600000000002</v>
      </c>
      <c r="BI220" s="124">
        <v>5.1511199999999997</v>
      </c>
      <c r="BJ220" s="124">
        <v>1.1119600000000001</v>
      </c>
      <c r="BK220" s="124">
        <v>0.74191999999999991</v>
      </c>
      <c r="BL220" s="124">
        <v>0.78610999999999998</v>
      </c>
      <c r="BM220" s="124">
        <v>0.62226000000000004</v>
      </c>
      <c r="BN220" s="118">
        <v>84.94</v>
      </c>
      <c r="BO220" s="118">
        <v>964</v>
      </c>
      <c r="BP220" s="118"/>
      <c r="BQ220" s="118"/>
      <c r="BR220" s="118"/>
    </row>
    <row r="221" spans="1:70">
      <c r="A221" s="122">
        <v>63003</v>
      </c>
      <c r="B221" s="122" t="s">
        <v>951</v>
      </c>
      <c r="C221" s="122" t="s">
        <v>952</v>
      </c>
      <c r="D221" s="122" t="s">
        <v>953</v>
      </c>
      <c r="E221" s="122" t="s">
        <v>76</v>
      </c>
      <c r="F221" s="122" t="s">
        <v>1441</v>
      </c>
      <c r="G221" s="163" t="s">
        <v>1442</v>
      </c>
      <c r="H221" s="122">
        <v>4</v>
      </c>
      <c r="I221" s="122" t="s">
        <v>202</v>
      </c>
      <c r="J221" s="118">
        <v>595</v>
      </c>
      <c r="K221" s="118">
        <v>5.9</v>
      </c>
      <c r="L221" s="118">
        <v>17.98</v>
      </c>
      <c r="M221" s="118">
        <v>46.9</v>
      </c>
      <c r="N221" s="118">
        <v>23.52</v>
      </c>
      <c r="O221" s="118">
        <v>3.3</v>
      </c>
      <c r="P221" s="118">
        <v>0.63</v>
      </c>
      <c r="Q221" s="118">
        <v>0.19</v>
      </c>
      <c r="R221" s="118">
        <v>1.2</v>
      </c>
      <c r="S221" s="118">
        <v>1.4</v>
      </c>
      <c r="T221" s="118">
        <v>0.42</v>
      </c>
      <c r="U221" s="118">
        <v>25</v>
      </c>
      <c r="V221" s="118">
        <v>0</v>
      </c>
      <c r="W221" s="118">
        <v>0</v>
      </c>
      <c r="X221" s="118">
        <v>3.85</v>
      </c>
      <c r="Y221" s="118">
        <v>0.85</v>
      </c>
      <c r="Z221" s="118">
        <v>1.83</v>
      </c>
      <c r="AA221" s="118">
        <v>0.24</v>
      </c>
      <c r="AB221" s="118">
        <v>0.74</v>
      </c>
      <c r="AC221" s="118">
        <v>0</v>
      </c>
      <c r="AD221" s="118">
        <v>6</v>
      </c>
      <c r="AE221" s="118">
        <v>5.87</v>
      </c>
      <c r="AF221" s="118"/>
      <c r="AG221" s="118"/>
      <c r="AH221" s="118">
        <v>3.21</v>
      </c>
      <c r="AI221" s="118">
        <v>50</v>
      </c>
      <c r="AJ221" s="118">
        <v>2.2000000000000002</v>
      </c>
      <c r="AK221" s="118">
        <v>5</v>
      </c>
      <c r="AL221" s="118">
        <v>292</v>
      </c>
      <c r="AM221" s="118">
        <v>1.78</v>
      </c>
      <c r="AN221" s="118">
        <v>593</v>
      </c>
      <c r="AO221" s="118">
        <v>660</v>
      </c>
      <c r="AP221" s="118">
        <v>13.08</v>
      </c>
      <c r="AQ221" s="118">
        <v>5.78</v>
      </c>
      <c r="AR221" s="118">
        <v>7.82</v>
      </c>
      <c r="AS221" s="118">
        <v>27.91</v>
      </c>
      <c r="AT221" s="118">
        <v>7.48</v>
      </c>
      <c r="AU221" s="118"/>
      <c r="AV221" s="124">
        <v>0.42631000000000002</v>
      </c>
      <c r="AW221" s="124">
        <v>0.72490999999999994</v>
      </c>
      <c r="AX221" s="124">
        <v>1.31836</v>
      </c>
      <c r="AY221" s="124">
        <v>0.90144000000000002</v>
      </c>
      <c r="AZ221" s="124">
        <v>0.25916</v>
      </c>
      <c r="BA221" s="124">
        <v>0.24977000000000002</v>
      </c>
      <c r="BB221" s="124">
        <v>0.91459000000000001</v>
      </c>
      <c r="BC221" s="124">
        <v>0.58594000000000002</v>
      </c>
      <c r="BD221" s="124">
        <v>0.19719</v>
      </c>
      <c r="BE221" s="124">
        <v>0.60659000000000007</v>
      </c>
      <c r="BF221" s="124">
        <v>1.0047300000000001</v>
      </c>
      <c r="BG221" s="124">
        <v>1.8310499999999998</v>
      </c>
      <c r="BH221" s="124">
        <v>1.8498299999999999</v>
      </c>
      <c r="BI221" s="124">
        <v>4.27433</v>
      </c>
      <c r="BJ221" s="124">
        <v>0.98594999999999999</v>
      </c>
      <c r="BK221" s="124">
        <v>0.74557000000000007</v>
      </c>
      <c r="BL221" s="124">
        <v>1.20004</v>
      </c>
      <c r="BM221" s="124">
        <v>0.52772000000000008</v>
      </c>
      <c r="BN221" s="118">
        <v>32.86</v>
      </c>
      <c r="BO221" s="118">
        <v>929</v>
      </c>
      <c r="BP221" s="118">
        <v>318</v>
      </c>
      <c r="BQ221" s="118"/>
      <c r="BR221" s="118"/>
    </row>
    <row r="222" spans="1:70">
      <c r="A222" s="122">
        <v>90817</v>
      </c>
      <c r="B222" s="122" t="s">
        <v>960</v>
      </c>
      <c r="C222" s="122" t="s">
        <v>961</v>
      </c>
      <c r="D222" s="122" t="s">
        <v>962</v>
      </c>
      <c r="E222" s="122" t="s">
        <v>76</v>
      </c>
      <c r="F222" s="122" t="s">
        <v>1443</v>
      </c>
      <c r="G222" s="163" t="s">
        <v>1444</v>
      </c>
      <c r="H222" s="122">
        <v>21</v>
      </c>
      <c r="I222" s="122" t="s">
        <v>78</v>
      </c>
      <c r="J222" s="118">
        <v>267</v>
      </c>
      <c r="K222" s="118">
        <v>25.2</v>
      </c>
      <c r="L222" s="118">
        <v>5.2</v>
      </c>
      <c r="M222" s="118">
        <v>8.9</v>
      </c>
      <c r="N222" s="118">
        <v>27.37</v>
      </c>
      <c r="O222" s="118">
        <v>28.13</v>
      </c>
      <c r="P222" s="118">
        <v>0.08</v>
      </c>
      <c r="Q222" s="118">
        <v>0.13</v>
      </c>
      <c r="R222" s="118">
        <v>1.29</v>
      </c>
      <c r="S222" s="118">
        <v>0.36</v>
      </c>
      <c r="T222" s="118">
        <v>0.32</v>
      </c>
      <c r="U222" s="118">
        <v>20.75</v>
      </c>
      <c r="V222" s="118">
        <v>0</v>
      </c>
      <c r="W222" s="118">
        <v>0</v>
      </c>
      <c r="X222" s="118">
        <v>45.07</v>
      </c>
      <c r="Y222" s="118">
        <v>6.04</v>
      </c>
      <c r="Z222" s="118">
        <v>161</v>
      </c>
      <c r="AA222" s="118">
        <v>0</v>
      </c>
      <c r="AB222" s="118">
        <v>5.51</v>
      </c>
      <c r="AC222" s="118">
        <v>8.5500000000000007</v>
      </c>
      <c r="AD222" s="118">
        <v>30.81</v>
      </c>
      <c r="AE222" s="118">
        <v>16.899999999999999</v>
      </c>
      <c r="AF222" s="118"/>
      <c r="AG222" s="118"/>
      <c r="AH222" s="118">
        <v>1.55</v>
      </c>
      <c r="AI222" s="118">
        <v>740</v>
      </c>
      <c r="AJ222" s="118">
        <v>0.31</v>
      </c>
      <c r="AK222" s="118">
        <v>4.9000000000000004</v>
      </c>
      <c r="AL222" s="118">
        <v>214.95</v>
      </c>
      <c r="AM222" s="118">
        <v>61.86</v>
      </c>
      <c r="AN222" s="118">
        <v>86.31</v>
      </c>
      <c r="AO222" s="118">
        <v>846.51</v>
      </c>
      <c r="AP222" s="118">
        <v>7.75</v>
      </c>
      <c r="AQ222" s="118">
        <v>1.93</v>
      </c>
      <c r="AR222" s="118">
        <v>2.68</v>
      </c>
      <c r="AS222" s="118">
        <v>0.61</v>
      </c>
      <c r="AT222" s="118">
        <v>3.43</v>
      </c>
      <c r="AU222" s="118"/>
      <c r="AV222" s="124">
        <v>0.13361000000000001</v>
      </c>
      <c r="AW222" s="124">
        <v>0.12481999999999999</v>
      </c>
      <c r="AX222" s="124">
        <v>0.34105000000000002</v>
      </c>
      <c r="AY222" s="124">
        <v>0.38675999999999999</v>
      </c>
      <c r="AZ222" s="124">
        <v>7.3840000000000003E-2</v>
      </c>
      <c r="BA222" s="124">
        <v>4.7469999999999998E-2</v>
      </c>
      <c r="BB222" s="124">
        <v>0.24026</v>
      </c>
      <c r="BC222" s="124">
        <v>0.17521</v>
      </c>
      <c r="BD222" s="124">
        <v>5.2740000000000002E-2</v>
      </c>
      <c r="BE222" s="124">
        <v>0.25257000000000002</v>
      </c>
      <c r="BF222" s="124">
        <v>0.25257000000000002</v>
      </c>
      <c r="BG222" s="124">
        <v>0.37386999999999998</v>
      </c>
      <c r="BH222" s="124">
        <v>0.64519000000000004</v>
      </c>
      <c r="BI222" s="124">
        <v>1.0823399999999999</v>
      </c>
      <c r="BJ222" s="124">
        <v>0.26838999999999996</v>
      </c>
      <c r="BK222" s="124">
        <v>0.22853999999999999</v>
      </c>
      <c r="BL222" s="124">
        <v>0.31175000000000003</v>
      </c>
      <c r="BM222" s="124">
        <v>0.15059999999999998</v>
      </c>
      <c r="BN222" s="118">
        <v>2546</v>
      </c>
      <c r="BO222" s="118">
        <v>349</v>
      </c>
      <c r="BP222" s="118"/>
      <c r="BQ222" s="118"/>
      <c r="BR222" s="118"/>
    </row>
    <row r="223" spans="1:70">
      <c r="A223" s="122">
        <v>90818</v>
      </c>
      <c r="B223" s="122" t="s">
        <v>964</v>
      </c>
      <c r="C223" s="122" t="s">
        <v>965</v>
      </c>
      <c r="D223" s="122" t="s">
        <v>966</v>
      </c>
      <c r="E223" s="122" t="s">
        <v>76</v>
      </c>
      <c r="F223" s="122" t="s">
        <v>1445</v>
      </c>
      <c r="G223" s="163" t="s">
        <v>1446</v>
      </c>
      <c r="H223" s="122">
        <v>21</v>
      </c>
      <c r="I223" s="122" t="s">
        <v>78</v>
      </c>
      <c r="J223" s="118">
        <v>302</v>
      </c>
      <c r="K223" s="118">
        <v>11.67</v>
      </c>
      <c r="L223" s="118">
        <v>11.84</v>
      </c>
      <c r="M223" s="118">
        <v>3.29</v>
      </c>
      <c r="N223" s="118">
        <v>43.51</v>
      </c>
      <c r="O223" s="118">
        <v>25.3</v>
      </c>
      <c r="P223" s="118">
        <v>0.11</v>
      </c>
      <c r="Q223" s="118">
        <v>0.2</v>
      </c>
      <c r="R223" s="118">
        <v>1.1299999999999999</v>
      </c>
      <c r="S223" s="118">
        <v>0.3</v>
      </c>
      <c r="T223" s="118">
        <v>0.34</v>
      </c>
      <c r="U223" s="118">
        <v>13.5</v>
      </c>
      <c r="V223" s="118">
        <v>0</v>
      </c>
      <c r="W223" s="118">
        <v>0</v>
      </c>
      <c r="X223" s="118">
        <v>25.54</v>
      </c>
      <c r="Y223" s="118">
        <v>0.72</v>
      </c>
      <c r="Z223" s="118">
        <v>171</v>
      </c>
      <c r="AA223" s="118">
        <v>0</v>
      </c>
      <c r="AB223" s="118">
        <v>27.38</v>
      </c>
      <c r="AC223" s="118">
        <v>12</v>
      </c>
      <c r="AD223" s="118">
        <v>310</v>
      </c>
      <c r="AE223" s="118">
        <v>650</v>
      </c>
      <c r="AF223" s="118"/>
      <c r="AG223" s="118">
        <v>165</v>
      </c>
      <c r="AH223" s="118">
        <v>158</v>
      </c>
      <c r="AI223" s="118">
        <v>442.5</v>
      </c>
      <c r="AJ223" s="118">
        <v>1.2</v>
      </c>
      <c r="AK223" s="118">
        <v>16.649999999999999</v>
      </c>
      <c r="AL223" s="118">
        <v>185</v>
      </c>
      <c r="AM223" s="118">
        <v>7.5</v>
      </c>
      <c r="AN223" s="118">
        <v>167</v>
      </c>
      <c r="AO223" s="118">
        <v>1280</v>
      </c>
      <c r="AP223" s="118">
        <v>12.13</v>
      </c>
      <c r="AQ223" s="118">
        <v>1.34</v>
      </c>
      <c r="AR223" s="118">
        <v>0.65</v>
      </c>
      <c r="AS223" s="118">
        <v>0.46</v>
      </c>
      <c r="AT223" s="118">
        <v>1.08</v>
      </c>
      <c r="AU223" s="118"/>
      <c r="AV223" s="124">
        <v>0.12953999999999999</v>
      </c>
      <c r="AW223" s="124">
        <v>0.38962000000000002</v>
      </c>
      <c r="AX223" s="124">
        <v>0.83489999999999998</v>
      </c>
      <c r="AY223" s="124">
        <v>0.22568000000000002</v>
      </c>
      <c r="AZ223" s="124">
        <v>6.0719999999999996E-2</v>
      </c>
      <c r="BA223" s="124">
        <v>0.12751000000000001</v>
      </c>
      <c r="BB223" s="124">
        <v>0.52117999999999998</v>
      </c>
      <c r="BC223" s="124">
        <v>0.26616000000000001</v>
      </c>
      <c r="BD223" s="124">
        <v>5.5659999999999994E-2</v>
      </c>
      <c r="BE223" s="124">
        <v>0.36634</v>
      </c>
      <c r="BF223" s="124">
        <v>0.55153999999999992</v>
      </c>
      <c r="BG223" s="124">
        <v>0.23377000000000001</v>
      </c>
      <c r="BH223" s="124">
        <v>1.22553</v>
      </c>
      <c r="BI223" s="124">
        <v>1.6151500000000001</v>
      </c>
      <c r="BJ223" s="124">
        <v>0.47766000000000003</v>
      </c>
      <c r="BK223" s="124">
        <v>0.66589999999999994</v>
      </c>
      <c r="BL223" s="124">
        <v>0.42099000000000003</v>
      </c>
      <c r="BM223" s="124">
        <v>0.45539999999999997</v>
      </c>
      <c r="BN223" s="118">
        <v>254</v>
      </c>
      <c r="BO223" s="118">
        <v>383</v>
      </c>
      <c r="BP223" s="118"/>
      <c r="BQ223" s="118"/>
      <c r="BR223" s="118"/>
    </row>
    <row r="224" spans="1:70">
      <c r="A224" s="122">
        <v>76002</v>
      </c>
      <c r="B224" s="122" t="s">
        <v>968</v>
      </c>
      <c r="C224" s="122" t="s">
        <v>969</v>
      </c>
      <c r="D224" s="122" t="s">
        <v>750</v>
      </c>
      <c r="E224" s="122" t="s">
        <v>76</v>
      </c>
      <c r="F224" s="122" t="s">
        <v>1447</v>
      </c>
      <c r="G224" s="163" t="s">
        <v>1448</v>
      </c>
      <c r="H224" s="122">
        <v>22</v>
      </c>
      <c r="I224" s="122" t="s">
        <v>971</v>
      </c>
      <c r="J224" s="118">
        <v>20</v>
      </c>
      <c r="K224" s="118">
        <v>94.52</v>
      </c>
      <c r="L224" s="118">
        <v>0.56000000000000005</v>
      </c>
      <c r="M224" s="118">
        <v>0.28000000000000003</v>
      </c>
      <c r="N224" s="118">
        <v>3.19</v>
      </c>
      <c r="O224" s="118">
        <v>1.1000000000000001</v>
      </c>
      <c r="P224" s="118">
        <v>0.06</v>
      </c>
      <c r="Q224" s="118">
        <v>0.03</v>
      </c>
      <c r="R224" s="118">
        <v>0.09</v>
      </c>
      <c r="S224" s="118">
        <v>0.26</v>
      </c>
      <c r="T224" s="118">
        <v>0.03</v>
      </c>
      <c r="U224" s="118">
        <v>3</v>
      </c>
      <c r="V224" s="118">
        <v>0</v>
      </c>
      <c r="W224" s="118">
        <v>3.29</v>
      </c>
      <c r="X224" s="118">
        <v>0</v>
      </c>
      <c r="Y224" s="118">
        <v>0.45</v>
      </c>
      <c r="Z224" s="118">
        <v>2.69</v>
      </c>
      <c r="AA224" s="118">
        <v>0</v>
      </c>
      <c r="AB224" s="118">
        <v>0</v>
      </c>
      <c r="AC224" s="118">
        <v>0</v>
      </c>
      <c r="AD224" s="118">
        <v>0</v>
      </c>
      <c r="AE224" s="118">
        <v>4.53</v>
      </c>
      <c r="AF224" s="118"/>
      <c r="AG224" s="118"/>
      <c r="AH224" s="118"/>
      <c r="AI224" s="118">
        <v>20.2</v>
      </c>
      <c r="AJ224" s="118">
        <v>0.04</v>
      </c>
      <c r="AK224" s="118">
        <v>0.17</v>
      </c>
      <c r="AL224" s="118">
        <v>24.5</v>
      </c>
      <c r="AM224" s="118">
        <v>0.48</v>
      </c>
      <c r="AN224" s="118">
        <v>17.670000000000002</v>
      </c>
      <c r="AO224" s="118">
        <v>260</v>
      </c>
      <c r="AP224" s="118"/>
      <c r="AQ224" s="118">
        <v>0.1</v>
      </c>
      <c r="AR224" s="118">
        <v>0.09</v>
      </c>
      <c r="AS224" s="118">
        <v>0.02</v>
      </c>
      <c r="AT224" s="118">
        <v>0</v>
      </c>
      <c r="AU224" s="118"/>
      <c r="AV224" s="124">
        <v>4.5500000000000002E-3</v>
      </c>
      <c r="AW224" s="124">
        <v>4.1099999999999999E-3</v>
      </c>
      <c r="AX224" s="124">
        <v>6.11E-3</v>
      </c>
      <c r="AY224" s="124">
        <v>9.980000000000001E-3</v>
      </c>
      <c r="AZ224" s="124">
        <v>1.5300000000000001E-3</v>
      </c>
      <c r="BA224" s="124">
        <v>2.5699999999999998E-3</v>
      </c>
      <c r="BB224" s="124">
        <v>5.0699999999999999E-3</v>
      </c>
      <c r="BC224" s="124">
        <v>6.9900000000000006E-3</v>
      </c>
      <c r="BD224" s="124">
        <v>2.0299999999999997E-3</v>
      </c>
      <c r="BE224" s="124">
        <v>7.8499999999999993E-3</v>
      </c>
      <c r="BF224" s="124">
        <v>5.2729999999999999E-2</v>
      </c>
      <c r="BG224" s="124">
        <v>1.3339999999999999E-2</v>
      </c>
      <c r="BH224" s="124">
        <v>2.811E-2</v>
      </c>
      <c r="BI224" s="124">
        <v>8.0629999999999993E-2</v>
      </c>
      <c r="BJ224" s="124">
        <v>5.1200000000000004E-3</v>
      </c>
      <c r="BK224" s="124">
        <v>1.1050000000000001E-2</v>
      </c>
      <c r="BL224" s="124">
        <v>1.3130000000000001E-2</v>
      </c>
      <c r="BM224" s="124">
        <v>4.0800000000000003E-3</v>
      </c>
      <c r="BN224" s="118">
        <v>19.760000000000002</v>
      </c>
      <c r="BO224" s="118"/>
      <c r="BP224" s="118">
        <v>318</v>
      </c>
      <c r="BQ224" s="118"/>
      <c r="BR224" s="118"/>
    </row>
    <row r="225" spans="1:70">
      <c r="A225" s="122">
        <v>73001</v>
      </c>
      <c r="B225" s="122" t="s">
        <v>972</v>
      </c>
      <c r="C225" s="122" t="s">
        <v>973</v>
      </c>
      <c r="D225" s="122"/>
      <c r="E225" s="122" t="s">
        <v>1417</v>
      </c>
      <c r="F225" s="122" t="s">
        <v>1449</v>
      </c>
      <c r="G225" s="163" t="s">
        <v>1450</v>
      </c>
      <c r="H225" s="122">
        <v>14</v>
      </c>
      <c r="I225" s="122" t="s">
        <v>291</v>
      </c>
      <c r="J225" s="118">
        <v>46</v>
      </c>
      <c r="K225" s="118"/>
      <c r="L225" s="118">
        <v>0</v>
      </c>
      <c r="M225" s="118">
        <v>0</v>
      </c>
      <c r="N225" s="118">
        <v>11.7</v>
      </c>
      <c r="O225" s="118"/>
      <c r="P225" s="118"/>
      <c r="Q225" s="118"/>
      <c r="R225" s="118"/>
      <c r="S225" s="118"/>
      <c r="T225" s="118"/>
      <c r="U225" s="118"/>
      <c r="V225" s="118"/>
      <c r="W225" s="118">
        <v>37.5</v>
      </c>
      <c r="X225" s="118"/>
      <c r="Y225" s="118"/>
      <c r="Z225" s="118"/>
      <c r="AA225" s="118"/>
      <c r="AB225" s="118"/>
      <c r="AC225" s="118"/>
      <c r="AD225" s="118"/>
      <c r="AE225" s="118"/>
      <c r="AF225" s="118"/>
      <c r="AG225" s="118"/>
      <c r="AH225" s="118"/>
      <c r="AI225" s="118"/>
      <c r="AJ225" s="118"/>
      <c r="AK225" s="118"/>
      <c r="AL225" s="118"/>
      <c r="AM225" s="118"/>
      <c r="AN225" s="118"/>
      <c r="AO225" s="118">
        <v>112</v>
      </c>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118"/>
    </row>
    <row r="226" spans="1:70">
      <c r="A226" s="122">
        <v>73003</v>
      </c>
      <c r="B226" s="122" t="s">
        <v>974</v>
      </c>
      <c r="C226" s="122" t="s">
        <v>975</v>
      </c>
      <c r="D226" s="122"/>
      <c r="E226" s="122" t="s">
        <v>1347</v>
      </c>
      <c r="F226" s="122">
        <v>64133100</v>
      </c>
      <c r="G226" s="163" t="s">
        <v>1451</v>
      </c>
      <c r="H226" s="122">
        <v>14</v>
      </c>
      <c r="I226" s="122" t="s">
        <v>291</v>
      </c>
      <c r="J226" s="118">
        <v>30</v>
      </c>
      <c r="K226" s="118">
        <v>91.4</v>
      </c>
      <c r="L226" s="118">
        <v>0.61</v>
      </c>
      <c r="M226" s="118">
        <v>0.15</v>
      </c>
      <c r="N226" s="118">
        <v>7.55</v>
      </c>
      <c r="O226" s="118">
        <v>0.4</v>
      </c>
      <c r="P226" s="118">
        <v>3.3000000000000002E-2</v>
      </c>
      <c r="Q226" s="118">
        <v>2.1000000000000001E-2</v>
      </c>
      <c r="R226" s="118">
        <v>0.17799999999999999</v>
      </c>
      <c r="S226" s="118"/>
      <c r="T226" s="118">
        <v>4.4999999999999998E-2</v>
      </c>
      <c r="U226" s="118">
        <v>3</v>
      </c>
      <c r="V226" s="118">
        <v>0</v>
      </c>
      <c r="W226" s="118">
        <v>8.1</v>
      </c>
      <c r="X226" s="118">
        <v>0</v>
      </c>
      <c r="Y226" s="118">
        <v>0.05</v>
      </c>
      <c r="Z226" s="118">
        <v>0.1</v>
      </c>
      <c r="AA226" s="118">
        <v>0</v>
      </c>
      <c r="AB226" s="118">
        <v>28</v>
      </c>
      <c r="AC226" s="118">
        <v>0</v>
      </c>
      <c r="AD226" s="118">
        <v>303</v>
      </c>
      <c r="AE226" s="118"/>
      <c r="AF226" s="118">
        <v>4530</v>
      </c>
      <c r="AG226" s="118">
        <v>78</v>
      </c>
      <c r="AH226" s="118"/>
      <c r="AI226" s="118">
        <v>7</v>
      </c>
      <c r="AJ226" s="118">
        <v>4.2000000000000003E-2</v>
      </c>
      <c r="AK226" s="118">
        <v>0.24</v>
      </c>
      <c r="AL226" s="118">
        <v>10</v>
      </c>
      <c r="AM226" s="118"/>
      <c r="AN226" s="118">
        <v>11</v>
      </c>
      <c r="AO226" s="118">
        <v>112</v>
      </c>
      <c r="AP226" s="118">
        <v>0.4</v>
      </c>
      <c r="AQ226" s="118">
        <v>0.1</v>
      </c>
      <c r="AR226" s="118">
        <v>1.6E-2</v>
      </c>
      <c r="AS226" s="118">
        <v>3.6999999999999998E-2</v>
      </c>
      <c r="AT226" s="118">
        <v>0.05</v>
      </c>
      <c r="AU226" s="118">
        <v>0</v>
      </c>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row>
    <row r="227" spans="1:70">
      <c r="A227" s="122">
        <v>73004</v>
      </c>
      <c r="B227" s="122" t="s">
        <v>976</v>
      </c>
      <c r="C227" s="122" t="s">
        <v>977</v>
      </c>
      <c r="D227" s="122"/>
      <c r="E227" s="122" t="s">
        <v>76</v>
      </c>
      <c r="F227" s="122" t="s">
        <v>1400</v>
      </c>
      <c r="G227" s="163" t="s">
        <v>1452</v>
      </c>
      <c r="H227" s="122">
        <v>22</v>
      </c>
      <c r="I227" s="122" t="s">
        <v>971</v>
      </c>
      <c r="J227" s="118">
        <v>33</v>
      </c>
      <c r="K227" s="118">
        <v>91.7</v>
      </c>
      <c r="L227" s="118">
        <v>0.7</v>
      </c>
      <c r="M227" s="118">
        <v>0</v>
      </c>
      <c r="N227" s="118">
        <v>7.5</v>
      </c>
      <c r="O227" s="118">
        <v>0</v>
      </c>
      <c r="P227" s="118">
        <v>0.04</v>
      </c>
      <c r="Q227" s="118">
        <v>0.04</v>
      </c>
      <c r="R227" s="118">
        <v>0.14000000000000001</v>
      </c>
      <c r="S227" s="118">
        <v>0.23</v>
      </c>
      <c r="T227" s="118">
        <v>0.4</v>
      </c>
      <c r="U227" s="118">
        <v>44.53</v>
      </c>
      <c r="V227" s="118"/>
      <c r="W227" s="118">
        <v>6.73</v>
      </c>
      <c r="X227" s="118">
        <v>0.41</v>
      </c>
      <c r="Y227" s="118">
        <v>0.02</v>
      </c>
      <c r="Z227" s="118"/>
      <c r="AA227" s="118">
        <v>0</v>
      </c>
      <c r="AB227" s="118">
        <v>0</v>
      </c>
      <c r="AC227" s="118">
        <v>0</v>
      </c>
      <c r="AD227" s="118">
        <v>7.87</v>
      </c>
      <c r="AE227" s="118">
        <v>8.36</v>
      </c>
      <c r="AF227" s="118"/>
      <c r="AG227" s="118"/>
      <c r="AH227" s="118"/>
      <c r="AI227" s="118">
        <v>8</v>
      </c>
      <c r="AJ227" s="118">
        <v>0.06</v>
      </c>
      <c r="AK227" s="118">
        <v>1.1000000000000001</v>
      </c>
      <c r="AL227" s="118">
        <v>10.31</v>
      </c>
      <c r="AM227" s="118">
        <v>0.33</v>
      </c>
      <c r="AN227" s="118">
        <v>6.19</v>
      </c>
      <c r="AO227" s="118">
        <v>24.92</v>
      </c>
      <c r="AP227" s="118"/>
      <c r="AQ227" s="118">
        <v>0.01</v>
      </c>
      <c r="AR227" s="118">
        <v>0.14000000000000001</v>
      </c>
      <c r="AS227" s="118">
        <v>0.03</v>
      </c>
      <c r="AT227" s="118">
        <v>0.17</v>
      </c>
      <c r="AU227" s="118"/>
      <c r="AV227" s="124">
        <v>2.8599999999999997E-3</v>
      </c>
      <c r="AW227" s="124">
        <v>6.0999999999999995E-3</v>
      </c>
      <c r="AX227" s="124">
        <v>5.6799999999999993E-3</v>
      </c>
      <c r="AY227" s="124">
        <v>4.0499999999999998E-3</v>
      </c>
      <c r="AZ227" s="124">
        <v>6.4000000000000005E-4</v>
      </c>
      <c r="BA227" s="124">
        <v>8.3000000000000001E-4</v>
      </c>
      <c r="BB227" s="124">
        <v>8.1799999999999998E-3</v>
      </c>
      <c r="BC227" s="124">
        <v>4.8300000000000001E-3</v>
      </c>
      <c r="BD227" s="124">
        <v>1.1999999999999999E-3</v>
      </c>
      <c r="BE227" s="124">
        <v>6.7000000000000002E-3</v>
      </c>
      <c r="BF227" s="124">
        <v>8.3499999999999998E-3</v>
      </c>
      <c r="BG227" s="124">
        <v>5.4900000000000001E-3</v>
      </c>
      <c r="BH227" s="124">
        <v>4.8780000000000004E-2</v>
      </c>
      <c r="BI227" s="124">
        <v>1.856E-2</v>
      </c>
      <c r="BJ227" s="124">
        <v>4.3200000000000001E-3</v>
      </c>
      <c r="BK227" s="124">
        <v>3.9399999999999999E-3</v>
      </c>
      <c r="BL227" s="124">
        <v>5.6799999999999993E-3</v>
      </c>
      <c r="BM227" s="124">
        <v>3.7599999999999999E-3</v>
      </c>
      <c r="BN227" s="118">
        <v>5.25</v>
      </c>
      <c r="BO227" s="118"/>
      <c r="BP227" s="118"/>
      <c r="BQ227" s="118"/>
      <c r="BR227" s="118"/>
    </row>
    <row r="228" spans="1:70">
      <c r="A228" s="122">
        <v>73005</v>
      </c>
      <c r="B228" s="122" t="s">
        <v>978</v>
      </c>
      <c r="C228" s="122" t="s">
        <v>979</v>
      </c>
      <c r="D228" s="122"/>
      <c r="E228" s="122" t="s">
        <v>1152</v>
      </c>
      <c r="F228" s="122" t="s">
        <v>1453</v>
      </c>
      <c r="G228" s="163" t="s">
        <v>1454</v>
      </c>
      <c r="H228" s="122">
        <v>22</v>
      </c>
      <c r="I228" s="122" t="s">
        <v>971</v>
      </c>
      <c r="J228" s="118"/>
      <c r="K228" s="118">
        <v>90.46</v>
      </c>
      <c r="L228" s="118">
        <v>1.4800000000000001E-2</v>
      </c>
      <c r="M228" s="118">
        <v>0.05</v>
      </c>
      <c r="N228" s="118"/>
      <c r="O228" s="118"/>
      <c r="P228" s="118"/>
      <c r="Q228" s="118"/>
      <c r="R228" s="118"/>
      <c r="S228" s="118"/>
      <c r="T228" s="118"/>
      <c r="U228" s="118"/>
      <c r="V228" s="118"/>
      <c r="W228" s="118">
        <v>12.76</v>
      </c>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row>
    <row r="229" spans="1:70">
      <c r="A229" s="122">
        <v>79201</v>
      </c>
      <c r="B229" s="122" t="s">
        <v>980</v>
      </c>
      <c r="C229" s="122" t="s">
        <v>981</v>
      </c>
      <c r="D229" s="122"/>
      <c r="E229" s="122" t="s">
        <v>76</v>
      </c>
      <c r="F229" s="122" t="s">
        <v>1455</v>
      </c>
      <c r="G229" s="163" t="s">
        <v>1456</v>
      </c>
      <c r="H229" s="122">
        <v>22</v>
      </c>
      <c r="I229" s="122" t="s">
        <v>971</v>
      </c>
      <c r="J229" s="118">
        <v>355</v>
      </c>
      <c r="K229" s="118">
        <v>3.1</v>
      </c>
      <c r="L229" s="118">
        <v>12.2</v>
      </c>
      <c r="M229" s="118">
        <v>0.5</v>
      </c>
      <c r="N229" s="118">
        <v>75.400000000000006</v>
      </c>
      <c r="O229" s="118">
        <v>0</v>
      </c>
      <c r="P229" s="118">
        <v>0.01</v>
      </c>
      <c r="Q229" s="118">
        <v>7.0000000000000007E-2</v>
      </c>
      <c r="R229" s="118">
        <v>28.17</v>
      </c>
      <c r="S229" s="118"/>
      <c r="T229" s="118">
        <v>0.03</v>
      </c>
      <c r="U229" s="118">
        <v>0</v>
      </c>
      <c r="V229" s="118">
        <v>0</v>
      </c>
      <c r="W229" s="118">
        <v>0</v>
      </c>
      <c r="X229" s="118">
        <v>0</v>
      </c>
      <c r="Y229" s="118">
        <v>0</v>
      </c>
      <c r="Z229" s="118">
        <v>1.9</v>
      </c>
      <c r="AA229" s="118">
        <v>0</v>
      </c>
      <c r="AB229" s="118">
        <v>0</v>
      </c>
      <c r="AC229" s="118">
        <v>0</v>
      </c>
      <c r="AD229" s="118">
        <v>0</v>
      </c>
      <c r="AE229" s="118"/>
      <c r="AF229" s="118"/>
      <c r="AG229" s="118"/>
      <c r="AH229" s="118"/>
      <c r="AI229" s="118">
        <v>141</v>
      </c>
      <c r="AJ229" s="118">
        <v>0.14000000000000001</v>
      </c>
      <c r="AK229" s="118">
        <v>4.41</v>
      </c>
      <c r="AL229" s="118">
        <v>327</v>
      </c>
      <c r="AM229" s="118">
        <v>1.71</v>
      </c>
      <c r="AN229" s="118">
        <v>303</v>
      </c>
      <c r="AO229" s="118">
        <v>3540</v>
      </c>
      <c r="AP229" s="118">
        <v>12.6</v>
      </c>
      <c r="AQ229" s="118">
        <v>0.35</v>
      </c>
      <c r="AR229" s="118"/>
      <c r="AS229" s="118"/>
      <c r="AT229" s="118"/>
      <c r="AU229" s="118"/>
      <c r="AV229" s="124"/>
      <c r="AW229" s="124"/>
      <c r="AX229" s="124"/>
      <c r="AY229" s="124"/>
      <c r="AZ229" s="124"/>
      <c r="BA229" s="124"/>
      <c r="BB229" s="124"/>
      <c r="BC229" s="124"/>
      <c r="BD229" s="124"/>
      <c r="BE229" s="124"/>
      <c r="BF229" s="124"/>
      <c r="BG229" s="124"/>
      <c r="BH229" s="124"/>
      <c r="BI229" s="124"/>
      <c r="BJ229" s="124"/>
      <c r="BK229" s="124"/>
      <c r="BL229" s="124"/>
      <c r="BM229" s="124"/>
      <c r="BN229" s="118"/>
      <c r="BO229" s="118"/>
      <c r="BP229" s="118"/>
      <c r="BQ229" s="118"/>
      <c r="BR229" s="118"/>
    </row>
    <row r="230" spans="1:70">
      <c r="A230" s="122">
        <v>73006</v>
      </c>
      <c r="B230" s="122" t="s">
        <v>983</v>
      </c>
      <c r="C230" s="122" t="s">
        <v>984</v>
      </c>
      <c r="D230" s="122"/>
      <c r="E230" s="122" t="s">
        <v>103</v>
      </c>
      <c r="F230" s="122">
        <v>9442</v>
      </c>
      <c r="G230" s="163" t="s">
        <v>985</v>
      </c>
      <c r="H230" s="122">
        <v>14</v>
      </c>
      <c r="I230" s="122" t="s">
        <v>291</v>
      </c>
      <c r="J230" s="118">
        <v>54</v>
      </c>
      <c r="K230" s="118">
        <v>86</v>
      </c>
      <c r="L230" s="118">
        <v>0.15</v>
      </c>
      <c r="M230" s="118">
        <v>0.28999999999999998</v>
      </c>
      <c r="N230" s="118">
        <v>13.1</v>
      </c>
      <c r="O230" s="118">
        <v>0.1</v>
      </c>
      <c r="P230" s="118">
        <v>1.4999999999999999E-2</v>
      </c>
      <c r="Q230" s="118">
        <v>1.4999999999999999E-2</v>
      </c>
      <c r="R230" s="118">
        <v>0.23300000000000001</v>
      </c>
      <c r="S230" s="118">
        <v>0.28499999999999998</v>
      </c>
      <c r="T230" s="118">
        <v>0.04</v>
      </c>
      <c r="U230" s="118">
        <v>24</v>
      </c>
      <c r="V230" s="118">
        <v>0</v>
      </c>
      <c r="W230" s="118">
        <v>0.1</v>
      </c>
      <c r="X230" s="118">
        <v>0</v>
      </c>
      <c r="Y230" s="118">
        <v>0.38</v>
      </c>
      <c r="Z230" s="118">
        <v>10.4</v>
      </c>
      <c r="AA230" s="118">
        <v>0</v>
      </c>
      <c r="AB230" s="118">
        <v>0</v>
      </c>
      <c r="AC230" s="118">
        <v>0</v>
      </c>
      <c r="AD230" s="118">
        <v>0</v>
      </c>
      <c r="AE230" s="118">
        <v>0</v>
      </c>
      <c r="AF230" s="118">
        <v>0</v>
      </c>
      <c r="AG230" s="118">
        <v>0</v>
      </c>
      <c r="AH230" s="118">
        <v>0</v>
      </c>
      <c r="AI230" s="118">
        <v>11</v>
      </c>
      <c r="AJ230" s="118">
        <v>2.1000000000000001E-2</v>
      </c>
      <c r="AK230" s="118">
        <v>0.1</v>
      </c>
      <c r="AL230" s="118">
        <v>7</v>
      </c>
      <c r="AM230" s="118">
        <v>9.5000000000000001E-2</v>
      </c>
      <c r="AN230" s="118">
        <v>11</v>
      </c>
      <c r="AO230" s="118">
        <v>214</v>
      </c>
      <c r="AP230" s="118">
        <v>0.3</v>
      </c>
      <c r="AQ230" s="118">
        <v>0.09</v>
      </c>
      <c r="AR230" s="118">
        <v>7.6999999999999999E-2</v>
      </c>
      <c r="AS230" s="118">
        <v>5.8999999999999997E-2</v>
      </c>
      <c r="AT230" s="118">
        <v>0.05</v>
      </c>
      <c r="AU230" s="118">
        <v>0</v>
      </c>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row>
    <row r="231" spans="1:70">
      <c r="A231" s="122">
        <v>73007</v>
      </c>
      <c r="B231" s="122" t="s">
        <v>986</v>
      </c>
      <c r="C231" s="122" t="s">
        <v>987</v>
      </c>
      <c r="D231" s="122"/>
      <c r="E231" s="122" t="s">
        <v>76</v>
      </c>
      <c r="F231" s="122" t="s">
        <v>1457</v>
      </c>
      <c r="G231" s="163" t="s">
        <v>1458</v>
      </c>
      <c r="H231" s="122">
        <v>14</v>
      </c>
      <c r="I231" s="122" t="s">
        <v>291</v>
      </c>
      <c r="J231" s="118">
        <v>9</v>
      </c>
      <c r="K231" s="118">
        <v>97.7</v>
      </c>
      <c r="L231" s="118">
        <v>0.2</v>
      </c>
      <c r="M231" s="118">
        <v>0.1</v>
      </c>
      <c r="N231" s="118">
        <v>1.7</v>
      </c>
      <c r="O231" s="118">
        <v>0.2</v>
      </c>
      <c r="P231" s="118">
        <v>0.06</v>
      </c>
      <c r="Q231" s="118">
        <v>0.02</v>
      </c>
      <c r="R231" s="118">
        <v>0.2</v>
      </c>
      <c r="S231" s="118">
        <v>0.15</v>
      </c>
      <c r="T231" s="118">
        <v>0.05</v>
      </c>
      <c r="U231" s="118">
        <v>6</v>
      </c>
      <c r="V231" s="118">
        <v>0</v>
      </c>
      <c r="W231" s="118">
        <v>64</v>
      </c>
      <c r="X231" s="118">
        <v>0</v>
      </c>
      <c r="Y231" s="118">
        <v>0.17</v>
      </c>
      <c r="Z231" s="118">
        <v>0.1</v>
      </c>
      <c r="AA231" s="118">
        <v>0</v>
      </c>
      <c r="AB231" s="118">
        <v>1.97</v>
      </c>
      <c r="AC231" s="118">
        <v>1.18</v>
      </c>
      <c r="AD231" s="118">
        <v>6.49</v>
      </c>
      <c r="AE231" s="118"/>
      <c r="AF231" s="118"/>
      <c r="AG231" s="118"/>
      <c r="AH231" s="118"/>
      <c r="AI231" s="118">
        <v>5</v>
      </c>
      <c r="AJ231" s="118">
        <v>0.04</v>
      </c>
      <c r="AK231" s="118">
        <v>0.7</v>
      </c>
      <c r="AL231" s="118">
        <v>8</v>
      </c>
      <c r="AM231" s="118">
        <v>2.1000000000000001E-2</v>
      </c>
      <c r="AN231" s="118">
        <v>13</v>
      </c>
      <c r="AO231" s="118">
        <v>150</v>
      </c>
      <c r="AP231" s="118">
        <v>0.1</v>
      </c>
      <c r="AQ231" s="118">
        <v>0.05</v>
      </c>
      <c r="AR231" s="118"/>
      <c r="AS231" s="118"/>
      <c r="AT231" s="118"/>
      <c r="AU231" s="118"/>
      <c r="AV231" s="124"/>
      <c r="AW231" s="124"/>
      <c r="AX231" s="124"/>
      <c r="AY231" s="124"/>
      <c r="AZ231" s="124"/>
      <c r="BA231" s="124"/>
      <c r="BB231" s="124"/>
      <c r="BC231" s="124"/>
      <c r="BD231" s="124"/>
      <c r="BE231" s="124"/>
      <c r="BF231" s="124"/>
      <c r="BG231" s="124"/>
      <c r="BH231" s="124"/>
      <c r="BI231" s="124"/>
      <c r="BJ231" s="124"/>
      <c r="BK231" s="124"/>
      <c r="BL231" s="124"/>
      <c r="BM231" s="124"/>
      <c r="BN231" s="118"/>
      <c r="BO231" s="118"/>
      <c r="BP231" s="118"/>
      <c r="BQ231" s="118"/>
      <c r="BR231" s="118"/>
    </row>
    <row r="232" spans="1:70">
      <c r="A232" s="122">
        <v>73008</v>
      </c>
      <c r="B232" s="122" t="s">
        <v>989</v>
      </c>
      <c r="C232" s="122" t="s">
        <v>990</v>
      </c>
      <c r="D232" s="122"/>
      <c r="E232" s="122" t="s">
        <v>1417</v>
      </c>
      <c r="F232" s="122" t="s">
        <v>1459</v>
      </c>
      <c r="G232" s="163" t="s">
        <v>1460</v>
      </c>
      <c r="H232" s="122">
        <v>14</v>
      </c>
      <c r="I232" s="122" t="s">
        <v>291</v>
      </c>
      <c r="J232" s="118">
        <v>58</v>
      </c>
      <c r="K232" s="118"/>
      <c r="L232" s="118">
        <v>0.42</v>
      </c>
      <c r="M232" s="118">
        <v>0</v>
      </c>
      <c r="N232" s="118">
        <v>14.2</v>
      </c>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v>0</v>
      </c>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row>
    <row r="233" spans="1:70">
      <c r="A233" s="122">
        <v>79003</v>
      </c>
      <c r="B233" s="122" t="s">
        <v>992</v>
      </c>
      <c r="C233" s="122" t="s">
        <v>993</v>
      </c>
      <c r="D233" s="122"/>
      <c r="E233" s="122" t="s">
        <v>122</v>
      </c>
      <c r="F233" s="122">
        <v>2259792</v>
      </c>
      <c r="G233" s="163" t="s">
        <v>994</v>
      </c>
      <c r="H233" s="122">
        <v>5</v>
      </c>
      <c r="I233" s="122" t="s">
        <v>649</v>
      </c>
      <c r="J233" s="118">
        <v>43</v>
      </c>
      <c r="K233" s="118">
        <v>89.8</v>
      </c>
      <c r="L233" s="118">
        <v>3.46</v>
      </c>
      <c r="M233" s="118">
        <v>1.08</v>
      </c>
      <c r="N233" s="118">
        <v>4.8099999999999996</v>
      </c>
      <c r="O233" s="118"/>
      <c r="P233" s="118">
        <v>4.8000000000000001E-2</v>
      </c>
      <c r="Q233" s="118">
        <v>0.19600000000000001</v>
      </c>
      <c r="R233" s="118">
        <v>0.128</v>
      </c>
      <c r="S233" s="118"/>
      <c r="T233" s="118">
        <v>3.9E-2</v>
      </c>
      <c r="U233" s="118"/>
      <c r="V233" s="118"/>
      <c r="W233" s="118"/>
      <c r="X233" s="118">
        <v>0.54</v>
      </c>
      <c r="Y233" s="118"/>
      <c r="Z233" s="118">
        <v>0.1</v>
      </c>
      <c r="AA233" s="118">
        <v>36</v>
      </c>
      <c r="AB233" s="118"/>
      <c r="AC233" s="118"/>
      <c r="AD233" s="118"/>
      <c r="AE233" s="118"/>
      <c r="AF233" s="118"/>
      <c r="AG233" s="118"/>
      <c r="AH233" s="118"/>
      <c r="AI233" s="118">
        <v>120</v>
      </c>
      <c r="AJ233" s="118">
        <v>1E-3</v>
      </c>
      <c r="AK233" s="118">
        <v>0.01</v>
      </c>
      <c r="AL233" s="118">
        <v>11</v>
      </c>
      <c r="AM233" s="118">
        <v>5.0000000000000001E-3</v>
      </c>
      <c r="AN233" s="118">
        <v>92</v>
      </c>
      <c r="AO233" s="118">
        <v>158</v>
      </c>
      <c r="AP233" s="118"/>
      <c r="AQ233" s="118">
        <v>0.43</v>
      </c>
      <c r="AR233" s="118">
        <v>0.55200000000000005</v>
      </c>
      <c r="AS233" s="118">
        <v>0.19900000000000001</v>
      </c>
      <c r="AT233" s="118"/>
      <c r="AU233" s="118">
        <v>5</v>
      </c>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18"/>
      <c r="BR233" s="118"/>
    </row>
    <row r="234" spans="1:70">
      <c r="A234" s="122">
        <v>79001</v>
      </c>
      <c r="B234" s="122" t="s">
        <v>995</v>
      </c>
      <c r="C234" s="122" t="s">
        <v>996</v>
      </c>
      <c r="D234" s="122"/>
      <c r="E234" s="122" t="s">
        <v>76</v>
      </c>
      <c r="F234" s="122">
        <v>120006</v>
      </c>
      <c r="G234" s="163" t="s">
        <v>997</v>
      </c>
      <c r="H234" s="122">
        <v>5</v>
      </c>
      <c r="I234" s="122" t="s">
        <v>649</v>
      </c>
      <c r="J234" s="118">
        <v>497</v>
      </c>
      <c r="K234" s="118">
        <v>3.2</v>
      </c>
      <c r="L234" s="118">
        <v>26.65</v>
      </c>
      <c r="M234" s="118">
        <v>26.69</v>
      </c>
      <c r="N234" s="118">
        <v>37.53</v>
      </c>
      <c r="O234" s="118">
        <v>0</v>
      </c>
      <c r="P234" s="118">
        <v>0.31</v>
      </c>
      <c r="Q234" s="118">
        <v>1.37</v>
      </c>
      <c r="R234" s="118">
        <v>0.68</v>
      </c>
      <c r="S234" s="118"/>
      <c r="T234" s="118">
        <v>0.28000000000000003</v>
      </c>
      <c r="U234" s="118">
        <v>38</v>
      </c>
      <c r="V234" s="118">
        <v>3.25</v>
      </c>
      <c r="W234" s="118">
        <v>10.65</v>
      </c>
      <c r="X234" s="118"/>
      <c r="Y234" s="118">
        <v>0.59</v>
      </c>
      <c r="Z234" s="118"/>
      <c r="AA234" s="118">
        <v>227.67</v>
      </c>
      <c r="AB234" s="118">
        <v>237.96</v>
      </c>
      <c r="AC234" s="118"/>
      <c r="AD234" s="118"/>
      <c r="AE234" s="118"/>
      <c r="AF234" s="118"/>
      <c r="AG234" s="118"/>
      <c r="AH234" s="118"/>
      <c r="AI234" s="118">
        <v>959.33</v>
      </c>
      <c r="AJ234" s="118">
        <v>0.06</v>
      </c>
      <c r="AK234" s="118">
        <v>0.65</v>
      </c>
      <c r="AL234" s="118">
        <v>92</v>
      </c>
      <c r="AM234" s="118"/>
      <c r="AN234" s="118">
        <v>758.33</v>
      </c>
      <c r="AO234" s="118">
        <v>1180</v>
      </c>
      <c r="AP234" s="118"/>
      <c r="AQ234" s="118">
        <v>3.71</v>
      </c>
      <c r="AR234" s="118">
        <v>2.71</v>
      </c>
      <c r="AS234" s="118">
        <v>1.21</v>
      </c>
      <c r="AT234" s="118">
        <v>0.14000000000000001</v>
      </c>
      <c r="AU234" s="118"/>
      <c r="AV234" s="124"/>
      <c r="AW234" s="124"/>
      <c r="AX234" s="124"/>
      <c r="AY234" s="124"/>
      <c r="AZ234" s="124"/>
      <c r="BA234" s="124"/>
      <c r="BB234" s="124"/>
      <c r="BC234" s="124"/>
      <c r="BD234" s="124"/>
      <c r="BE234" s="124"/>
      <c r="BF234" s="124"/>
      <c r="BG234" s="124"/>
      <c r="BH234" s="124"/>
      <c r="BI234" s="124"/>
      <c r="BJ234" s="124"/>
      <c r="BK234" s="124"/>
      <c r="BL234" s="124"/>
      <c r="BM234" s="124"/>
      <c r="BN234" s="118"/>
      <c r="BO234" s="118"/>
      <c r="BP234" s="118"/>
      <c r="BQ234" s="118"/>
      <c r="BR234" s="118"/>
    </row>
    <row r="235" spans="1:70">
      <c r="A235" s="122">
        <v>79002</v>
      </c>
      <c r="B235" s="122" t="s">
        <v>998</v>
      </c>
      <c r="C235" s="122"/>
      <c r="D235" s="122"/>
      <c r="E235" s="122" t="s">
        <v>76</v>
      </c>
      <c r="F235" s="122">
        <v>120005</v>
      </c>
      <c r="G235" s="163" t="s">
        <v>999</v>
      </c>
      <c r="H235" s="122">
        <v>13</v>
      </c>
      <c r="I235" s="122" t="s">
        <v>295</v>
      </c>
      <c r="J235" s="118">
        <v>358</v>
      </c>
      <c r="K235" s="118">
        <v>3.8</v>
      </c>
      <c r="L235" s="118">
        <v>37.57</v>
      </c>
      <c r="M235" s="118">
        <v>1</v>
      </c>
      <c r="N235" s="118">
        <v>49.78</v>
      </c>
      <c r="O235" s="118">
        <v>0</v>
      </c>
      <c r="P235" s="118">
        <v>0.45</v>
      </c>
      <c r="Q235" s="118">
        <v>1.64</v>
      </c>
      <c r="R235" s="118">
        <v>2.44</v>
      </c>
      <c r="S235" s="118"/>
      <c r="T235" s="118">
        <v>0.65</v>
      </c>
      <c r="U235" s="118">
        <v>21</v>
      </c>
      <c r="V235" s="118"/>
      <c r="W235" s="118">
        <v>5</v>
      </c>
      <c r="X235" s="118"/>
      <c r="Y235" s="118">
        <v>0.1</v>
      </c>
      <c r="Z235" s="118"/>
      <c r="AA235" s="118">
        <v>0</v>
      </c>
      <c r="AB235" s="118">
        <v>0</v>
      </c>
      <c r="AC235" s="118"/>
      <c r="AD235" s="118">
        <v>0</v>
      </c>
      <c r="AE235" s="118"/>
      <c r="AF235" s="118"/>
      <c r="AG235" s="118"/>
      <c r="AH235" s="118"/>
      <c r="AI235" s="118">
        <v>1370</v>
      </c>
      <c r="AJ235" s="118">
        <v>0.1</v>
      </c>
      <c r="AK235" s="118">
        <v>1.1000000000000001</v>
      </c>
      <c r="AL235" s="118">
        <v>110</v>
      </c>
      <c r="AM235" s="118"/>
      <c r="AN235" s="118">
        <v>956</v>
      </c>
      <c r="AO235" s="118">
        <v>1600</v>
      </c>
      <c r="AP235" s="118"/>
      <c r="AQ235" s="118">
        <v>4.7</v>
      </c>
      <c r="AR235" s="118"/>
      <c r="AS235" s="118"/>
      <c r="AT235" s="118"/>
      <c r="AU235" s="118"/>
      <c r="AV235" s="124"/>
      <c r="AW235" s="124"/>
      <c r="AX235" s="124"/>
      <c r="AY235" s="124"/>
      <c r="AZ235" s="124"/>
      <c r="BA235" s="124"/>
      <c r="BB235" s="124"/>
      <c r="BC235" s="124"/>
      <c r="BD235" s="124"/>
      <c r="BE235" s="124"/>
      <c r="BF235" s="124"/>
      <c r="BG235" s="124"/>
      <c r="BH235" s="124"/>
      <c r="BI235" s="124"/>
      <c r="BJ235" s="124"/>
      <c r="BK235" s="124"/>
      <c r="BL235" s="124"/>
      <c r="BM235" s="124"/>
      <c r="BN235" s="118"/>
      <c r="BO235" s="118"/>
      <c r="BP235" s="118"/>
      <c r="BQ235" s="118"/>
      <c r="BR235" s="118"/>
    </row>
    <row r="236" spans="1:70">
      <c r="A236" s="122">
        <v>21024</v>
      </c>
      <c r="B236" s="122" t="s">
        <v>1000</v>
      </c>
      <c r="C236" s="122" t="s">
        <v>1001</v>
      </c>
      <c r="D236" s="122" t="s">
        <v>1002</v>
      </c>
      <c r="E236" s="122" t="s">
        <v>76</v>
      </c>
      <c r="F236" s="122" t="s">
        <v>1461</v>
      </c>
      <c r="G236" s="163" t="s">
        <v>1462</v>
      </c>
      <c r="H236" s="122">
        <v>13</v>
      </c>
      <c r="I236" s="122" t="s">
        <v>295</v>
      </c>
      <c r="J236" s="118">
        <v>35</v>
      </c>
      <c r="K236" s="118">
        <v>87.38</v>
      </c>
      <c r="L236" s="118">
        <v>3</v>
      </c>
      <c r="M236" s="118">
        <v>0.73</v>
      </c>
      <c r="N236" s="118">
        <v>0.56999999999999995</v>
      </c>
      <c r="O236" s="118">
        <v>6.91</v>
      </c>
      <c r="P236" s="118">
        <v>0.09</v>
      </c>
      <c r="Q236" s="118">
        <v>0.26</v>
      </c>
      <c r="R236" s="118">
        <v>0.95</v>
      </c>
      <c r="S236" s="118">
        <v>0.34</v>
      </c>
      <c r="T236" s="118">
        <v>0.16</v>
      </c>
      <c r="U236" s="118">
        <v>114</v>
      </c>
      <c r="V236" s="118">
        <v>0</v>
      </c>
      <c r="W236" s="118">
        <v>21.95</v>
      </c>
      <c r="X236" s="118">
        <v>3.37</v>
      </c>
      <c r="Y236" s="118">
        <v>5</v>
      </c>
      <c r="Z236" s="118">
        <v>164</v>
      </c>
      <c r="AA236" s="118">
        <v>0</v>
      </c>
      <c r="AB236" s="118">
        <v>62</v>
      </c>
      <c r="AC236" s="118"/>
      <c r="AD236" s="118">
        <v>4602</v>
      </c>
      <c r="AE236" s="118"/>
      <c r="AF236" s="118"/>
      <c r="AG236" s="118"/>
      <c r="AH236" s="118"/>
      <c r="AI236" s="118">
        <v>110.12</v>
      </c>
      <c r="AJ236" s="118">
        <v>0.15</v>
      </c>
      <c r="AK236" s="118">
        <v>15.6</v>
      </c>
      <c r="AL236" s="118">
        <v>42.27</v>
      </c>
      <c r="AM236" s="118">
        <v>1.06</v>
      </c>
      <c r="AN236" s="118">
        <v>62</v>
      </c>
      <c r="AO236" s="118">
        <v>354.8</v>
      </c>
      <c r="AP236" s="118">
        <v>10.79</v>
      </c>
      <c r="AQ236" s="118">
        <v>1.76</v>
      </c>
      <c r="AR236" s="118">
        <v>0.13</v>
      </c>
      <c r="AS236" s="118">
        <v>0.01</v>
      </c>
      <c r="AT236" s="118">
        <v>0.35</v>
      </c>
      <c r="AU236" s="118"/>
      <c r="AV236" s="124">
        <v>7.5490000000000002E-2</v>
      </c>
      <c r="AW236" s="124">
        <v>0.20224</v>
      </c>
      <c r="AX236" s="124">
        <v>0.38305</v>
      </c>
      <c r="AY236" s="124">
        <v>0.13653999999999999</v>
      </c>
      <c r="AZ236" s="124">
        <v>6.5709999999999991E-2</v>
      </c>
      <c r="BA236" s="124">
        <v>3.3549999999999996E-2</v>
      </c>
      <c r="BB236" s="124">
        <v>0.24884000000000001</v>
      </c>
      <c r="BC236" s="124">
        <v>0.21296000000000001</v>
      </c>
      <c r="BD236" s="124">
        <v>5.7320000000000003E-2</v>
      </c>
      <c r="BE236" s="124">
        <v>0.26701999999999998</v>
      </c>
      <c r="BF236" s="124">
        <v>0.24465000000000001</v>
      </c>
      <c r="BG236" s="124">
        <v>0.23113999999999998</v>
      </c>
      <c r="BH236" s="124">
        <v>0.61559000000000008</v>
      </c>
      <c r="BI236" s="124">
        <v>0.72089999999999999</v>
      </c>
      <c r="BJ236" s="124">
        <v>0.25444</v>
      </c>
      <c r="BK236" s="124">
        <v>0.22415000000000002</v>
      </c>
      <c r="BL236" s="124">
        <v>0.21156</v>
      </c>
      <c r="BM236" s="124">
        <v>0.15471000000000001</v>
      </c>
      <c r="BN236" s="118">
        <v>79.989999999999995</v>
      </c>
      <c r="BO236" s="118">
        <v>48.05</v>
      </c>
      <c r="BP236" s="118">
        <v>33</v>
      </c>
      <c r="BQ236" s="118"/>
      <c r="BR236" s="118"/>
    </row>
    <row r="237" spans="1:70">
      <c r="A237" s="122">
        <v>35002</v>
      </c>
      <c r="B237" s="122" t="s">
        <v>1004</v>
      </c>
      <c r="C237" s="122" t="s">
        <v>1005</v>
      </c>
      <c r="D237" s="122" t="s">
        <v>1006</v>
      </c>
      <c r="E237" s="122" t="s">
        <v>82</v>
      </c>
      <c r="F237" s="122" t="s">
        <v>1007</v>
      </c>
      <c r="G237" s="163" t="s">
        <v>1008</v>
      </c>
      <c r="H237" s="122">
        <v>13</v>
      </c>
      <c r="I237" s="122" t="s">
        <v>295</v>
      </c>
      <c r="J237" s="118">
        <v>21.75</v>
      </c>
      <c r="K237" s="118">
        <v>92.27</v>
      </c>
      <c r="L237" s="118">
        <v>1.54</v>
      </c>
      <c r="M237" s="118">
        <v>0.27</v>
      </c>
      <c r="N237" s="118">
        <v>3.01</v>
      </c>
      <c r="O237" s="118">
        <v>1.79</v>
      </c>
      <c r="P237" s="118">
        <v>0.05</v>
      </c>
      <c r="Q237" s="118">
        <v>0.09</v>
      </c>
      <c r="R237" s="118">
        <v>0.17</v>
      </c>
      <c r="S237" s="118">
        <v>0.11</v>
      </c>
      <c r="T237" s="118">
        <v>0.08</v>
      </c>
      <c r="U237" s="118">
        <v>30.69</v>
      </c>
      <c r="V237" s="118"/>
      <c r="W237" s="118">
        <v>11.91</v>
      </c>
      <c r="X237" s="118">
        <v>0.1</v>
      </c>
      <c r="Y237" s="118">
        <v>0.01</v>
      </c>
      <c r="Z237" s="118">
        <v>91.08</v>
      </c>
      <c r="AA237" s="118"/>
      <c r="AB237" s="125">
        <f>AA237+1/12*(AD237)+1/24*(AC237)+1/24*(AG237)</f>
        <v>107.08333333333333</v>
      </c>
      <c r="AC237" s="118"/>
      <c r="AD237" s="118">
        <v>1285</v>
      </c>
      <c r="AE237" s="118">
        <v>1858</v>
      </c>
      <c r="AF237" s="118"/>
      <c r="AG237" s="118"/>
      <c r="AH237" s="118">
        <v>5.64</v>
      </c>
      <c r="AI237" s="118">
        <v>56.71</v>
      </c>
      <c r="AJ237" s="118">
        <v>0.14000000000000001</v>
      </c>
      <c r="AK237" s="118">
        <v>2.73</v>
      </c>
      <c r="AL237" s="118">
        <v>43.22</v>
      </c>
      <c r="AM237" s="118">
        <v>0.38</v>
      </c>
      <c r="AN237" s="118">
        <v>44.1</v>
      </c>
      <c r="AO237" s="118">
        <v>279</v>
      </c>
      <c r="AP237" s="118">
        <v>5.56</v>
      </c>
      <c r="AQ237" s="118">
        <v>0.51</v>
      </c>
      <c r="AR237" s="118">
        <v>0.11600000000000001</v>
      </c>
      <c r="AS237" s="118">
        <v>2.2200000000000001E-2</v>
      </c>
      <c r="AT237" s="118">
        <v>0.20799999999999999</v>
      </c>
      <c r="AU237" s="118"/>
      <c r="AV237" s="118">
        <v>1.74</v>
      </c>
      <c r="AW237" s="118">
        <v>3.49</v>
      </c>
      <c r="AX237" s="118">
        <v>6.9</v>
      </c>
      <c r="AY237" s="118">
        <v>5.22</v>
      </c>
      <c r="AZ237" s="118">
        <v>0.95</v>
      </c>
      <c r="BA237" s="118">
        <v>0.87</v>
      </c>
      <c r="BB237" s="118">
        <v>3.61</v>
      </c>
      <c r="BC237" s="118">
        <v>4.5</v>
      </c>
      <c r="BD237" s="118">
        <v>1.23</v>
      </c>
      <c r="BE237" s="118">
        <v>4.95</v>
      </c>
      <c r="BF237" s="118">
        <v>6.51</v>
      </c>
      <c r="BG237" s="118">
        <v>4.7699999999999996</v>
      </c>
      <c r="BH237" s="118">
        <v>11.32</v>
      </c>
      <c r="BI237" s="118">
        <v>16.100000000000001</v>
      </c>
      <c r="BJ237" s="118">
        <v>5.68</v>
      </c>
      <c r="BK237" s="118">
        <v>4.51</v>
      </c>
      <c r="BL237" s="118">
        <v>3.8</v>
      </c>
      <c r="BM237" s="118">
        <v>3</v>
      </c>
      <c r="BN237" s="118">
        <v>19.47</v>
      </c>
      <c r="BO237" s="118">
        <v>42.28</v>
      </c>
      <c r="BP237" s="118">
        <v>364</v>
      </c>
      <c r="BQ237" s="118"/>
      <c r="BR237" s="118"/>
    </row>
    <row r="238" spans="1:70">
      <c r="A238" s="122">
        <v>90101</v>
      </c>
      <c r="B238" s="122" t="s">
        <v>1009</v>
      </c>
      <c r="C238" s="122" t="s">
        <v>1010</v>
      </c>
      <c r="D238" s="122"/>
      <c r="E238" s="122" t="s">
        <v>76</v>
      </c>
      <c r="F238" s="122" t="s">
        <v>1463</v>
      </c>
      <c r="G238" s="163" t="s">
        <v>1464</v>
      </c>
      <c r="H238" s="122">
        <v>16</v>
      </c>
      <c r="I238" s="122" t="s">
        <v>1011</v>
      </c>
      <c r="J238" s="118">
        <v>900</v>
      </c>
      <c r="K238" s="118">
        <v>0</v>
      </c>
      <c r="L238" s="118">
        <v>0</v>
      </c>
      <c r="M238" s="118">
        <v>99.97</v>
      </c>
      <c r="N238" s="118">
        <v>0</v>
      </c>
      <c r="O238" s="118">
        <v>0</v>
      </c>
      <c r="P238" s="118">
        <v>0</v>
      </c>
      <c r="Q238" s="118">
        <v>0</v>
      </c>
      <c r="R238" s="118">
        <v>0</v>
      </c>
      <c r="S238" s="118"/>
      <c r="T238" s="118">
        <v>0</v>
      </c>
      <c r="U238" s="118">
        <v>0</v>
      </c>
      <c r="V238" s="118"/>
      <c r="W238" s="118">
        <v>0</v>
      </c>
      <c r="X238" s="118">
        <v>0</v>
      </c>
      <c r="Y238" s="118">
        <v>33.119999999999997</v>
      </c>
      <c r="Z238" s="118"/>
      <c r="AA238" s="118">
        <v>0</v>
      </c>
      <c r="AB238" s="118">
        <v>0</v>
      </c>
      <c r="AC238" s="118">
        <v>0</v>
      </c>
      <c r="AD238" s="118">
        <v>0</v>
      </c>
      <c r="AE238" s="118"/>
      <c r="AF238" s="118"/>
      <c r="AG238" s="118"/>
      <c r="AH238" s="118"/>
      <c r="AI238" s="118">
        <v>0</v>
      </c>
      <c r="AJ238" s="118">
        <v>0</v>
      </c>
      <c r="AK238" s="118">
        <v>0.01</v>
      </c>
      <c r="AL238" s="118">
        <v>0</v>
      </c>
      <c r="AM238" s="118"/>
      <c r="AN238" s="118">
        <v>0</v>
      </c>
      <c r="AO238" s="118">
        <v>0</v>
      </c>
      <c r="AP238" s="118"/>
      <c r="AQ238" s="118">
        <v>0</v>
      </c>
      <c r="AR238" s="118">
        <v>43.5</v>
      </c>
      <c r="AS238" s="118">
        <v>82.64</v>
      </c>
      <c r="AT238" s="118">
        <v>32.03</v>
      </c>
      <c r="AU238" s="118">
        <v>0</v>
      </c>
      <c r="AV238" s="124"/>
      <c r="AW238" s="124"/>
      <c r="AX238" s="124"/>
      <c r="AY238" s="124"/>
      <c r="AZ238" s="124"/>
      <c r="BA238" s="124"/>
      <c r="BB238" s="124"/>
      <c r="BC238" s="124"/>
      <c r="BD238" s="124"/>
      <c r="BE238" s="124"/>
      <c r="BF238" s="124"/>
      <c r="BG238" s="124"/>
      <c r="BH238" s="124"/>
      <c r="BI238" s="124"/>
      <c r="BJ238" s="124"/>
      <c r="BK238" s="124"/>
      <c r="BL238" s="124"/>
      <c r="BM238" s="124"/>
      <c r="BN238" s="118"/>
      <c r="BO238" s="118"/>
      <c r="BP238" s="118"/>
      <c r="BQ238" s="118"/>
      <c r="BR238" s="118"/>
    </row>
    <row r="239" spans="1:70">
      <c r="A239" s="122">
        <v>90201</v>
      </c>
      <c r="B239" s="122" t="s">
        <v>1012</v>
      </c>
      <c r="C239" s="122" t="s">
        <v>1013</v>
      </c>
      <c r="D239" s="122"/>
      <c r="E239" s="122" t="s">
        <v>76</v>
      </c>
      <c r="F239" s="122" t="s">
        <v>1465</v>
      </c>
      <c r="G239" s="163" t="s">
        <v>1014</v>
      </c>
      <c r="H239" s="122">
        <v>17</v>
      </c>
      <c r="I239" s="122" t="s">
        <v>124</v>
      </c>
      <c r="J239" s="118">
        <v>900</v>
      </c>
      <c r="K239" s="118">
        <v>0</v>
      </c>
      <c r="L239" s="118">
        <v>0</v>
      </c>
      <c r="M239" s="118">
        <v>100</v>
      </c>
      <c r="N239" s="118">
        <v>0</v>
      </c>
      <c r="O239" s="118">
        <v>0</v>
      </c>
      <c r="P239" s="118">
        <v>0</v>
      </c>
      <c r="Q239" s="118">
        <v>0</v>
      </c>
      <c r="R239" s="118">
        <v>0</v>
      </c>
      <c r="S239" s="118"/>
      <c r="T239" s="118">
        <v>0</v>
      </c>
      <c r="U239" s="118">
        <v>0</v>
      </c>
      <c r="V239" s="118"/>
      <c r="W239" s="118">
        <v>0</v>
      </c>
      <c r="X239" s="118"/>
      <c r="Y239" s="118"/>
      <c r="Z239" s="118"/>
      <c r="AA239" s="118">
        <v>0</v>
      </c>
      <c r="AB239" s="118">
        <v>0</v>
      </c>
      <c r="AC239" s="118"/>
      <c r="AD239" s="118"/>
      <c r="AE239" s="118"/>
      <c r="AF239" s="118"/>
      <c r="AG239" s="118"/>
      <c r="AH239" s="118"/>
      <c r="AI239" s="118">
        <v>0</v>
      </c>
      <c r="AJ239" s="118">
        <v>0</v>
      </c>
      <c r="AK239" s="118">
        <v>0</v>
      </c>
      <c r="AL239" s="118">
        <v>0</v>
      </c>
      <c r="AM239" s="118"/>
      <c r="AN239" s="118">
        <v>0</v>
      </c>
      <c r="AO239" s="118">
        <v>0</v>
      </c>
      <c r="AP239" s="118"/>
      <c r="AQ239" s="118">
        <v>0</v>
      </c>
      <c r="AR239" s="118">
        <v>5.5</v>
      </c>
      <c r="AS239" s="118">
        <v>65.27</v>
      </c>
      <c r="AT239" s="118">
        <v>14.88</v>
      </c>
      <c r="AU239" s="118">
        <v>0</v>
      </c>
      <c r="AV239" s="124"/>
      <c r="AW239" s="124"/>
      <c r="AX239" s="124"/>
      <c r="AY239" s="124"/>
      <c r="AZ239" s="124"/>
      <c r="BA239" s="124"/>
      <c r="BB239" s="124"/>
      <c r="BC239" s="124"/>
      <c r="BD239" s="124"/>
      <c r="BE239" s="124"/>
      <c r="BF239" s="124"/>
      <c r="BG239" s="124"/>
      <c r="BH239" s="124"/>
      <c r="BI239" s="124"/>
      <c r="BJ239" s="124"/>
      <c r="BK239" s="124"/>
      <c r="BL239" s="124"/>
      <c r="BM239" s="124"/>
      <c r="BN239" s="118"/>
      <c r="BO239" s="118"/>
      <c r="BP239" s="118"/>
      <c r="BQ239" s="118"/>
      <c r="BR239" s="118"/>
    </row>
    <row r="240" spans="1:70">
      <c r="A240" s="122">
        <v>90301</v>
      </c>
      <c r="B240" s="122" t="s">
        <v>1015</v>
      </c>
      <c r="C240" s="122" t="s">
        <v>1016</v>
      </c>
      <c r="D240" s="122"/>
      <c r="E240" s="122" t="s">
        <v>76</v>
      </c>
      <c r="F240" s="122" t="s">
        <v>1466</v>
      </c>
      <c r="G240" s="163" t="s">
        <v>1017</v>
      </c>
      <c r="H240" s="122">
        <v>17</v>
      </c>
      <c r="I240" s="122" t="s">
        <v>124</v>
      </c>
      <c r="J240" s="118">
        <v>900</v>
      </c>
      <c r="K240" s="118">
        <v>0</v>
      </c>
      <c r="L240" s="118">
        <v>0</v>
      </c>
      <c r="M240" s="118">
        <v>100</v>
      </c>
      <c r="N240" s="118">
        <v>0</v>
      </c>
      <c r="O240" s="118">
        <v>0</v>
      </c>
      <c r="P240" s="118">
        <v>0</v>
      </c>
      <c r="Q240" s="118">
        <v>0</v>
      </c>
      <c r="R240" s="118">
        <v>0</v>
      </c>
      <c r="S240" s="118"/>
      <c r="T240" s="118">
        <v>0</v>
      </c>
      <c r="U240" s="118">
        <v>0</v>
      </c>
      <c r="V240" s="118"/>
      <c r="W240" s="118">
        <v>0</v>
      </c>
      <c r="X240" s="118">
        <v>0</v>
      </c>
      <c r="Y240" s="118">
        <v>16.059999999999999</v>
      </c>
      <c r="Z240" s="118"/>
      <c r="AA240" s="118">
        <v>0</v>
      </c>
      <c r="AB240" s="118">
        <v>0</v>
      </c>
      <c r="AC240" s="118">
        <v>0</v>
      </c>
      <c r="AD240" s="118">
        <v>0</v>
      </c>
      <c r="AE240" s="118"/>
      <c r="AF240" s="118"/>
      <c r="AG240" s="118"/>
      <c r="AH240" s="118"/>
      <c r="AI240" s="118">
        <v>0</v>
      </c>
      <c r="AJ240" s="118">
        <v>0</v>
      </c>
      <c r="AK240" s="118">
        <v>0.05</v>
      </c>
      <c r="AL240" s="118">
        <v>0</v>
      </c>
      <c r="AM240" s="118"/>
      <c r="AN240" s="118">
        <v>0</v>
      </c>
      <c r="AO240" s="118">
        <v>0</v>
      </c>
      <c r="AP240" s="118"/>
      <c r="AQ240" s="118">
        <v>0.01</v>
      </c>
      <c r="AR240" s="118">
        <v>14.15</v>
      </c>
      <c r="AS240" s="118">
        <v>21.17</v>
      </c>
      <c r="AT240" s="118">
        <v>61.38</v>
      </c>
      <c r="AU240" s="118"/>
      <c r="AV240" s="124"/>
      <c r="AW240" s="124"/>
      <c r="AX240" s="124"/>
      <c r="AY240" s="124"/>
      <c r="AZ240" s="124"/>
      <c r="BA240" s="124"/>
      <c r="BB240" s="124"/>
      <c r="BC240" s="124"/>
      <c r="BD240" s="124"/>
      <c r="BE240" s="124"/>
      <c r="BF240" s="124"/>
      <c r="BG240" s="124"/>
      <c r="BH240" s="124"/>
      <c r="BI240" s="124"/>
      <c r="BJ240" s="124"/>
      <c r="BK240" s="124"/>
      <c r="BL240" s="124"/>
      <c r="BM240" s="124"/>
      <c r="BN240" s="118"/>
      <c r="BO240" s="118"/>
      <c r="BP240" s="118"/>
      <c r="BQ240" s="118"/>
      <c r="BR240" s="118"/>
    </row>
    <row r="241" spans="1:70">
      <c r="A241" s="122">
        <v>90311</v>
      </c>
      <c r="B241" s="122" t="s">
        <v>1018</v>
      </c>
      <c r="C241" s="122" t="s">
        <v>1019</v>
      </c>
      <c r="D241" s="122"/>
      <c r="E241" s="122" t="s">
        <v>122</v>
      </c>
      <c r="F241" s="122">
        <v>748366</v>
      </c>
      <c r="G241" s="163" t="s">
        <v>1020</v>
      </c>
      <c r="H241" s="122">
        <v>17</v>
      </c>
      <c r="I241" s="122" t="s">
        <v>124</v>
      </c>
      <c r="J241" s="118">
        <v>884</v>
      </c>
      <c r="K241" s="118">
        <v>0</v>
      </c>
      <c r="L241" s="118">
        <v>0</v>
      </c>
      <c r="M241" s="118">
        <v>100</v>
      </c>
      <c r="N241" s="118">
        <v>0</v>
      </c>
      <c r="O241" s="118">
        <v>0</v>
      </c>
      <c r="P241" s="118">
        <v>0</v>
      </c>
      <c r="Q241" s="118">
        <v>0</v>
      </c>
      <c r="R241" s="118">
        <v>0</v>
      </c>
      <c r="S241" s="118">
        <v>0</v>
      </c>
      <c r="T241" s="118">
        <v>0</v>
      </c>
      <c r="U241" s="118">
        <v>0</v>
      </c>
      <c r="V241" s="118">
        <v>0</v>
      </c>
      <c r="W241" s="118">
        <v>0</v>
      </c>
      <c r="X241" s="118">
        <v>0</v>
      </c>
      <c r="Y241" s="118">
        <v>8.18</v>
      </c>
      <c r="Z241" s="118">
        <v>184</v>
      </c>
      <c r="AA241" s="118">
        <v>0</v>
      </c>
      <c r="AB241" s="118">
        <v>0</v>
      </c>
      <c r="AC241" s="118">
        <v>0</v>
      </c>
      <c r="AD241" s="118">
        <v>0</v>
      </c>
      <c r="AE241" s="118">
        <v>0</v>
      </c>
      <c r="AF241" s="118">
        <v>0</v>
      </c>
      <c r="AG241" s="118">
        <v>0</v>
      </c>
      <c r="AH241" s="118">
        <v>0</v>
      </c>
      <c r="AI241" s="118">
        <v>0</v>
      </c>
      <c r="AJ241" s="118">
        <v>0</v>
      </c>
      <c r="AK241" s="118">
        <v>0.05</v>
      </c>
      <c r="AL241" s="118">
        <v>0</v>
      </c>
      <c r="AM241" s="118">
        <v>0</v>
      </c>
      <c r="AN241" s="118">
        <v>0</v>
      </c>
      <c r="AO241" s="118">
        <v>0</v>
      </c>
      <c r="AP241" s="118">
        <v>0</v>
      </c>
      <c r="AQ241" s="118">
        <v>0.01</v>
      </c>
      <c r="AR241" s="118">
        <v>15.6</v>
      </c>
      <c r="AS241" s="118">
        <v>22.8</v>
      </c>
      <c r="AT241" s="118">
        <v>57.7</v>
      </c>
      <c r="AU241" s="118">
        <v>0</v>
      </c>
      <c r="AV241" s="118">
        <v>0</v>
      </c>
      <c r="AW241" s="118">
        <v>0</v>
      </c>
      <c r="AX241" s="118">
        <v>0</v>
      </c>
      <c r="AY241" s="118">
        <v>0</v>
      </c>
      <c r="AZ241" s="118">
        <v>0</v>
      </c>
      <c r="BA241" s="118">
        <v>0</v>
      </c>
      <c r="BB241" s="118">
        <v>0</v>
      </c>
      <c r="BC241" s="118">
        <v>0</v>
      </c>
      <c r="BD241" s="118">
        <v>0</v>
      </c>
      <c r="BE241" s="118">
        <v>0</v>
      </c>
      <c r="BF241" s="118">
        <v>0</v>
      </c>
      <c r="BG241" s="118">
        <v>0</v>
      </c>
      <c r="BH241" s="118">
        <v>0</v>
      </c>
      <c r="BI241" s="118">
        <v>0</v>
      </c>
      <c r="BJ241" s="118">
        <v>0</v>
      </c>
      <c r="BK241" s="118">
        <v>0</v>
      </c>
      <c r="BL241" s="118">
        <v>0</v>
      </c>
      <c r="BM241" s="118">
        <v>0</v>
      </c>
      <c r="BN241" s="118"/>
      <c r="BO241" s="118"/>
      <c r="BP241" s="118"/>
      <c r="BQ241" s="118"/>
      <c r="BR241" s="118"/>
    </row>
    <row r="242" spans="1:70">
      <c r="A242" s="122">
        <v>73002</v>
      </c>
      <c r="B242" s="122" t="s">
        <v>1023</v>
      </c>
      <c r="C242" s="122" t="s">
        <v>1024</v>
      </c>
      <c r="D242" s="122"/>
      <c r="E242" s="122" t="s">
        <v>1417</v>
      </c>
      <c r="F242" s="122">
        <v>2619700</v>
      </c>
      <c r="G242" s="163" t="s">
        <v>1467</v>
      </c>
      <c r="H242" s="122">
        <v>22</v>
      </c>
      <c r="I242" s="122" t="s">
        <v>971</v>
      </c>
      <c r="J242" s="118">
        <v>62</v>
      </c>
      <c r="K242" s="118"/>
      <c r="L242" s="118">
        <v>0.88</v>
      </c>
      <c r="M242" s="118">
        <v>0</v>
      </c>
      <c r="N242" s="118">
        <v>15</v>
      </c>
      <c r="O242" s="118">
        <v>0.9</v>
      </c>
      <c r="P242" s="118"/>
      <c r="Q242" s="118"/>
      <c r="R242" s="118"/>
      <c r="S242" s="118"/>
      <c r="T242" s="118"/>
      <c r="U242" s="118"/>
      <c r="V242" s="118"/>
      <c r="W242" s="118">
        <v>53.1</v>
      </c>
      <c r="X242" s="118">
        <v>0</v>
      </c>
      <c r="Y242" s="118"/>
      <c r="Z242" s="118"/>
      <c r="AA242" s="118"/>
      <c r="AB242" s="118"/>
      <c r="AC242" s="118"/>
      <c r="AD242" s="118"/>
      <c r="AE242" s="118"/>
      <c r="AF242" s="118"/>
      <c r="AG242" s="118"/>
      <c r="AH242" s="118"/>
      <c r="AI242" s="118">
        <v>0</v>
      </c>
      <c r="AJ242" s="118"/>
      <c r="AK242" s="118">
        <v>0.96</v>
      </c>
      <c r="AL242" s="118"/>
      <c r="AM242" s="118"/>
      <c r="AN242" s="118"/>
      <c r="AO242" s="118">
        <v>62</v>
      </c>
      <c r="AP242" s="118"/>
      <c r="AQ242" s="118"/>
      <c r="AR242" s="118">
        <v>0</v>
      </c>
      <c r="AS242" s="118"/>
      <c r="AT242" s="118"/>
      <c r="AU242" s="118">
        <v>0</v>
      </c>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18"/>
      <c r="BR242" s="118"/>
    </row>
    <row r="243" spans="1:70">
      <c r="A243" s="122">
        <v>90801</v>
      </c>
      <c r="B243" s="122" t="s">
        <v>1025</v>
      </c>
      <c r="C243" s="122" t="s">
        <v>1026</v>
      </c>
      <c r="D243" s="122" t="s">
        <v>1027</v>
      </c>
      <c r="E243" s="122" t="s">
        <v>76</v>
      </c>
      <c r="F243" s="122" t="s">
        <v>1468</v>
      </c>
      <c r="G243" s="163" t="s">
        <v>1469</v>
      </c>
      <c r="H243" s="122">
        <v>21</v>
      </c>
      <c r="I243" s="122" t="s">
        <v>78</v>
      </c>
      <c r="J243" s="118">
        <v>335</v>
      </c>
      <c r="K243" s="118">
        <v>11.45</v>
      </c>
      <c r="L243" s="118">
        <v>6.94</v>
      </c>
      <c r="M243" s="118">
        <v>8.44</v>
      </c>
      <c r="N243" s="118">
        <v>47.3</v>
      </c>
      <c r="O243" s="118">
        <v>21.1</v>
      </c>
      <c r="P243" s="118">
        <v>0.09</v>
      </c>
      <c r="Q243" s="118">
        <v>0.17</v>
      </c>
      <c r="R243" s="118">
        <v>4.42</v>
      </c>
      <c r="S243" s="118">
        <v>0.13</v>
      </c>
      <c r="T243" s="118">
        <v>1.8</v>
      </c>
      <c r="U243" s="118">
        <v>39</v>
      </c>
      <c r="V243" s="118">
        <v>0</v>
      </c>
      <c r="W243" s="118">
        <v>0</v>
      </c>
      <c r="X243" s="118">
        <v>18</v>
      </c>
      <c r="Y243" s="118">
        <v>3.1</v>
      </c>
      <c r="Z243" s="118">
        <v>12.8</v>
      </c>
      <c r="AA243" s="118">
        <v>0</v>
      </c>
      <c r="AB243" s="118">
        <v>1</v>
      </c>
      <c r="AC243" s="118"/>
      <c r="AD243" s="118">
        <v>55.1</v>
      </c>
      <c r="AE243" s="118">
        <v>99.8</v>
      </c>
      <c r="AF243" s="118"/>
      <c r="AG243" s="118"/>
      <c r="AH243" s="118">
        <v>3.56</v>
      </c>
      <c r="AI243" s="118">
        <v>167.67</v>
      </c>
      <c r="AJ243" s="118">
        <v>0.8</v>
      </c>
      <c r="AK243" s="118">
        <v>33.17</v>
      </c>
      <c r="AL243" s="118">
        <v>191.5</v>
      </c>
      <c r="AM243" s="118">
        <v>8.09</v>
      </c>
      <c r="AN243" s="118">
        <v>279</v>
      </c>
      <c r="AO243" s="118">
        <v>2720</v>
      </c>
      <c r="AP243" s="118">
        <v>6.41</v>
      </c>
      <c r="AQ243" s="118">
        <v>3.78</v>
      </c>
      <c r="AR243" s="118">
        <v>1.63</v>
      </c>
      <c r="AS243" s="118">
        <v>2.35</v>
      </c>
      <c r="AT243" s="118">
        <v>13.87</v>
      </c>
      <c r="AU243" s="118"/>
      <c r="AV243" s="124">
        <v>0.14401</v>
      </c>
      <c r="AW243" s="124">
        <v>0.34776000000000001</v>
      </c>
      <c r="AX243" s="124">
        <v>0.63424999999999998</v>
      </c>
      <c r="AY243" s="124">
        <v>0.28802</v>
      </c>
      <c r="AZ243" s="124">
        <v>8.6559999999999998E-2</v>
      </c>
      <c r="BA243" s="124">
        <v>5.8979999999999998E-2</v>
      </c>
      <c r="BB243" s="124">
        <v>0.4259</v>
      </c>
      <c r="BC243" s="124">
        <v>0.34087000000000001</v>
      </c>
      <c r="BD243" s="124">
        <v>0.15780000000000002</v>
      </c>
      <c r="BE243" s="124">
        <v>0.44505</v>
      </c>
      <c r="BF243" s="124">
        <v>0.28725000000000001</v>
      </c>
      <c r="BG243" s="124">
        <v>0.40981000000000001</v>
      </c>
      <c r="BH243" s="124">
        <v>1.12296</v>
      </c>
      <c r="BI243" s="124">
        <v>1.0295000000000001</v>
      </c>
      <c r="BJ243" s="124">
        <v>0.34699999999999998</v>
      </c>
      <c r="BK243" s="124">
        <v>0.19993</v>
      </c>
      <c r="BL243" s="124">
        <v>0.34164</v>
      </c>
      <c r="BM243" s="124">
        <v>0.23899000000000001</v>
      </c>
      <c r="BN243" s="118">
        <v>988</v>
      </c>
      <c r="BO243" s="118">
        <v>358</v>
      </c>
      <c r="BP243" s="118"/>
      <c r="BQ243" s="118"/>
      <c r="BR243" s="118"/>
    </row>
    <row r="244" spans="1:70">
      <c r="A244" s="122">
        <v>90401</v>
      </c>
      <c r="B244" s="122" t="s">
        <v>1029</v>
      </c>
      <c r="C244" s="122" t="s">
        <v>1030</v>
      </c>
      <c r="D244" s="122" t="s">
        <v>1031</v>
      </c>
      <c r="E244" s="122" t="s">
        <v>82</v>
      </c>
      <c r="F244" s="122" t="s">
        <v>1032</v>
      </c>
      <c r="G244" s="163" t="s">
        <v>1029</v>
      </c>
      <c r="H244" s="122">
        <v>17</v>
      </c>
      <c r="I244" s="122" t="s">
        <v>124</v>
      </c>
      <c r="J244" s="118">
        <v>884</v>
      </c>
      <c r="K244" s="118">
        <v>0</v>
      </c>
      <c r="L244" s="118">
        <v>0</v>
      </c>
      <c r="M244" s="118">
        <v>100</v>
      </c>
      <c r="N244" s="118">
        <v>0</v>
      </c>
      <c r="O244" s="118">
        <v>0</v>
      </c>
      <c r="P244" s="118">
        <v>0</v>
      </c>
      <c r="Q244" s="118">
        <v>0</v>
      </c>
      <c r="R244" s="118">
        <v>0</v>
      </c>
      <c r="S244" s="118">
        <v>0</v>
      </c>
      <c r="T244" s="118">
        <v>0</v>
      </c>
      <c r="U244" s="118"/>
      <c r="V244" s="118">
        <v>0</v>
      </c>
      <c r="W244" s="118">
        <v>0</v>
      </c>
      <c r="X244" s="120"/>
      <c r="Y244" s="118">
        <v>41.1</v>
      </c>
      <c r="Z244" s="118">
        <v>5.4</v>
      </c>
      <c r="AA244" s="118"/>
      <c r="AB244" s="125">
        <f t="shared" ref="AB244:AB245" si="1">AA244+1/12*(AD244)+1/24*(AC244)+1/24*(AG244)</f>
        <v>0</v>
      </c>
      <c r="AC244" s="118"/>
      <c r="AD244" s="118"/>
      <c r="AE244" s="118"/>
      <c r="AF244" s="118"/>
      <c r="AG244" s="118"/>
      <c r="AH244" s="118"/>
      <c r="AI244" s="118">
        <v>0</v>
      </c>
      <c r="AJ244" s="118">
        <v>0</v>
      </c>
      <c r="AK244" s="118">
        <v>0</v>
      </c>
      <c r="AL244" s="118">
        <v>0</v>
      </c>
      <c r="AM244" s="118"/>
      <c r="AN244" s="118">
        <v>0</v>
      </c>
      <c r="AO244" s="118">
        <v>0</v>
      </c>
      <c r="AP244" s="118"/>
      <c r="AQ244" s="118">
        <v>0</v>
      </c>
      <c r="AR244" s="118">
        <v>10.3</v>
      </c>
      <c r="AS244" s="118">
        <v>19.5</v>
      </c>
      <c r="AT244" s="118">
        <v>65.7</v>
      </c>
      <c r="AU244" s="118">
        <v>0</v>
      </c>
      <c r="AV244" s="118">
        <v>0</v>
      </c>
      <c r="AW244" s="118">
        <v>0</v>
      </c>
      <c r="AX244" s="118">
        <v>0</v>
      </c>
      <c r="AY244" s="118">
        <v>0</v>
      </c>
      <c r="AZ244" s="118">
        <v>0</v>
      </c>
      <c r="BA244" s="118">
        <v>0</v>
      </c>
      <c r="BB244" s="118">
        <v>0</v>
      </c>
      <c r="BC244" s="118">
        <v>0</v>
      </c>
      <c r="BD244" s="118">
        <v>0</v>
      </c>
      <c r="BE244" s="118">
        <v>0</v>
      </c>
      <c r="BF244" s="118">
        <v>0</v>
      </c>
      <c r="BG244" s="118">
        <v>0</v>
      </c>
      <c r="BH244" s="118">
        <v>0</v>
      </c>
      <c r="BI244" s="118">
        <v>0</v>
      </c>
      <c r="BJ244" s="118">
        <v>0</v>
      </c>
      <c r="BK244" s="118">
        <v>0</v>
      </c>
      <c r="BL244" s="118">
        <v>0</v>
      </c>
      <c r="BM244" s="118">
        <v>0</v>
      </c>
      <c r="BN244" s="118"/>
      <c r="BO244" s="118"/>
      <c r="BP244" s="118"/>
      <c r="BQ244" s="118"/>
      <c r="BR244" s="118"/>
    </row>
    <row r="245" spans="1:70">
      <c r="A245" s="122">
        <v>90402</v>
      </c>
      <c r="B245" s="122" t="s">
        <v>1033</v>
      </c>
      <c r="C245" s="122" t="s">
        <v>1034</v>
      </c>
      <c r="D245" s="122" t="s">
        <v>148</v>
      </c>
      <c r="E245" s="122" t="s">
        <v>82</v>
      </c>
      <c r="F245" s="122" t="s">
        <v>1035</v>
      </c>
      <c r="G245" s="163" t="s">
        <v>1033</v>
      </c>
      <c r="H245" s="122">
        <v>17</v>
      </c>
      <c r="I245" s="122" t="s">
        <v>124</v>
      </c>
      <c r="J245" s="118">
        <v>884</v>
      </c>
      <c r="K245" s="118">
        <v>0</v>
      </c>
      <c r="L245" s="118">
        <v>0</v>
      </c>
      <c r="M245" s="118">
        <v>100</v>
      </c>
      <c r="N245" s="118">
        <v>0</v>
      </c>
      <c r="O245" s="118">
        <v>0</v>
      </c>
      <c r="P245" s="118">
        <v>0</v>
      </c>
      <c r="Q245" s="118">
        <v>0</v>
      </c>
      <c r="R245" s="118">
        <v>0</v>
      </c>
      <c r="S245" s="118">
        <v>0</v>
      </c>
      <c r="T245" s="118">
        <v>0</v>
      </c>
      <c r="U245" s="118"/>
      <c r="V245" s="118">
        <v>0</v>
      </c>
      <c r="W245" s="118">
        <v>0</v>
      </c>
      <c r="X245" s="120"/>
      <c r="Y245" s="118">
        <v>32.299999999999997</v>
      </c>
      <c r="Z245" s="118">
        <v>24.7</v>
      </c>
      <c r="AA245" s="118"/>
      <c r="AB245" s="125">
        <f t="shared" si="1"/>
        <v>0</v>
      </c>
      <c r="AC245" s="118"/>
      <c r="AD245" s="118"/>
      <c r="AE245" s="118"/>
      <c r="AF245" s="118"/>
      <c r="AG245" s="118"/>
      <c r="AH245" s="118"/>
      <c r="AI245" s="118">
        <v>0</v>
      </c>
      <c r="AJ245" s="118"/>
      <c r="AK245" s="118">
        <v>7.0000000000000007E-2</v>
      </c>
      <c r="AL245" s="118">
        <v>0</v>
      </c>
      <c r="AM245" s="118"/>
      <c r="AN245" s="118">
        <v>0</v>
      </c>
      <c r="AO245" s="118">
        <v>0</v>
      </c>
      <c r="AP245" s="118"/>
      <c r="AQ245" s="118">
        <v>0</v>
      </c>
      <c r="AR245" s="118">
        <v>19.7</v>
      </c>
      <c r="AS245" s="118">
        <v>39.299999999999997</v>
      </c>
      <c r="AT245" s="118">
        <v>35</v>
      </c>
      <c r="AU245" s="118">
        <v>0</v>
      </c>
      <c r="AV245" s="118">
        <v>0</v>
      </c>
      <c r="AW245" s="118">
        <v>0</v>
      </c>
      <c r="AX245" s="118">
        <v>0</v>
      </c>
      <c r="AY245" s="118">
        <v>0</v>
      </c>
      <c r="AZ245" s="118">
        <v>0</v>
      </c>
      <c r="BA245" s="118">
        <v>0</v>
      </c>
      <c r="BB245" s="118">
        <v>0</v>
      </c>
      <c r="BC245" s="118">
        <v>0</v>
      </c>
      <c r="BD245" s="118">
        <v>0</v>
      </c>
      <c r="BE245" s="118">
        <v>0</v>
      </c>
      <c r="BF245" s="118">
        <v>0</v>
      </c>
      <c r="BG245" s="118">
        <v>0</v>
      </c>
      <c r="BH245" s="118">
        <v>0</v>
      </c>
      <c r="BI245" s="118">
        <v>0</v>
      </c>
      <c r="BJ245" s="118">
        <v>0</v>
      </c>
      <c r="BK245" s="118">
        <v>0</v>
      </c>
      <c r="BL245" s="118">
        <v>0</v>
      </c>
      <c r="BM245" s="118">
        <v>0</v>
      </c>
      <c r="BN245" s="118"/>
      <c r="BO245" s="118"/>
      <c r="BP245" s="118"/>
      <c r="BQ245" s="118"/>
      <c r="BR245" s="118"/>
    </row>
    <row r="246" spans="1:70">
      <c r="A246" s="122">
        <v>90403</v>
      </c>
      <c r="B246" s="122" t="s">
        <v>1036</v>
      </c>
      <c r="C246" s="122" t="s">
        <v>1037</v>
      </c>
      <c r="D246" s="122" t="s">
        <v>502</v>
      </c>
      <c r="E246" s="122" t="s">
        <v>76</v>
      </c>
      <c r="F246" s="122" t="s">
        <v>1470</v>
      </c>
      <c r="G246" s="163" t="s">
        <v>1471</v>
      </c>
      <c r="H246" s="122">
        <v>17</v>
      </c>
      <c r="I246" s="122" t="s">
        <v>124</v>
      </c>
      <c r="J246" s="118">
        <v>900</v>
      </c>
      <c r="K246" s="118">
        <v>0</v>
      </c>
      <c r="L246" s="118">
        <v>0</v>
      </c>
      <c r="M246" s="118">
        <v>100</v>
      </c>
      <c r="N246" s="118">
        <v>0</v>
      </c>
      <c r="O246" s="118">
        <v>0</v>
      </c>
      <c r="P246" s="118">
        <v>0</v>
      </c>
      <c r="Q246" s="118">
        <v>0</v>
      </c>
      <c r="R246" s="118">
        <v>0</v>
      </c>
      <c r="S246" s="118"/>
      <c r="T246" s="118">
        <v>0</v>
      </c>
      <c r="U246" s="118">
        <v>0</v>
      </c>
      <c r="V246" s="118">
        <v>0</v>
      </c>
      <c r="W246" s="118">
        <v>0</v>
      </c>
      <c r="X246" s="118">
        <v>0</v>
      </c>
      <c r="Y246" s="118">
        <v>1.4</v>
      </c>
      <c r="Z246" s="118"/>
      <c r="AA246" s="118">
        <v>0</v>
      </c>
      <c r="AB246" s="118">
        <v>0</v>
      </c>
      <c r="AC246" s="118">
        <v>0</v>
      </c>
      <c r="AD246" s="118">
        <v>0</v>
      </c>
      <c r="AE246" s="118"/>
      <c r="AF246" s="118"/>
      <c r="AG246" s="118"/>
      <c r="AH246" s="118"/>
      <c r="AI246" s="118">
        <v>0</v>
      </c>
      <c r="AJ246" s="118">
        <v>0</v>
      </c>
      <c r="AK246" s="118">
        <v>0</v>
      </c>
      <c r="AL246" s="118">
        <v>0</v>
      </c>
      <c r="AM246" s="118"/>
      <c r="AN246" s="118">
        <v>0</v>
      </c>
      <c r="AO246" s="118">
        <v>0</v>
      </c>
      <c r="AP246" s="118"/>
      <c r="AQ246" s="118">
        <v>0</v>
      </c>
      <c r="AR246" s="118">
        <v>15.76</v>
      </c>
      <c r="AS246" s="118">
        <v>81.75</v>
      </c>
      <c r="AT246" s="118">
        <v>61.38</v>
      </c>
      <c r="AU246" s="118">
        <v>0</v>
      </c>
      <c r="AV246" s="124"/>
      <c r="AW246" s="124"/>
      <c r="AX246" s="124"/>
      <c r="AY246" s="124"/>
      <c r="AZ246" s="124"/>
      <c r="BA246" s="124"/>
      <c r="BB246" s="124"/>
      <c r="BC246" s="124"/>
      <c r="BD246" s="124"/>
      <c r="BE246" s="124"/>
      <c r="BF246" s="124"/>
      <c r="BG246" s="124"/>
      <c r="BH246" s="124"/>
      <c r="BI246" s="124"/>
      <c r="BJ246" s="124"/>
      <c r="BK246" s="124"/>
      <c r="BL246" s="124"/>
      <c r="BM246" s="124"/>
      <c r="BN246" s="118"/>
      <c r="BO246" s="118"/>
      <c r="BP246" s="118"/>
      <c r="BQ246" s="118"/>
      <c r="BR246" s="118"/>
    </row>
    <row r="247" spans="1:70">
      <c r="A247" s="122">
        <v>90405</v>
      </c>
      <c r="B247" s="122" t="s">
        <v>1038</v>
      </c>
      <c r="C247" s="122" t="s">
        <v>1039</v>
      </c>
      <c r="D247" s="122" t="s">
        <v>1040</v>
      </c>
      <c r="E247" s="122" t="s">
        <v>103</v>
      </c>
      <c r="F247" s="122" t="s">
        <v>1472</v>
      </c>
      <c r="G247" s="163" t="s">
        <v>1473</v>
      </c>
      <c r="H247" s="122">
        <v>17</v>
      </c>
      <c r="I247" s="122" t="s">
        <v>124</v>
      </c>
      <c r="J247" s="118">
        <v>884</v>
      </c>
      <c r="K247" s="118">
        <v>0</v>
      </c>
      <c r="L247" s="118">
        <v>0</v>
      </c>
      <c r="M247" s="118">
        <v>100</v>
      </c>
      <c r="N247" s="118">
        <v>0</v>
      </c>
      <c r="O247" s="118">
        <v>0</v>
      </c>
      <c r="P247" s="118">
        <v>0</v>
      </c>
      <c r="Q247" s="118">
        <v>0</v>
      </c>
      <c r="R247" s="118">
        <v>0</v>
      </c>
      <c r="S247" s="118">
        <v>0</v>
      </c>
      <c r="T247" s="118">
        <v>0</v>
      </c>
      <c r="U247" s="118">
        <v>0</v>
      </c>
      <c r="V247" s="118">
        <v>0</v>
      </c>
      <c r="W247" s="118">
        <v>0</v>
      </c>
      <c r="X247" s="118">
        <v>0</v>
      </c>
      <c r="Y247" s="118">
        <v>14.4</v>
      </c>
      <c r="Z247" s="118">
        <v>60.2</v>
      </c>
      <c r="AA247" s="118">
        <v>0</v>
      </c>
      <c r="AB247" s="118">
        <v>0</v>
      </c>
      <c r="AC247" s="118">
        <v>0</v>
      </c>
      <c r="AD247" s="118">
        <v>0</v>
      </c>
      <c r="AE247" s="118">
        <v>0</v>
      </c>
      <c r="AF247" s="118">
        <v>0</v>
      </c>
      <c r="AG247" s="118">
        <v>0</v>
      </c>
      <c r="AH247" s="118">
        <v>0</v>
      </c>
      <c r="AI247" s="118">
        <v>1</v>
      </c>
      <c r="AJ247" s="118">
        <v>0</v>
      </c>
      <c r="AK247" s="118">
        <v>0.56000000000000005</v>
      </c>
      <c r="AL247" s="118">
        <v>0</v>
      </c>
      <c r="AM247" s="118">
        <v>0</v>
      </c>
      <c r="AN247" s="118">
        <v>0</v>
      </c>
      <c r="AO247" s="118">
        <v>1</v>
      </c>
      <c r="AP247" s="118">
        <v>0</v>
      </c>
      <c r="AQ247" s="118">
        <v>0</v>
      </c>
      <c r="AR247" s="118">
        <v>13.8</v>
      </c>
      <c r="AS247" s="118">
        <v>73</v>
      </c>
      <c r="AT247" s="118">
        <v>10.5</v>
      </c>
      <c r="AU247" s="118">
        <v>0</v>
      </c>
      <c r="AV247" s="118">
        <v>0</v>
      </c>
      <c r="AW247" s="118">
        <v>0</v>
      </c>
      <c r="AX247" s="118">
        <v>0</v>
      </c>
      <c r="AY247" s="118">
        <v>0</v>
      </c>
      <c r="AZ247" s="118">
        <v>0</v>
      </c>
      <c r="BA247" s="118">
        <v>0</v>
      </c>
      <c r="BB247" s="118">
        <v>0</v>
      </c>
      <c r="BC247" s="118">
        <v>0</v>
      </c>
      <c r="BD247" s="118">
        <v>0</v>
      </c>
      <c r="BE247" s="118">
        <v>0</v>
      </c>
      <c r="BF247" s="118">
        <v>0</v>
      </c>
      <c r="BG247" s="118">
        <v>0</v>
      </c>
      <c r="BH247" s="118">
        <v>0</v>
      </c>
      <c r="BI247" s="118">
        <v>0</v>
      </c>
      <c r="BJ247" s="118">
        <v>0</v>
      </c>
      <c r="BK247" s="118">
        <v>0</v>
      </c>
      <c r="BL247" s="118">
        <v>0</v>
      </c>
      <c r="BM247" s="118">
        <v>0</v>
      </c>
      <c r="BN247" s="118"/>
      <c r="BO247" s="118"/>
      <c r="BP247" s="118"/>
      <c r="BQ247" s="118"/>
      <c r="BR247" s="118"/>
    </row>
    <row r="248" spans="1:70">
      <c r="A248" s="122">
        <v>90601</v>
      </c>
      <c r="B248" s="122" t="s">
        <v>1042</v>
      </c>
      <c r="C248" s="122" t="s">
        <v>1043</v>
      </c>
      <c r="D248" s="122"/>
      <c r="E248" s="122" t="s">
        <v>76</v>
      </c>
      <c r="F248" s="122">
        <v>130005</v>
      </c>
      <c r="G248" s="163" t="s">
        <v>1044</v>
      </c>
      <c r="H248" s="122">
        <v>17</v>
      </c>
      <c r="I248" s="122" t="s">
        <v>124</v>
      </c>
      <c r="J248" s="118">
        <v>900</v>
      </c>
      <c r="K248" s="118">
        <v>0</v>
      </c>
      <c r="L248" s="118">
        <v>0</v>
      </c>
      <c r="M248" s="118">
        <v>100</v>
      </c>
      <c r="N248" s="118">
        <v>0</v>
      </c>
      <c r="O248" s="118">
        <v>0</v>
      </c>
      <c r="P248" s="118">
        <v>0</v>
      </c>
      <c r="Q248" s="118">
        <v>0</v>
      </c>
      <c r="R248" s="118"/>
      <c r="S248" s="118"/>
      <c r="T248" s="118"/>
      <c r="U248" s="118">
        <v>0</v>
      </c>
      <c r="V248" s="118">
        <v>0</v>
      </c>
      <c r="W248" s="118">
        <v>0</v>
      </c>
      <c r="X248" s="118">
        <v>0</v>
      </c>
      <c r="Y248" s="118">
        <v>10.27</v>
      </c>
      <c r="Z248" s="118"/>
      <c r="AA248" s="118">
        <v>0</v>
      </c>
      <c r="AB248" s="118">
        <v>0</v>
      </c>
      <c r="AC248" s="118"/>
      <c r="AD248" s="118"/>
      <c r="AE248" s="118"/>
      <c r="AF248" s="118"/>
      <c r="AG248" s="118"/>
      <c r="AH248" s="118"/>
      <c r="AI248" s="118">
        <v>2.17</v>
      </c>
      <c r="AJ248" s="118">
        <v>0.01</v>
      </c>
      <c r="AK248" s="118">
        <v>0.19</v>
      </c>
      <c r="AL248" s="118"/>
      <c r="AM248" s="118"/>
      <c r="AN248" s="118"/>
      <c r="AO248" s="118">
        <v>0.75</v>
      </c>
      <c r="AP248" s="118"/>
      <c r="AQ248" s="118">
        <v>0.04</v>
      </c>
      <c r="AR248" s="118">
        <v>57.5</v>
      </c>
      <c r="AS248" s="118">
        <v>37.44</v>
      </c>
      <c r="AT248" s="118">
        <v>5.6</v>
      </c>
      <c r="AU248" s="118"/>
      <c r="AV248" s="124"/>
      <c r="AW248" s="124"/>
      <c r="AX248" s="124"/>
      <c r="AY248" s="124"/>
      <c r="AZ248" s="124"/>
      <c r="BA248" s="124"/>
      <c r="BB248" s="124"/>
      <c r="BC248" s="124"/>
      <c r="BD248" s="124"/>
      <c r="BE248" s="124"/>
      <c r="BF248" s="124"/>
      <c r="BG248" s="124"/>
      <c r="BH248" s="124"/>
      <c r="BI248" s="124"/>
      <c r="BJ248" s="124"/>
      <c r="BK248" s="124"/>
      <c r="BL248" s="124"/>
      <c r="BM248" s="124"/>
      <c r="BN248" s="118"/>
      <c r="BO248" s="118"/>
      <c r="BP248" s="118"/>
      <c r="BQ248" s="118"/>
      <c r="BR248" s="118"/>
    </row>
    <row r="249" spans="1:70" ht="19.5" customHeight="1">
      <c r="A249" s="122">
        <v>90602</v>
      </c>
      <c r="B249" s="122" t="s">
        <v>1045</v>
      </c>
      <c r="C249" s="122" t="s">
        <v>1046</v>
      </c>
      <c r="D249" s="122"/>
      <c r="E249" s="122" t="s">
        <v>76</v>
      </c>
      <c r="F249" s="122" t="s">
        <v>1474</v>
      </c>
      <c r="G249" s="163" t="s">
        <v>1047</v>
      </c>
      <c r="H249" s="122">
        <v>17</v>
      </c>
      <c r="I249" s="122" t="s">
        <v>124</v>
      </c>
      <c r="J249" s="118">
        <v>898</v>
      </c>
      <c r="K249" s="118">
        <v>0.1</v>
      </c>
      <c r="L249" s="118">
        <v>0</v>
      </c>
      <c r="M249" s="118">
        <v>99.8</v>
      </c>
      <c r="N249" s="118">
        <v>0</v>
      </c>
      <c r="O249" s="118">
        <v>0</v>
      </c>
      <c r="P249" s="118">
        <v>0</v>
      </c>
      <c r="Q249" s="118"/>
      <c r="R249" s="118"/>
      <c r="S249" s="118"/>
      <c r="T249" s="118"/>
      <c r="U249" s="118">
        <v>0</v>
      </c>
      <c r="V249" s="118"/>
      <c r="W249" s="118">
        <v>0</v>
      </c>
      <c r="X249" s="118">
        <v>1.9</v>
      </c>
      <c r="Y249" s="118">
        <v>3.31</v>
      </c>
      <c r="Z249" s="118"/>
      <c r="AA249" s="118">
        <v>600</v>
      </c>
      <c r="AB249" s="118">
        <v>641.66999999999996</v>
      </c>
      <c r="AC249" s="118"/>
      <c r="AD249" s="118"/>
      <c r="AE249" s="118"/>
      <c r="AF249" s="118"/>
      <c r="AG249" s="118"/>
      <c r="AH249" s="118"/>
      <c r="AI249" s="118">
        <v>1</v>
      </c>
      <c r="AJ249" s="118">
        <v>0.01</v>
      </c>
      <c r="AK249" s="118">
        <v>0.2</v>
      </c>
      <c r="AL249" s="118"/>
      <c r="AM249" s="118"/>
      <c r="AN249" s="118"/>
      <c r="AO249" s="118">
        <v>0.95</v>
      </c>
      <c r="AP249" s="118"/>
      <c r="AQ249" s="118">
        <v>0.01</v>
      </c>
      <c r="AR249" s="118">
        <v>38</v>
      </c>
      <c r="AS249" s="118">
        <v>36.74</v>
      </c>
      <c r="AT249" s="118">
        <v>5.6</v>
      </c>
      <c r="AU249" s="118"/>
      <c r="AV249" s="124"/>
      <c r="AW249" s="124"/>
      <c r="AX249" s="124"/>
      <c r="AY249" s="124"/>
      <c r="AZ249" s="124"/>
      <c r="BA249" s="124"/>
      <c r="BB249" s="124"/>
      <c r="BC249" s="124"/>
      <c r="BD249" s="124"/>
      <c r="BE249" s="124"/>
      <c r="BF249" s="124"/>
      <c r="BG249" s="124"/>
      <c r="BH249" s="124"/>
      <c r="BI249" s="124"/>
      <c r="BJ249" s="124"/>
      <c r="BK249" s="124"/>
      <c r="BL249" s="124"/>
      <c r="BM249" s="124"/>
      <c r="BN249" s="118"/>
      <c r="BO249" s="118"/>
      <c r="BP249" s="118"/>
      <c r="BQ249" s="118"/>
      <c r="BR249" s="118"/>
    </row>
    <row r="250" spans="1:70">
      <c r="A250" s="122">
        <v>90820</v>
      </c>
      <c r="B250" s="122" t="s">
        <v>1048</v>
      </c>
      <c r="C250" s="122" t="s">
        <v>1049</v>
      </c>
      <c r="D250" s="122"/>
      <c r="E250" s="122" t="s">
        <v>1417</v>
      </c>
      <c r="F250" s="122">
        <v>2088357</v>
      </c>
      <c r="G250" s="163" t="s">
        <v>1475</v>
      </c>
      <c r="H250" s="122">
        <v>21</v>
      </c>
      <c r="I250" s="122" t="s">
        <v>78</v>
      </c>
      <c r="J250" s="118">
        <v>0</v>
      </c>
      <c r="K250" s="118"/>
      <c r="L250" s="118">
        <v>0</v>
      </c>
      <c r="M250" s="118">
        <v>0</v>
      </c>
      <c r="N250" s="118">
        <v>20</v>
      </c>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c r="BA250" s="118"/>
      <c r="BB250" s="118"/>
      <c r="BC250" s="118"/>
      <c r="BD250" s="118"/>
      <c r="BE250" s="118"/>
      <c r="BF250" s="118"/>
      <c r="BG250" s="118"/>
      <c r="BH250" s="118"/>
      <c r="BI250" s="118"/>
      <c r="BJ250" s="118"/>
      <c r="BK250" s="118"/>
      <c r="BL250" s="118"/>
      <c r="BM250" s="118"/>
      <c r="BN250" s="118"/>
      <c r="BO250" s="118"/>
      <c r="BP250" s="118"/>
      <c r="BQ250" s="118"/>
      <c r="BR250" s="118"/>
    </row>
    <row r="251" spans="1:70">
      <c r="A251" s="122">
        <v>62204</v>
      </c>
      <c r="B251" s="122" t="s">
        <v>1050</v>
      </c>
      <c r="C251" s="122" t="s">
        <v>1051</v>
      </c>
      <c r="D251" s="122"/>
      <c r="E251" s="122" t="s">
        <v>1417</v>
      </c>
      <c r="F251" s="122" t="s">
        <v>1476</v>
      </c>
      <c r="G251" s="163" t="s">
        <v>1477</v>
      </c>
      <c r="H251" s="122">
        <v>22</v>
      </c>
      <c r="I251" s="122" t="s">
        <v>971</v>
      </c>
      <c r="J251" s="118">
        <v>443</v>
      </c>
      <c r="K251" s="118"/>
      <c r="L251" s="118">
        <v>8.57</v>
      </c>
      <c r="M251" s="118">
        <v>18.600000000000001</v>
      </c>
      <c r="N251" s="118">
        <v>61.4</v>
      </c>
      <c r="O251" s="118">
        <v>2.9</v>
      </c>
      <c r="P251" s="118"/>
      <c r="Q251" s="118"/>
      <c r="R251" s="118"/>
      <c r="S251" s="118"/>
      <c r="T251" s="118"/>
      <c r="U251" s="118"/>
      <c r="V251" s="118"/>
      <c r="W251" s="118"/>
      <c r="X251" s="118">
        <v>0</v>
      </c>
      <c r="Y251" s="118"/>
      <c r="Z251" s="118"/>
      <c r="AA251" s="118"/>
      <c r="AB251" s="118"/>
      <c r="AC251" s="118"/>
      <c r="AD251" s="118"/>
      <c r="AE251" s="118"/>
      <c r="AF251" s="118"/>
      <c r="AG251" s="118"/>
      <c r="AH251" s="118"/>
      <c r="AI251" s="118">
        <v>0</v>
      </c>
      <c r="AJ251" s="118"/>
      <c r="AK251" s="118">
        <v>0</v>
      </c>
      <c r="AL251" s="118"/>
      <c r="AM251" s="118"/>
      <c r="AN251" s="118"/>
      <c r="AO251" s="118">
        <v>129</v>
      </c>
      <c r="AP251" s="118"/>
      <c r="AQ251" s="118"/>
      <c r="AR251" s="118">
        <v>10</v>
      </c>
      <c r="AS251" s="118"/>
      <c r="AT251" s="118"/>
      <c r="AU251" s="118">
        <v>0</v>
      </c>
      <c r="AV251" s="118"/>
      <c r="AW251" s="118"/>
      <c r="AX251" s="118"/>
      <c r="AY251" s="118"/>
      <c r="AZ251" s="118"/>
      <c r="BA251" s="118"/>
      <c r="BB251" s="118"/>
      <c r="BC251" s="118"/>
      <c r="BD251" s="118"/>
      <c r="BE251" s="118"/>
      <c r="BF251" s="118"/>
      <c r="BG251" s="118"/>
      <c r="BH251" s="118"/>
      <c r="BI251" s="118"/>
      <c r="BJ251" s="118"/>
      <c r="BK251" s="118"/>
      <c r="BL251" s="118"/>
      <c r="BM251" s="118"/>
      <c r="BN251" s="118"/>
      <c r="BO251" s="118"/>
      <c r="BP251" s="118"/>
      <c r="BQ251" s="118"/>
      <c r="BR251" s="118"/>
    </row>
    <row r="252" spans="1:70">
      <c r="A252" s="122">
        <v>90821</v>
      </c>
      <c r="B252" s="122" t="s">
        <v>1478</v>
      </c>
      <c r="C252" s="122"/>
      <c r="D252" s="122"/>
      <c r="E252" s="212" t="s">
        <v>1479</v>
      </c>
      <c r="F252" s="122" t="s">
        <v>1480</v>
      </c>
      <c r="G252" s="163" t="s">
        <v>1481</v>
      </c>
      <c r="H252" s="122">
        <v>21</v>
      </c>
      <c r="I252" s="122" t="s">
        <v>78</v>
      </c>
      <c r="J252" s="125">
        <v>392.4</v>
      </c>
      <c r="K252" s="125">
        <v>9.36</v>
      </c>
      <c r="L252" s="125">
        <v>15.569999999999999</v>
      </c>
      <c r="M252" s="125">
        <v>18.224</v>
      </c>
      <c r="N252" s="125">
        <v>30.315999999999995</v>
      </c>
      <c r="O252" s="125">
        <v>23.996000000000002</v>
      </c>
      <c r="P252" s="125">
        <v>0.49249999999999994</v>
      </c>
      <c r="Q252" s="125">
        <v>0.32500000000000001</v>
      </c>
      <c r="R252" s="125">
        <v>4.2750000000000004</v>
      </c>
      <c r="S252" s="125">
        <v>0.32333333333333331</v>
      </c>
      <c r="T252" s="125">
        <v>0.47250000000000003</v>
      </c>
      <c r="U252" s="125">
        <v>76.826666666666668</v>
      </c>
      <c r="V252" s="125">
        <v>0</v>
      </c>
      <c r="W252" s="125">
        <v>2.5666666666666669</v>
      </c>
      <c r="X252" s="125">
        <v>8.6479999999999997</v>
      </c>
      <c r="Y252" s="125">
        <v>4.2</v>
      </c>
      <c r="Z252" s="125">
        <v>51.9</v>
      </c>
      <c r="AA252" s="125">
        <v>0</v>
      </c>
      <c r="AB252" s="125">
        <v>20.07</v>
      </c>
      <c r="AC252" s="125">
        <v>0</v>
      </c>
      <c r="AD252" s="125">
        <v>263.46333333333331</v>
      </c>
      <c r="AE252" s="125">
        <v>253.55666666666664</v>
      </c>
      <c r="AF252" s="125"/>
      <c r="AG252" s="125"/>
      <c r="AH252" s="125">
        <v>83.606666666666669</v>
      </c>
      <c r="AI252" s="125">
        <v>726.452</v>
      </c>
      <c r="AJ252" s="125">
        <v>1.0275000000000001</v>
      </c>
      <c r="AK252" s="125">
        <v>22.042000000000002</v>
      </c>
      <c r="AL252" s="125">
        <v>332.24400000000003</v>
      </c>
      <c r="AM252" s="125">
        <v>3.3466666666666671</v>
      </c>
      <c r="AN252" s="125">
        <v>529.77750000000003</v>
      </c>
      <c r="AO252" s="125">
        <v>1230.568</v>
      </c>
      <c r="AP252" s="125">
        <v>28.486666666666665</v>
      </c>
      <c r="AQ252" s="125">
        <v>4.54</v>
      </c>
      <c r="AR252" s="125">
        <v>0.875</v>
      </c>
      <c r="AS252" s="125">
        <v>10.030000000000001</v>
      </c>
      <c r="AT252" s="125">
        <v>5.45</v>
      </c>
      <c r="AU252" s="125">
        <v>0</v>
      </c>
      <c r="AV252" s="125">
        <v>0.57318999999999998</v>
      </c>
      <c r="AW252" s="125">
        <v>0.92515000000000003</v>
      </c>
      <c r="AX252" s="125">
        <v>1.3820633333333332</v>
      </c>
      <c r="AY252" s="125">
        <v>1.3025666666666667</v>
      </c>
      <c r="AZ252" s="125">
        <v>0.29695999999999995</v>
      </c>
      <c r="BA252" s="125">
        <v>0.35551333333333335</v>
      </c>
      <c r="BB252" s="125">
        <v>0.88373333333333326</v>
      </c>
      <c r="BC252" s="125">
        <v>0.6583566666666667</v>
      </c>
      <c r="BD252" s="125">
        <v>0.2168433333333333</v>
      </c>
      <c r="BE252" s="125">
        <v>1.0374133333333333</v>
      </c>
      <c r="BF252" s="125">
        <v>0.93675666666666668</v>
      </c>
      <c r="BG252" s="125">
        <v>1.5696733333333333</v>
      </c>
      <c r="BH252" s="125">
        <v>2.0326599999999999</v>
      </c>
      <c r="BI252" s="125">
        <v>4.0142699999999998</v>
      </c>
      <c r="BJ252" s="125">
        <v>1.1978233333333332</v>
      </c>
      <c r="BK252" s="125">
        <v>1.3210966666666668</v>
      </c>
      <c r="BL252" s="125">
        <v>0.89901666666666669</v>
      </c>
      <c r="BM252" s="125">
        <v>0.59663333333333324</v>
      </c>
      <c r="BN252" s="125">
        <v>102.84666666666668</v>
      </c>
      <c r="BO252" s="125">
        <v>382.33333333333331</v>
      </c>
      <c r="BP252" s="125"/>
      <c r="BQ252" s="118"/>
      <c r="BR252" s="118"/>
    </row>
    <row r="253" spans="1:70">
      <c r="A253" s="122">
        <v>90822</v>
      </c>
      <c r="B253" s="122" t="s">
        <v>1482</v>
      </c>
      <c r="C253" s="122"/>
      <c r="D253" s="122"/>
      <c r="E253" s="212" t="s">
        <v>1483</v>
      </c>
      <c r="F253" s="122" t="s">
        <v>1484</v>
      </c>
      <c r="G253" s="163" t="s">
        <v>1485</v>
      </c>
      <c r="H253" s="122">
        <v>21</v>
      </c>
      <c r="I253" s="122" t="s">
        <v>78</v>
      </c>
      <c r="J253" s="125">
        <v>268.70999999999998</v>
      </c>
      <c r="K253" s="125">
        <v>14.827999999999999</v>
      </c>
      <c r="L253" s="125">
        <v>7.5840000000000005</v>
      </c>
      <c r="M253" s="125">
        <v>3.6859999999999999</v>
      </c>
      <c r="N253" s="125">
        <v>37.735999999999997</v>
      </c>
      <c r="O253" s="125">
        <v>30.882000000000005</v>
      </c>
      <c r="P253" s="125">
        <v>9.6000000000000002E-2</v>
      </c>
      <c r="Q253" s="125">
        <v>0.13400000000000001</v>
      </c>
      <c r="R253" s="125">
        <v>1.014</v>
      </c>
      <c r="S253" s="125">
        <v>0.3</v>
      </c>
      <c r="T253" s="125">
        <v>0.25000000000000006</v>
      </c>
      <c r="U253" s="125">
        <v>9.8240000000000016</v>
      </c>
      <c r="V253" s="125">
        <v>0</v>
      </c>
      <c r="W253" s="125">
        <v>4.96</v>
      </c>
      <c r="X253" s="125">
        <v>30.501999999999999</v>
      </c>
      <c r="Y253" s="125">
        <v>2.36</v>
      </c>
      <c r="Z253" s="125">
        <v>92.234999999999999</v>
      </c>
      <c r="AA253" s="125">
        <v>0</v>
      </c>
      <c r="AB253" s="125">
        <v>10.819333333333333</v>
      </c>
      <c r="AC253" s="125">
        <v>7.1833333333333336</v>
      </c>
      <c r="AD253" s="125">
        <v>118.18800000000002</v>
      </c>
      <c r="AE253" s="125">
        <v>197.3125</v>
      </c>
      <c r="AF253" s="125"/>
      <c r="AG253" s="125">
        <v>165</v>
      </c>
      <c r="AH253" s="125">
        <v>51.967500000000001</v>
      </c>
      <c r="AI253" s="125">
        <v>524.9</v>
      </c>
      <c r="AJ253" s="125">
        <v>0.6140000000000001</v>
      </c>
      <c r="AK253" s="125">
        <v>8.4819999999999993</v>
      </c>
      <c r="AL253" s="125">
        <v>183.79000000000002</v>
      </c>
      <c r="AM253" s="125">
        <v>29.022000000000002</v>
      </c>
      <c r="AN253" s="125">
        <v>118.86199999999999</v>
      </c>
      <c r="AO253" s="125">
        <v>972.90400000000011</v>
      </c>
      <c r="AP253" s="125">
        <v>6.7424999999999997</v>
      </c>
      <c r="AQ253" s="125">
        <v>2.532</v>
      </c>
      <c r="AR253" s="125">
        <v>1.0575000000000001</v>
      </c>
      <c r="AS253" s="125">
        <v>0.78500000000000003</v>
      </c>
      <c r="AT253" s="125">
        <v>1.395</v>
      </c>
      <c r="AU253" s="125"/>
      <c r="AV253" s="125">
        <v>0.55528999999999995</v>
      </c>
      <c r="AW253" s="125">
        <v>0.61514749999999996</v>
      </c>
      <c r="AX253" s="125">
        <v>1.9216424999999999</v>
      </c>
      <c r="AY253" s="125">
        <v>0.85194500000000006</v>
      </c>
      <c r="AZ253" s="125">
        <v>0.26769500000000002</v>
      </c>
      <c r="BA253" s="125">
        <v>0.25835750000000002</v>
      </c>
      <c r="BB253" s="125">
        <v>1.1091775000000001</v>
      </c>
      <c r="BC253" s="125">
        <v>0.90315750000000006</v>
      </c>
      <c r="BD253" s="125">
        <v>0.25893499999999997</v>
      </c>
      <c r="BE253" s="125">
        <v>0.86551</v>
      </c>
      <c r="BF253" s="125">
        <v>1.8635050000000002</v>
      </c>
      <c r="BG253" s="125">
        <v>2.1462924999999999</v>
      </c>
      <c r="BH253" s="125">
        <v>4.503355</v>
      </c>
      <c r="BI253" s="125">
        <v>5.4693074999999993</v>
      </c>
      <c r="BJ253" s="125">
        <v>1.6976150000000001</v>
      </c>
      <c r="BK253" s="125">
        <v>1.3587224999999998</v>
      </c>
      <c r="BL253" s="125">
        <v>1.6291925</v>
      </c>
      <c r="BM253" s="125">
        <v>0.68432999999999999</v>
      </c>
      <c r="BN253" s="125">
        <v>978</v>
      </c>
      <c r="BO253" s="125">
        <v>466.41500000000002</v>
      </c>
      <c r="BP253" s="125">
        <v>247</v>
      </c>
      <c r="BQ253" s="118"/>
      <c r="BR253" s="118"/>
    </row>
    <row r="254" spans="1:70">
      <c r="A254" s="158">
        <v>41008</v>
      </c>
      <c r="B254" s="159" t="s">
        <v>1486</v>
      </c>
      <c r="C254" s="158"/>
      <c r="D254" s="158"/>
      <c r="E254" s="158" t="s">
        <v>1152</v>
      </c>
      <c r="F254" s="158" t="s">
        <v>1487</v>
      </c>
      <c r="G254" s="164" t="s">
        <v>1488</v>
      </c>
      <c r="H254" s="158"/>
      <c r="I254" s="158"/>
      <c r="J254" s="160">
        <v>108</v>
      </c>
      <c r="K254" s="160">
        <v>77.5</v>
      </c>
      <c r="L254" s="160">
        <v>17.09</v>
      </c>
      <c r="M254" s="160">
        <v>4.37</v>
      </c>
      <c r="N254" s="118">
        <v>0</v>
      </c>
      <c r="O254" s="118">
        <v>0</v>
      </c>
      <c r="P254" s="118"/>
      <c r="Q254" s="118"/>
      <c r="R254" s="118"/>
      <c r="S254" s="118"/>
      <c r="T254" s="118"/>
      <c r="U254" s="118"/>
      <c r="V254" s="118">
        <v>7.98</v>
      </c>
      <c r="W254" s="118"/>
      <c r="X254" s="118"/>
      <c r="Y254" s="118"/>
      <c r="Z254" s="118"/>
      <c r="AA254" s="118"/>
      <c r="AB254" s="118">
        <v>2680</v>
      </c>
      <c r="AC254" s="118"/>
      <c r="AD254" s="118"/>
      <c r="AE254" s="118"/>
      <c r="AF254" s="118"/>
      <c r="AG254" s="118"/>
      <c r="AH254" s="118"/>
      <c r="AI254" s="118">
        <v>766.52</v>
      </c>
      <c r="AJ254" s="118"/>
      <c r="AK254" s="118">
        <v>3.78</v>
      </c>
      <c r="AL254" s="118">
        <v>30.21</v>
      </c>
      <c r="AM254" s="118"/>
      <c r="AN254" s="118">
        <v>440</v>
      </c>
      <c r="AO254" s="118">
        <v>177.92</v>
      </c>
      <c r="AP254" s="118"/>
      <c r="AQ254" s="118">
        <v>3.19</v>
      </c>
      <c r="AR254" s="118"/>
      <c r="AS254" s="118"/>
      <c r="AT254" s="118"/>
      <c r="AU254" s="118"/>
      <c r="AV254" s="124"/>
      <c r="AW254" s="124"/>
      <c r="AX254" s="124"/>
      <c r="AY254" s="124"/>
      <c r="AZ254" s="124"/>
      <c r="BA254" s="124"/>
      <c r="BB254" s="124"/>
      <c r="BC254" s="124"/>
      <c r="BD254" s="124"/>
      <c r="BE254" s="124"/>
      <c r="BF254" s="124"/>
      <c r="BG254" s="124"/>
      <c r="BH254" s="124"/>
      <c r="BI254" s="124"/>
      <c r="BJ254" s="124"/>
      <c r="BK254" s="124"/>
      <c r="BL254" s="124"/>
      <c r="BM254" s="124"/>
      <c r="BN254" s="118"/>
      <c r="BO254" s="118"/>
      <c r="BP254" s="118"/>
      <c r="BQ254" s="118"/>
      <c r="BR254" s="118"/>
    </row>
    <row r="255" spans="1:70">
      <c r="A255" s="122">
        <v>42009</v>
      </c>
      <c r="B255" s="128" t="s">
        <v>1489</v>
      </c>
      <c r="C255" s="122"/>
      <c r="D255" s="122"/>
      <c r="E255" s="122" t="s">
        <v>1152</v>
      </c>
      <c r="F255" s="122" t="s">
        <v>1490</v>
      </c>
      <c r="G255" s="163" t="s">
        <v>1491</v>
      </c>
      <c r="H255" s="122"/>
      <c r="I255" s="122"/>
      <c r="J255" s="118">
        <v>106</v>
      </c>
      <c r="K255" s="118">
        <v>74.55</v>
      </c>
      <c r="L255" s="118">
        <v>15.91</v>
      </c>
      <c r="M255" s="118">
        <v>4.74</v>
      </c>
      <c r="N255" s="157">
        <v>0</v>
      </c>
      <c r="O255" s="118">
        <v>0</v>
      </c>
      <c r="P255" s="118">
        <v>0.08</v>
      </c>
      <c r="Q255" s="118">
        <v>0.1</v>
      </c>
      <c r="R255" s="118">
        <v>1.69</v>
      </c>
      <c r="S255" s="118"/>
      <c r="T255" s="118">
        <v>0.28000000000000003</v>
      </c>
      <c r="U255" s="118"/>
      <c r="V255" s="118"/>
      <c r="W255" s="118"/>
      <c r="X255" s="118"/>
      <c r="Y255" s="118"/>
      <c r="Z255" s="118"/>
      <c r="AA255" s="118"/>
      <c r="AB255" s="118"/>
      <c r="AC255" s="118"/>
      <c r="AD255" s="118"/>
      <c r="AE255" s="118"/>
      <c r="AF255" s="118"/>
      <c r="AG255" s="118"/>
      <c r="AH255" s="118"/>
      <c r="AI255" s="118">
        <v>492.84</v>
      </c>
      <c r="AJ255" s="118">
        <v>0.17</v>
      </c>
      <c r="AK255" s="118">
        <v>1.1599999999999999</v>
      </c>
      <c r="AL255" s="118">
        <v>32.9</v>
      </c>
      <c r="AM255" s="118"/>
      <c r="AN255" s="118">
        <v>200</v>
      </c>
      <c r="AO255" s="118">
        <v>200.6</v>
      </c>
      <c r="AP255" s="118"/>
      <c r="AQ255" s="118">
        <v>0.94</v>
      </c>
      <c r="AR255" s="118"/>
      <c r="AS255" s="118"/>
      <c r="AT255" s="118"/>
      <c r="AU255" s="118"/>
      <c r="AV255" s="124"/>
      <c r="AW255" s="124"/>
      <c r="AX255" s="124"/>
      <c r="AY255" s="124"/>
      <c r="AZ255" s="124"/>
      <c r="BA255" s="124"/>
      <c r="BB255" s="124"/>
      <c r="BC255" s="124"/>
      <c r="BD255" s="124"/>
      <c r="BE255" s="124"/>
      <c r="BF255" s="124"/>
      <c r="BG255" s="124"/>
      <c r="BH255" s="124"/>
      <c r="BI255" s="124"/>
      <c r="BJ255" s="124"/>
      <c r="BK255" s="124"/>
      <c r="BL255" s="124"/>
      <c r="BM255" s="124"/>
      <c r="BN255" s="118"/>
      <c r="BO255" s="118"/>
      <c r="BP255" s="118"/>
      <c r="BQ255" s="118"/>
      <c r="BR255" s="118"/>
    </row>
    <row r="256" spans="1:70">
      <c r="A256" s="122">
        <v>71001</v>
      </c>
      <c r="B256" s="122" t="s">
        <v>1492</v>
      </c>
      <c r="C256" s="122"/>
      <c r="D256" s="122"/>
      <c r="E256" s="122" t="s">
        <v>76</v>
      </c>
      <c r="F256" s="122">
        <v>140009</v>
      </c>
      <c r="G256" s="163" t="s">
        <v>1493</v>
      </c>
      <c r="H256" s="122"/>
      <c r="I256" s="122"/>
      <c r="J256" s="118">
        <v>296</v>
      </c>
      <c r="K256" s="118">
        <v>5.71</v>
      </c>
      <c r="L256" s="118">
        <v>20.21</v>
      </c>
      <c r="M256" s="118">
        <v>0</v>
      </c>
      <c r="N256" s="157">
        <v>49.54</v>
      </c>
      <c r="O256" s="118">
        <v>8.5</v>
      </c>
      <c r="P256" s="118">
        <v>0</v>
      </c>
      <c r="Q256" s="118">
        <v>0.99</v>
      </c>
      <c r="R256" s="118">
        <v>10.8</v>
      </c>
      <c r="S256" s="118">
        <v>1.3</v>
      </c>
      <c r="T256" s="118">
        <v>0.36</v>
      </c>
      <c r="U256" s="118">
        <v>103</v>
      </c>
      <c r="V256" s="118">
        <v>0</v>
      </c>
      <c r="W256" s="118">
        <v>0</v>
      </c>
      <c r="X256" s="118">
        <v>0</v>
      </c>
      <c r="Y256" s="118">
        <v>0</v>
      </c>
      <c r="Z256" s="118"/>
      <c r="AA256" s="118">
        <v>0</v>
      </c>
      <c r="AB256" s="118">
        <v>0</v>
      </c>
      <c r="AC256" s="118">
        <v>0</v>
      </c>
      <c r="AD256" s="118">
        <v>0</v>
      </c>
      <c r="AE256" s="118"/>
      <c r="AF256" s="118"/>
      <c r="AG256" s="118"/>
      <c r="AH256" s="118"/>
      <c r="AI256" s="118">
        <v>118</v>
      </c>
      <c r="AJ256" s="118">
        <v>0.55000000000000004</v>
      </c>
      <c r="AK256" s="118">
        <v>2.2599999999999998</v>
      </c>
      <c r="AL256" s="118">
        <v>272</v>
      </c>
      <c r="AM256" s="118"/>
      <c r="AN256" s="118">
        <v>239</v>
      </c>
      <c r="AO256" s="118">
        <v>6040</v>
      </c>
      <c r="AP256" s="118"/>
      <c r="AQ256" s="118">
        <v>1.69</v>
      </c>
      <c r="AR256" s="118"/>
      <c r="AS256" s="118"/>
      <c r="AT256" s="118"/>
      <c r="AU256" s="118"/>
      <c r="AV256" s="124"/>
      <c r="AW256" s="124"/>
      <c r="AX256" s="124"/>
      <c r="AY256" s="124"/>
      <c r="AZ256" s="124"/>
      <c r="BA256" s="124"/>
      <c r="BB256" s="124"/>
      <c r="BC256" s="124"/>
      <c r="BD256" s="124"/>
      <c r="BE256" s="124"/>
      <c r="BF256" s="124"/>
      <c r="BG256" s="124"/>
      <c r="BH256" s="124"/>
      <c r="BI256" s="124"/>
      <c r="BJ256" s="124"/>
      <c r="BK256" s="124"/>
      <c r="BL256" s="124"/>
      <c r="BM256" s="124"/>
      <c r="BN256" s="118"/>
      <c r="BO256" s="118"/>
      <c r="BP256" s="118"/>
      <c r="BQ256" s="118"/>
      <c r="BR256" s="118"/>
    </row>
    <row r="257" spans="1:70">
      <c r="A257" s="122">
        <v>90700</v>
      </c>
      <c r="B257" s="122" t="s">
        <v>1494</v>
      </c>
      <c r="C257" s="122"/>
      <c r="D257" s="122"/>
      <c r="E257" s="122" t="s">
        <v>1417</v>
      </c>
      <c r="F257" s="122" t="s">
        <v>1495</v>
      </c>
      <c r="G257" s="163" t="s">
        <v>1496</v>
      </c>
      <c r="H257" s="122">
        <v>21</v>
      </c>
      <c r="I257" s="122" t="s">
        <v>78</v>
      </c>
      <c r="J257" s="118">
        <v>340</v>
      </c>
      <c r="K257" s="118"/>
      <c r="L257" s="118">
        <v>18</v>
      </c>
      <c r="M257" s="118">
        <v>22</v>
      </c>
      <c r="N257" s="157">
        <v>49</v>
      </c>
      <c r="O257" s="118">
        <v>13</v>
      </c>
      <c r="P257" s="118"/>
      <c r="Q257" s="118"/>
      <c r="R257" s="118"/>
      <c r="S257" s="118"/>
      <c r="T257" s="118"/>
      <c r="U257" s="118"/>
      <c r="V257" s="118"/>
      <c r="W257" s="118">
        <v>0</v>
      </c>
      <c r="X257" s="118"/>
      <c r="Y257" s="118"/>
      <c r="Z257" s="118"/>
      <c r="AA257" s="118"/>
      <c r="AB257" s="118"/>
      <c r="AC257" s="118"/>
      <c r="AD257" s="118"/>
      <c r="AE257" s="118"/>
      <c r="AF257" s="118"/>
      <c r="AG257" s="118"/>
      <c r="AH257" s="118"/>
      <c r="AI257" s="118">
        <v>680</v>
      </c>
      <c r="AJ257" s="118"/>
      <c r="AK257" s="118">
        <v>16</v>
      </c>
      <c r="AL257" s="118"/>
      <c r="AM257" s="118"/>
      <c r="AN257" s="118"/>
      <c r="AO257" s="118"/>
      <c r="AP257" s="118"/>
      <c r="AQ257" s="118"/>
      <c r="AR257" s="118"/>
      <c r="AS257" s="118"/>
      <c r="AT257" s="118"/>
      <c r="AU257" s="118">
        <v>0</v>
      </c>
      <c r="AV257" s="124"/>
      <c r="AW257" s="124"/>
      <c r="AX257" s="124"/>
      <c r="AY257" s="124"/>
      <c r="AZ257" s="124"/>
      <c r="BA257" s="124"/>
      <c r="BB257" s="124"/>
      <c r="BC257" s="124"/>
      <c r="BD257" s="124"/>
      <c r="BE257" s="124"/>
      <c r="BF257" s="124"/>
      <c r="BG257" s="124"/>
      <c r="BH257" s="124"/>
      <c r="BI257" s="124"/>
      <c r="BJ257" s="124"/>
      <c r="BK257" s="124"/>
      <c r="BL257" s="124"/>
      <c r="BM257" s="124"/>
      <c r="BN257" s="118"/>
      <c r="BO257" s="118"/>
      <c r="BP257" s="118"/>
      <c r="BQ257" s="118"/>
      <c r="BR257" s="118"/>
    </row>
    <row r="258" spans="1:70" ht="31.5" customHeight="1">
      <c r="A258" s="122">
        <v>21026</v>
      </c>
      <c r="B258" s="142" t="s">
        <v>1853</v>
      </c>
      <c r="C258" s="122"/>
      <c r="D258" s="122"/>
      <c r="E258" s="212" t="s">
        <v>1498</v>
      </c>
      <c r="F258" s="122" t="s">
        <v>1499</v>
      </c>
      <c r="G258" s="154" t="s">
        <v>1500</v>
      </c>
      <c r="H258" s="122"/>
      <c r="I258" s="122"/>
      <c r="J258" s="118">
        <v>28.4</v>
      </c>
      <c r="K258" s="118">
        <v>90.164000000000001</v>
      </c>
      <c r="L258" s="118">
        <v>2.54</v>
      </c>
      <c r="M258" s="118">
        <v>0.41</v>
      </c>
      <c r="N258" s="157">
        <v>1.8979999999999997</v>
      </c>
      <c r="O258" s="118">
        <v>3.5579999999999998</v>
      </c>
      <c r="P258" s="118">
        <v>5.6000000000000008E-2</v>
      </c>
      <c r="Q258" s="118">
        <v>0.28800000000000003</v>
      </c>
      <c r="R258" s="118">
        <v>0.81400000000000006</v>
      </c>
      <c r="S258" s="118">
        <v>0.33</v>
      </c>
      <c r="T258" s="118">
        <v>0.27999999999999997</v>
      </c>
      <c r="U258" s="118">
        <v>98.190000000000012</v>
      </c>
      <c r="V258" s="118">
        <v>0</v>
      </c>
      <c r="W258" s="118">
        <v>52.955999999999996</v>
      </c>
      <c r="X258" s="118">
        <v>3.5380000000000003</v>
      </c>
      <c r="Y258" s="118">
        <v>0.46</v>
      </c>
      <c r="Z258" s="118">
        <v>244.33333333333334</v>
      </c>
      <c r="AA258" s="118">
        <v>0</v>
      </c>
      <c r="AB258" s="118">
        <v>308.84399999999999</v>
      </c>
      <c r="AC258" s="118">
        <v>92.5</v>
      </c>
      <c r="AD258" s="118">
        <v>3677.5279999999998</v>
      </c>
      <c r="AE258" s="118">
        <v>4047.3333333333335</v>
      </c>
      <c r="AF258" s="118"/>
      <c r="AG258" s="118"/>
      <c r="AH258" s="118">
        <v>127.23666666666666</v>
      </c>
      <c r="AI258" s="118">
        <v>143.34200000000001</v>
      </c>
      <c r="AJ258" s="118">
        <v>7.8E-2</v>
      </c>
      <c r="AK258" s="118">
        <v>3.8920000000000003</v>
      </c>
      <c r="AL258" s="118">
        <v>89.545999999999992</v>
      </c>
      <c r="AM258" s="118">
        <v>1.11575</v>
      </c>
      <c r="AN258" s="118">
        <v>47.318000000000005</v>
      </c>
      <c r="AO258" s="118">
        <v>226.72600000000003</v>
      </c>
      <c r="AP258" s="118">
        <v>15.667499999999999</v>
      </c>
      <c r="AQ258" s="118">
        <v>0.8</v>
      </c>
      <c r="AR258" s="118">
        <v>0.15333333333333332</v>
      </c>
      <c r="AS258" s="118">
        <v>4.3333333333333335E-2</v>
      </c>
      <c r="AT258" s="118">
        <v>0.26</v>
      </c>
      <c r="AU258" s="118"/>
      <c r="AV258" s="118">
        <v>5.2346666666666659E-2</v>
      </c>
      <c r="AW258" s="118">
        <v>0.10029666666666666</v>
      </c>
      <c r="AX258" s="118">
        <v>0.1986</v>
      </c>
      <c r="AY258" s="118">
        <v>0.13961666666666667</v>
      </c>
      <c r="AZ258" s="118">
        <v>3.3536666666666666E-2</v>
      </c>
      <c r="BA258" s="118">
        <v>2.3073333333333335E-2</v>
      </c>
      <c r="BB258" s="118">
        <v>0.12870999999999999</v>
      </c>
      <c r="BC258" s="118">
        <v>0.10343666666666668</v>
      </c>
      <c r="BD258" s="118">
        <v>3.5846666666666666E-2</v>
      </c>
      <c r="BE258" s="118">
        <v>0.12047333333333334</v>
      </c>
      <c r="BF258" s="118">
        <v>0.18322666666666665</v>
      </c>
      <c r="BG258" s="118">
        <v>0.13900333333333334</v>
      </c>
      <c r="BH258" s="118">
        <v>0.23983666666666661</v>
      </c>
      <c r="BI258" s="118">
        <v>0.36052333333333331</v>
      </c>
      <c r="BJ258" s="118">
        <v>0.13765666666666668</v>
      </c>
      <c r="BK258" s="118">
        <v>0.10848999999999999</v>
      </c>
      <c r="BL258" s="118">
        <v>0.11808</v>
      </c>
      <c r="BM258" s="118">
        <v>8.0003333333333329E-2</v>
      </c>
      <c r="BN258" s="118">
        <v>26.393333333333334</v>
      </c>
      <c r="BO258" s="118">
        <v>15.713999999999999</v>
      </c>
      <c r="BP258" s="118"/>
      <c r="BQ258" s="118"/>
      <c r="BR258" s="118"/>
    </row>
    <row r="259" spans="1:70">
      <c r="A259" s="122">
        <v>32800</v>
      </c>
      <c r="B259" s="213" t="s">
        <v>1501</v>
      </c>
      <c r="C259" s="122"/>
      <c r="D259" s="122"/>
      <c r="E259" s="122" t="s">
        <v>1502</v>
      </c>
      <c r="F259" s="153" t="s">
        <v>1503</v>
      </c>
      <c r="G259" s="163" t="s">
        <v>1504</v>
      </c>
      <c r="H259" s="122"/>
      <c r="I259" s="122"/>
      <c r="J259" s="118">
        <v>200</v>
      </c>
      <c r="K259" s="118"/>
      <c r="L259" s="118">
        <v>4</v>
      </c>
      <c r="M259" s="118">
        <v>15</v>
      </c>
      <c r="N259" s="157">
        <v>30</v>
      </c>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v>3</v>
      </c>
      <c r="AS259" s="118"/>
      <c r="AT259" s="118"/>
      <c r="AU259" s="118"/>
      <c r="AV259" s="124"/>
      <c r="AW259" s="124"/>
      <c r="AX259" s="124"/>
      <c r="AY259" s="124"/>
      <c r="AZ259" s="124"/>
      <c r="BA259" s="124"/>
      <c r="BB259" s="124"/>
      <c r="BC259" s="124"/>
      <c r="BD259" s="124"/>
      <c r="BE259" s="124"/>
      <c r="BF259" s="124"/>
      <c r="BG259" s="124"/>
      <c r="BH259" s="124"/>
      <c r="BI259" s="124"/>
      <c r="BJ259" s="124"/>
      <c r="BK259" s="124"/>
      <c r="BL259" s="124"/>
      <c r="BM259" s="124"/>
      <c r="BN259" s="118"/>
      <c r="BO259" s="118"/>
      <c r="BP259" s="118"/>
      <c r="BQ259" s="118"/>
      <c r="BR259" s="118"/>
    </row>
    <row r="260" spans="1:70">
      <c r="A260" s="155">
        <v>87202</v>
      </c>
      <c r="B260" s="27" t="s">
        <v>1505</v>
      </c>
      <c r="C260" s="27" t="s">
        <v>1506</v>
      </c>
      <c r="D260" s="27" t="s">
        <v>1507</v>
      </c>
      <c r="E260" s="122" t="s">
        <v>1502</v>
      </c>
      <c r="F260" s="141" t="s">
        <v>1508</v>
      </c>
      <c r="G260" s="163" t="s">
        <v>1509</v>
      </c>
      <c r="H260" s="122"/>
      <c r="I260" s="122"/>
      <c r="J260" s="118">
        <v>537.76</v>
      </c>
      <c r="K260" s="118"/>
      <c r="L260" s="118">
        <v>7.6</v>
      </c>
      <c r="M260" s="118">
        <v>30.4</v>
      </c>
      <c r="N260" s="157">
        <v>57.3</v>
      </c>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v>19.2</v>
      </c>
      <c r="AS260" s="118"/>
      <c r="AT260" s="118"/>
      <c r="AU260" s="118"/>
      <c r="AV260" s="124"/>
      <c r="AW260" s="124"/>
      <c r="AX260" s="124"/>
      <c r="AY260" s="124"/>
      <c r="AZ260" s="124"/>
      <c r="BA260" s="124"/>
      <c r="BB260" s="124"/>
      <c r="BC260" s="124"/>
      <c r="BD260" s="124"/>
      <c r="BE260" s="124"/>
      <c r="BF260" s="124"/>
      <c r="BG260" s="124"/>
      <c r="BH260" s="124"/>
      <c r="BI260" s="124"/>
      <c r="BJ260" s="124"/>
      <c r="BK260" s="124"/>
      <c r="BL260" s="124"/>
      <c r="BM260" s="124"/>
      <c r="BN260" s="118"/>
      <c r="BO260" s="118"/>
      <c r="BP260" s="118"/>
      <c r="BQ260" s="118"/>
      <c r="BR260" s="118"/>
    </row>
    <row r="261" spans="1:70">
      <c r="A261" s="156">
        <v>62901</v>
      </c>
      <c r="B261" s="27" t="s">
        <v>1510</v>
      </c>
      <c r="C261" s="19" t="s">
        <v>1511</v>
      </c>
      <c r="D261" s="19"/>
      <c r="E261" s="122" t="s">
        <v>1502</v>
      </c>
      <c r="F261" s="141" t="s">
        <v>1512</v>
      </c>
      <c r="G261" s="163" t="s">
        <v>1513</v>
      </c>
      <c r="H261" s="122"/>
      <c r="I261" s="122"/>
      <c r="J261" s="118">
        <v>560</v>
      </c>
      <c r="K261" s="118"/>
      <c r="L261" s="118">
        <v>18</v>
      </c>
      <c r="M261" s="118">
        <v>32</v>
      </c>
      <c r="N261" s="157">
        <v>48</v>
      </c>
      <c r="O261" s="118">
        <v>16</v>
      </c>
      <c r="P261" s="118"/>
      <c r="Q261" s="118"/>
      <c r="R261" s="118"/>
      <c r="S261" s="118"/>
      <c r="T261" s="118"/>
      <c r="U261" s="118"/>
      <c r="V261" s="118"/>
      <c r="W261" s="118"/>
      <c r="X261" s="118"/>
      <c r="Y261" s="118"/>
      <c r="Z261" s="118"/>
      <c r="AA261" s="118"/>
      <c r="AB261" s="118"/>
      <c r="AC261" s="118"/>
      <c r="AD261" s="118"/>
      <c r="AE261" s="118"/>
      <c r="AF261" s="118"/>
      <c r="AG261" s="118"/>
      <c r="AH261" s="118"/>
      <c r="AI261" s="118">
        <v>70</v>
      </c>
      <c r="AJ261" s="118"/>
      <c r="AK261" s="118">
        <v>4</v>
      </c>
      <c r="AL261" s="118"/>
      <c r="AM261" s="118"/>
      <c r="AN261" s="118"/>
      <c r="AO261" s="118"/>
      <c r="AP261" s="118"/>
      <c r="AQ261" s="118"/>
      <c r="AR261" s="118">
        <v>6</v>
      </c>
      <c r="AS261" s="118"/>
      <c r="AT261" s="118"/>
      <c r="AU261" s="118"/>
      <c r="AV261" s="124"/>
      <c r="AW261" s="124"/>
      <c r="AX261" s="124"/>
      <c r="AY261" s="124"/>
      <c r="AZ261" s="124"/>
      <c r="BA261" s="124"/>
      <c r="BB261" s="124"/>
      <c r="BC261" s="124"/>
      <c r="BD261" s="124"/>
      <c r="BE261" s="124"/>
      <c r="BF261" s="124"/>
      <c r="BG261" s="124"/>
      <c r="BH261" s="124"/>
      <c r="BI261" s="124"/>
      <c r="BJ261" s="124"/>
      <c r="BK261" s="124"/>
      <c r="BL261" s="124"/>
      <c r="BM261" s="124"/>
      <c r="BN261" s="118"/>
      <c r="BO261" s="118"/>
      <c r="BP261" s="118"/>
      <c r="BQ261" s="118"/>
      <c r="BR261" s="118"/>
    </row>
    <row r="262" spans="1:70">
      <c r="A262" s="156">
        <v>64201</v>
      </c>
      <c r="B262" s="27" t="s">
        <v>1514</v>
      </c>
      <c r="C262" s="19" t="s">
        <v>1515</v>
      </c>
      <c r="D262" s="27" t="s">
        <v>921</v>
      </c>
      <c r="E262" s="122" t="s">
        <v>76</v>
      </c>
      <c r="F262" s="122">
        <v>50013</v>
      </c>
      <c r="G262" s="172" t="s">
        <v>1516</v>
      </c>
      <c r="H262" s="122"/>
      <c r="I262" s="122"/>
      <c r="J262" s="118">
        <v>106</v>
      </c>
      <c r="K262" s="118">
        <v>71.36</v>
      </c>
      <c r="L262" s="118">
        <v>0.91</v>
      </c>
      <c r="M262" s="118">
        <v>0.28999999999999998</v>
      </c>
      <c r="N262" s="157">
        <v>23.4</v>
      </c>
      <c r="O262" s="118">
        <v>3.04</v>
      </c>
      <c r="P262" s="118">
        <v>0.05</v>
      </c>
      <c r="Q262" s="118">
        <v>0.02</v>
      </c>
      <c r="R262" s="118">
        <v>0.38</v>
      </c>
      <c r="S262" s="118"/>
      <c r="T262" s="118">
        <v>0.16</v>
      </c>
      <c r="U262" s="118">
        <v>7</v>
      </c>
      <c r="V262" s="118"/>
      <c r="W262" s="118">
        <v>14.43</v>
      </c>
      <c r="X262" s="118">
        <v>0</v>
      </c>
      <c r="Y262" s="118">
        <v>0.26</v>
      </c>
      <c r="Z262" s="118"/>
      <c r="AA262" s="118">
        <v>0</v>
      </c>
      <c r="AB262" s="118">
        <v>3.13</v>
      </c>
      <c r="AC262" s="118"/>
      <c r="AD262" s="118"/>
      <c r="AE262" s="118"/>
      <c r="AF262" s="118"/>
      <c r="AG262" s="118"/>
      <c r="AH262" s="118"/>
      <c r="AI262" s="118">
        <v>26.83</v>
      </c>
      <c r="AJ262" s="118">
        <v>0.1</v>
      </c>
      <c r="AK262" s="118">
        <v>1.07</v>
      </c>
      <c r="AL262" s="118">
        <v>25.83</v>
      </c>
      <c r="AM262" s="118"/>
      <c r="AN262" s="118">
        <v>41.54</v>
      </c>
      <c r="AO262" s="118">
        <v>177.4</v>
      </c>
      <c r="AP262" s="118"/>
      <c r="AQ262" s="118">
        <v>0.13</v>
      </c>
      <c r="AR262" s="118"/>
      <c r="AS262" s="118"/>
      <c r="AT262" s="118"/>
      <c r="AU262" s="118"/>
      <c r="AV262" s="124"/>
      <c r="AW262" s="124"/>
      <c r="AX262" s="124"/>
      <c r="AY262" s="124"/>
      <c r="AZ262" s="124"/>
      <c r="BA262" s="124"/>
      <c r="BB262" s="124"/>
      <c r="BC262" s="124"/>
      <c r="BD262" s="124"/>
      <c r="BE262" s="124"/>
      <c r="BF262" s="124"/>
      <c r="BG262" s="124"/>
      <c r="BH262" s="124"/>
      <c r="BI262" s="124"/>
      <c r="BJ262" s="124"/>
      <c r="BK262" s="124"/>
      <c r="BL262" s="124"/>
      <c r="BM262" s="124"/>
      <c r="BN262" s="118"/>
      <c r="BO262" s="118"/>
      <c r="BP262" s="118"/>
      <c r="BQ262" s="118"/>
      <c r="BR262" s="118"/>
    </row>
    <row r="263" spans="1:70">
      <c r="A263" s="156">
        <v>62902</v>
      </c>
      <c r="B263" s="27" t="s">
        <v>1517</v>
      </c>
      <c r="C263" s="19" t="s">
        <v>1518</v>
      </c>
      <c r="D263" s="122"/>
      <c r="E263" s="122" t="s">
        <v>1502</v>
      </c>
      <c r="F263" s="141" t="s">
        <v>1519</v>
      </c>
      <c r="G263" s="163" t="s">
        <v>1520</v>
      </c>
      <c r="H263" s="122"/>
      <c r="I263" s="122"/>
      <c r="J263" s="118">
        <v>416</v>
      </c>
      <c r="K263" s="118"/>
      <c r="L263" s="118">
        <v>6</v>
      </c>
      <c r="M263" s="118">
        <v>20</v>
      </c>
      <c r="N263" s="157">
        <v>54</v>
      </c>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v>3.5</v>
      </c>
      <c r="AS263" s="118"/>
      <c r="AT263" s="118"/>
      <c r="AU263" s="118"/>
      <c r="AV263" s="124"/>
      <c r="AW263" s="124"/>
      <c r="AX263" s="124"/>
      <c r="AY263" s="124"/>
      <c r="AZ263" s="124"/>
      <c r="BA263" s="124"/>
      <c r="BB263" s="124"/>
      <c r="BC263" s="124"/>
      <c r="BD263" s="124"/>
      <c r="BE263" s="124"/>
      <c r="BF263" s="124"/>
      <c r="BG263" s="124"/>
      <c r="BH263" s="124"/>
      <c r="BI263" s="124"/>
      <c r="BJ263" s="124"/>
      <c r="BK263" s="124"/>
      <c r="BL263" s="124"/>
      <c r="BM263" s="124"/>
      <c r="BN263" s="118"/>
      <c r="BO263" s="118"/>
      <c r="BP263" s="118"/>
      <c r="BQ263" s="118"/>
      <c r="BR263" s="118"/>
    </row>
    <row r="264" spans="1:70">
      <c r="A264" s="156">
        <v>62904</v>
      </c>
      <c r="B264" s="27" t="s">
        <v>1521</v>
      </c>
      <c r="C264" s="19" t="s">
        <v>1522</v>
      </c>
      <c r="D264" s="205"/>
      <c r="E264" s="122" t="s">
        <v>1502</v>
      </c>
      <c r="F264" s="192"/>
      <c r="G264" s="27" t="s">
        <v>1523</v>
      </c>
      <c r="H264" s="122"/>
      <c r="I264" s="122"/>
      <c r="J264" s="118">
        <v>500</v>
      </c>
      <c r="K264" s="118"/>
      <c r="L264" s="118">
        <v>7</v>
      </c>
      <c r="M264" s="118">
        <v>20</v>
      </c>
      <c r="N264" s="157">
        <v>72</v>
      </c>
      <c r="O264" s="118">
        <v>1.3</v>
      </c>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v>10</v>
      </c>
      <c r="AS264" s="118"/>
      <c r="AT264" s="118"/>
      <c r="AU264" s="118">
        <v>3</v>
      </c>
      <c r="AV264" s="124"/>
      <c r="AW264" s="124"/>
      <c r="AX264" s="124"/>
      <c r="AY264" s="124"/>
      <c r="AZ264" s="124"/>
      <c r="BA264" s="124"/>
      <c r="BB264" s="124"/>
      <c r="BC264" s="124"/>
      <c r="BD264" s="124"/>
      <c r="BE264" s="124"/>
      <c r="BF264" s="124"/>
      <c r="BG264" s="124"/>
      <c r="BH264" s="124"/>
      <c r="BI264" s="124"/>
      <c r="BJ264" s="124"/>
      <c r="BK264" s="124"/>
      <c r="BL264" s="124"/>
      <c r="BM264" s="124"/>
      <c r="BN264" s="118"/>
      <c r="BO264" s="118"/>
      <c r="BP264" s="118"/>
      <c r="BQ264" s="118"/>
      <c r="BR264" s="118"/>
    </row>
    <row r="265" spans="1:70">
      <c r="A265" s="155">
        <v>64901</v>
      </c>
      <c r="B265" s="27" t="s">
        <v>1524</v>
      </c>
      <c r="C265" s="27" t="s">
        <v>1525</v>
      </c>
      <c r="D265" s="27"/>
      <c r="E265" s="155" t="s">
        <v>1417</v>
      </c>
      <c r="F265" s="214">
        <v>1633707</v>
      </c>
      <c r="G265" s="27" t="s">
        <v>1526</v>
      </c>
      <c r="H265" s="212"/>
      <c r="I265" s="212"/>
      <c r="J265" s="205">
        <v>571</v>
      </c>
      <c r="K265" s="205"/>
      <c r="L265" s="205">
        <v>7.14</v>
      </c>
      <c r="M265" s="205">
        <v>35.700000000000003</v>
      </c>
      <c r="N265" s="207">
        <v>53.6</v>
      </c>
      <c r="O265" s="205">
        <v>3.6</v>
      </c>
      <c r="P265" s="205">
        <v>0</v>
      </c>
      <c r="Q265" s="205">
        <v>0.121</v>
      </c>
      <c r="R265" s="205">
        <v>4.29</v>
      </c>
      <c r="S265" s="205"/>
      <c r="T265" s="205">
        <v>0.71399999999999997</v>
      </c>
      <c r="U265" s="205"/>
      <c r="V265" s="205"/>
      <c r="W265" s="205"/>
      <c r="X265" s="205"/>
      <c r="Y265" s="205"/>
      <c r="Z265" s="205"/>
      <c r="AA265" s="205">
        <v>0</v>
      </c>
      <c r="AB265" s="205"/>
      <c r="AC265" s="205"/>
      <c r="AD265" s="205"/>
      <c r="AE265" s="205"/>
      <c r="AF265" s="205"/>
      <c r="AG265" s="205"/>
      <c r="AH265" s="205"/>
      <c r="AI265" s="205">
        <v>0</v>
      </c>
      <c r="AJ265" s="205"/>
      <c r="AK265" s="205">
        <v>1.29</v>
      </c>
      <c r="AL265" s="205"/>
      <c r="AM265" s="205"/>
      <c r="AN265" s="205">
        <v>71</v>
      </c>
      <c r="AO265" s="205">
        <v>1210</v>
      </c>
      <c r="AP265" s="205"/>
      <c r="AQ265" s="205"/>
      <c r="AR265" s="205">
        <v>5.36</v>
      </c>
      <c r="AS265" s="205"/>
      <c r="AT265" s="205"/>
      <c r="AU265" s="205">
        <v>0</v>
      </c>
      <c r="AV265" s="215"/>
      <c r="AW265" s="215"/>
      <c r="AX265" s="215"/>
      <c r="AY265" s="215"/>
      <c r="AZ265" s="215"/>
      <c r="BA265" s="215"/>
      <c r="BB265" s="215"/>
      <c r="BC265" s="215"/>
      <c r="BD265" s="215"/>
      <c r="BE265" s="215"/>
      <c r="BF265" s="215"/>
      <c r="BG265" s="215"/>
      <c r="BH265" s="215"/>
      <c r="BI265" s="215"/>
      <c r="BJ265" s="215"/>
      <c r="BK265" s="215"/>
      <c r="BL265" s="215"/>
      <c r="BM265" s="215"/>
      <c r="BN265" s="205"/>
      <c r="BO265" s="205"/>
      <c r="BP265" s="205"/>
      <c r="BQ265" s="205"/>
      <c r="BR265" s="205"/>
    </row>
    <row r="266" spans="1:70">
      <c r="A266" s="155">
        <v>65302</v>
      </c>
      <c r="B266" s="27" t="s">
        <v>1527</v>
      </c>
      <c r="C266" s="27" t="s">
        <v>1528</v>
      </c>
      <c r="E266" s="216" t="s">
        <v>76</v>
      </c>
      <c r="F266" s="155">
        <v>10009</v>
      </c>
      <c r="G266" s="27" t="s">
        <v>1529</v>
      </c>
      <c r="H266" s="212"/>
      <c r="I266" s="212"/>
      <c r="J266" s="172">
        <v>328</v>
      </c>
      <c r="K266" s="173">
        <v>13.74</v>
      </c>
      <c r="L266" s="173">
        <v>9.98</v>
      </c>
      <c r="M266" s="173">
        <v>3.07</v>
      </c>
      <c r="N266" s="173">
        <v>58.64</v>
      </c>
      <c r="O266" s="173">
        <v>12.94</v>
      </c>
      <c r="P266" s="173">
        <v>0.09</v>
      </c>
      <c r="Q266" s="173">
        <v>7.0000000000000007E-2</v>
      </c>
      <c r="R266" s="173">
        <v>0.87</v>
      </c>
      <c r="S266" s="173" t="s">
        <v>1530</v>
      </c>
      <c r="T266" s="173">
        <v>0.14000000000000001</v>
      </c>
      <c r="U266" s="173">
        <v>27.66</v>
      </c>
      <c r="V266" s="173" t="s">
        <v>1530</v>
      </c>
      <c r="W266" s="173">
        <v>0</v>
      </c>
      <c r="X266" s="173">
        <v>0</v>
      </c>
      <c r="Y266" s="173">
        <v>0.2</v>
      </c>
      <c r="Z266" s="173" t="s">
        <v>1530</v>
      </c>
      <c r="AA266" s="173">
        <v>0</v>
      </c>
      <c r="AB266" s="173">
        <v>6.65</v>
      </c>
      <c r="AC266" s="173">
        <v>39.24</v>
      </c>
      <c r="AD266" s="173">
        <v>60.21</v>
      </c>
      <c r="AE266" s="173" t="s">
        <v>1530</v>
      </c>
      <c r="AF266" s="173" t="s">
        <v>1530</v>
      </c>
      <c r="AG266" s="173" t="s">
        <v>1530</v>
      </c>
      <c r="AH266" s="173" t="s">
        <v>1530</v>
      </c>
      <c r="AI266" s="173">
        <v>10</v>
      </c>
      <c r="AJ266" s="173">
        <v>0.23</v>
      </c>
      <c r="AK266" s="173">
        <v>2.8</v>
      </c>
      <c r="AL266" s="173">
        <v>135</v>
      </c>
      <c r="AM266" s="173" t="s">
        <v>1530</v>
      </c>
      <c r="AN266" s="173">
        <v>348.9</v>
      </c>
      <c r="AO266" s="173">
        <v>293.56</v>
      </c>
      <c r="AP266" s="173" t="s">
        <v>1530</v>
      </c>
      <c r="AQ266" s="173">
        <v>3.7</v>
      </c>
      <c r="AR266" s="173" t="s">
        <v>1530</v>
      </c>
      <c r="AS266" s="173" t="s">
        <v>1530</v>
      </c>
      <c r="AT266" s="173" t="s">
        <v>1530</v>
      </c>
      <c r="AU266" s="173" t="s">
        <v>1530</v>
      </c>
      <c r="AV266" s="173" t="s">
        <v>1530</v>
      </c>
      <c r="AW266" s="173" t="s">
        <v>1530</v>
      </c>
      <c r="AX266" s="173" t="s">
        <v>1530</v>
      </c>
      <c r="AY266" s="173" t="s">
        <v>1530</v>
      </c>
      <c r="AZ266" s="173" t="s">
        <v>1530</v>
      </c>
      <c r="BA266" s="173" t="s">
        <v>1530</v>
      </c>
      <c r="BB266" s="173" t="s">
        <v>1530</v>
      </c>
      <c r="BC266" s="173" t="s">
        <v>1530</v>
      </c>
      <c r="BD266" s="173" t="s">
        <v>1530</v>
      </c>
      <c r="BE266" s="173" t="s">
        <v>1530</v>
      </c>
      <c r="BF266" s="173" t="s">
        <v>1530</v>
      </c>
      <c r="BG266" s="173" t="s">
        <v>1530</v>
      </c>
      <c r="BH266" s="173" t="s">
        <v>1530</v>
      </c>
      <c r="BI266" s="173" t="s">
        <v>1530</v>
      </c>
      <c r="BJ266" s="173" t="s">
        <v>1530</v>
      </c>
      <c r="BK266" s="173" t="s">
        <v>1530</v>
      </c>
      <c r="BL266" s="173" t="s">
        <v>1530</v>
      </c>
      <c r="BM266" s="173" t="s">
        <v>1530</v>
      </c>
      <c r="BN266" s="173" t="s">
        <v>1530</v>
      </c>
      <c r="BO266" s="173" t="s">
        <v>1530</v>
      </c>
      <c r="BP266" s="173" t="s">
        <v>1530</v>
      </c>
      <c r="BQ266" s="205"/>
      <c r="BR266" s="205"/>
    </row>
    <row r="267" spans="1:70" ht="17.25">
      <c r="A267" s="155">
        <v>76001</v>
      </c>
      <c r="B267" s="155" t="s">
        <v>1531</v>
      </c>
      <c r="C267" s="155" t="s">
        <v>1532</v>
      </c>
      <c r="D267" s="27" t="s">
        <v>706</v>
      </c>
      <c r="E267" s="212" t="s">
        <v>1417</v>
      </c>
      <c r="F267" s="212">
        <v>2383423</v>
      </c>
      <c r="G267" s="209" t="s">
        <v>1533</v>
      </c>
      <c r="H267" s="212"/>
      <c r="I267" s="212"/>
      <c r="J267" s="205">
        <v>1</v>
      </c>
      <c r="K267" s="205"/>
      <c r="L267" s="205">
        <v>0</v>
      </c>
      <c r="M267" s="205">
        <v>0</v>
      </c>
      <c r="N267" s="207">
        <v>0.24</v>
      </c>
      <c r="O267" s="205">
        <v>0</v>
      </c>
      <c r="P267" s="205"/>
      <c r="Q267" s="205"/>
      <c r="R267" s="205"/>
      <c r="S267" s="205"/>
      <c r="T267" s="205"/>
      <c r="U267" s="205"/>
      <c r="V267" s="205"/>
      <c r="W267" s="205">
        <v>1.2</v>
      </c>
      <c r="X267" s="205">
        <v>0</v>
      </c>
      <c r="Y267" s="205"/>
      <c r="Z267" s="205"/>
      <c r="AA267" s="205">
        <v>0</v>
      </c>
      <c r="AB267" s="205"/>
      <c r="AC267" s="205"/>
      <c r="AD267" s="205"/>
      <c r="AE267" s="205"/>
      <c r="AF267" s="205"/>
      <c r="AG267" s="205"/>
      <c r="AH267" s="205"/>
      <c r="AI267" s="140">
        <v>10</v>
      </c>
      <c r="AJ267" s="205"/>
      <c r="AK267" s="205">
        <v>0</v>
      </c>
      <c r="AL267" s="205">
        <v>2</v>
      </c>
      <c r="AM267" s="205"/>
      <c r="AN267" s="205"/>
      <c r="AO267" s="205">
        <v>3</v>
      </c>
      <c r="AP267" s="205"/>
      <c r="AQ267" s="205"/>
      <c r="AR267" s="205">
        <v>0</v>
      </c>
      <c r="AS267" s="205"/>
      <c r="AT267" s="205"/>
      <c r="AU267" s="205">
        <v>0</v>
      </c>
      <c r="AV267" s="215"/>
      <c r="AW267" s="215"/>
      <c r="AX267" s="215"/>
      <c r="AY267" s="215"/>
      <c r="AZ267" s="215"/>
      <c r="BA267" s="215"/>
      <c r="BB267" s="215"/>
      <c r="BC267" s="215"/>
      <c r="BD267" s="215"/>
      <c r="BE267" s="215"/>
      <c r="BF267" s="215"/>
      <c r="BG267" s="215"/>
      <c r="BH267" s="215"/>
      <c r="BI267" s="215"/>
      <c r="BJ267" s="215"/>
      <c r="BK267" s="215"/>
      <c r="BL267" s="215"/>
      <c r="BM267" s="215"/>
      <c r="BN267" s="205"/>
      <c r="BO267" s="205"/>
      <c r="BP267" s="205"/>
      <c r="BQ267" s="205"/>
      <c r="BR267" s="205"/>
    </row>
    <row r="268" spans="1:70" ht="14.25" customHeight="1">
      <c r="A268" s="155">
        <v>72901</v>
      </c>
      <c r="B268" s="155" t="s">
        <v>1534</v>
      </c>
      <c r="C268" s="155" t="s">
        <v>1535</v>
      </c>
      <c r="D268" s="155"/>
      <c r="E268" s="154" t="s">
        <v>1417</v>
      </c>
      <c r="F268" s="155">
        <v>2571056</v>
      </c>
      <c r="G268" s="27" t="s">
        <v>1536</v>
      </c>
      <c r="H268" s="212"/>
      <c r="I268" s="212"/>
      <c r="J268" s="205">
        <v>39</v>
      </c>
      <c r="K268" s="205"/>
      <c r="L268" s="205">
        <v>0</v>
      </c>
      <c r="M268" s="205">
        <v>0</v>
      </c>
      <c r="N268" s="207">
        <v>11</v>
      </c>
      <c r="O268" s="205"/>
      <c r="P268" s="205"/>
      <c r="Q268" s="205"/>
      <c r="R268" s="205"/>
      <c r="S268" s="205"/>
      <c r="T268" s="205"/>
      <c r="U268" s="205"/>
      <c r="V268" s="205"/>
      <c r="W268" s="205"/>
      <c r="X268" s="205"/>
      <c r="Y268" s="205"/>
      <c r="Z268" s="205"/>
      <c r="AA268" s="205"/>
      <c r="AB268" s="205"/>
      <c r="AC268" s="205"/>
      <c r="AD268" s="205"/>
      <c r="AE268" s="205"/>
      <c r="AF268" s="205"/>
      <c r="AG268" s="205"/>
      <c r="AH268" s="205"/>
      <c r="AI268" s="205"/>
      <c r="AJ268" s="205"/>
      <c r="AK268" s="205"/>
      <c r="AL268" s="205"/>
      <c r="AM268" s="205"/>
      <c r="AN268" s="205"/>
      <c r="AO268" s="205">
        <v>17</v>
      </c>
      <c r="AP268" s="205"/>
      <c r="AQ268" s="205"/>
      <c r="AR268" s="205"/>
      <c r="AS268" s="205"/>
      <c r="AT268" s="205"/>
      <c r="AU268" s="205"/>
      <c r="AV268" s="215"/>
      <c r="AW268" s="215"/>
      <c r="AX268" s="215"/>
      <c r="AY268" s="215"/>
      <c r="AZ268" s="215"/>
      <c r="BA268" s="215"/>
      <c r="BB268" s="215"/>
      <c r="BC268" s="215"/>
      <c r="BD268" s="215"/>
      <c r="BE268" s="215"/>
      <c r="BF268" s="215"/>
      <c r="BG268" s="215"/>
      <c r="BH268" s="215"/>
      <c r="BI268" s="215"/>
      <c r="BJ268" s="215"/>
      <c r="BK268" s="215"/>
      <c r="BL268" s="215"/>
      <c r="BM268" s="215"/>
      <c r="BN268" s="205"/>
      <c r="BO268" s="205"/>
      <c r="BP268" s="205"/>
      <c r="BQ268" s="205"/>
      <c r="BR268" s="205"/>
    </row>
    <row r="269" spans="1:70">
      <c r="A269" s="155">
        <v>72903</v>
      </c>
      <c r="B269" s="155" t="s">
        <v>1537</v>
      </c>
      <c r="C269" s="155" t="s">
        <v>1538</v>
      </c>
      <c r="D269" s="155"/>
      <c r="E269" s="154" t="s">
        <v>1417</v>
      </c>
      <c r="F269" s="155">
        <v>465661</v>
      </c>
      <c r="G269" s="19" t="s">
        <v>1539</v>
      </c>
      <c r="H269" s="212"/>
      <c r="I269" s="212"/>
      <c r="J269" s="205">
        <v>65</v>
      </c>
      <c r="K269" s="205"/>
      <c r="L269" s="205">
        <v>0</v>
      </c>
      <c r="M269" s="205">
        <v>0</v>
      </c>
      <c r="N269" s="207">
        <v>16</v>
      </c>
      <c r="O269" s="205">
        <v>0.5</v>
      </c>
      <c r="P269" s="205"/>
      <c r="Q269" s="205"/>
      <c r="R269" s="205"/>
      <c r="S269" s="205"/>
      <c r="T269" s="205"/>
      <c r="U269" s="205"/>
      <c r="V269" s="205"/>
      <c r="W269" s="205"/>
      <c r="X269" s="205"/>
      <c r="Y269" s="205"/>
      <c r="Z269" s="205"/>
      <c r="AA269" s="205">
        <v>120</v>
      </c>
      <c r="AB269" s="205"/>
      <c r="AC269" s="205"/>
      <c r="AD269" s="205"/>
      <c r="AE269" s="205"/>
      <c r="AF269" s="205"/>
      <c r="AG269" s="205"/>
      <c r="AH269" s="205"/>
      <c r="AI269" s="205" t="s">
        <v>1540</v>
      </c>
      <c r="AJ269" s="205"/>
      <c r="AK269" s="205">
        <v>0.36</v>
      </c>
      <c r="AL269" s="205"/>
      <c r="AM269" s="205"/>
      <c r="AN269" s="205"/>
      <c r="AO269" s="205"/>
      <c r="AP269" s="205"/>
      <c r="AQ269" s="205"/>
      <c r="AR269" s="205">
        <v>0</v>
      </c>
      <c r="AS269" s="205"/>
      <c r="AT269" s="205"/>
      <c r="AU269" s="205">
        <v>0</v>
      </c>
      <c r="AV269" s="215"/>
      <c r="AW269" s="215"/>
      <c r="AX269" s="215"/>
      <c r="AY269" s="215"/>
      <c r="AZ269" s="215"/>
      <c r="BA269" s="215"/>
      <c r="BB269" s="215"/>
      <c r="BC269" s="215"/>
      <c r="BD269" s="215"/>
      <c r="BE269" s="215"/>
      <c r="BF269" s="215"/>
      <c r="BG269" s="215"/>
      <c r="BH269" s="215"/>
      <c r="BI269" s="215"/>
      <c r="BJ269" s="215"/>
      <c r="BK269" s="215"/>
      <c r="BL269" s="215"/>
      <c r="BM269" s="215"/>
      <c r="BN269" s="205"/>
      <c r="BO269" s="205"/>
      <c r="BP269" s="205"/>
      <c r="BQ269" s="205"/>
      <c r="BR269" s="205"/>
    </row>
    <row r="270" spans="1:70">
      <c r="A270" s="155">
        <v>70103</v>
      </c>
      <c r="B270" s="155" t="s">
        <v>1541</v>
      </c>
      <c r="C270" s="155" t="s">
        <v>1542</v>
      </c>
      <c r="D270" s="155"/>
      <c r="E270" s="154" t="s">
        <v>1502</v>
      </c>
      <c r="F270" s="141" t="s">
        <v>1543</v>
      </c>
      <c r="G270" s="27" t="s">
        <v>1544</v>
      </c>
      <c r="H270" s="212"/>
      <c r="I270" s="212"/>
      <c r="J270" s="205"/>
      <c r="K270" s="205"/>
      <c r="L270" s="205"/>
      <c r="M270" s="205"/>
      <c r="N270" s="207"/>
      <c r="O270" s="205"/>
      <c r="P270" s="205"/>
      <c r="Q270" s="205"/>
      <c r="R270" s="205"/>
      <c r="S270" s="205"/>
      <c r="T270" s="205"/>
      <c r="U270" s="205"/>
      <c r="V270" s="205"/>
      <c r="W270" s="205"/>
      <c r="X270" s="205"/>
      <c r="Y270" s="205"/>
      <c r="Z270" s="205"/>
      <c r="AA270" s="205"/>
      <c r="AB270" s="205"/>
      <c r="AC270" s="205"/>
      <c r="AD270" s="205"/>
      <c r="AE270" s="205"/>
      <c r="AF270" s="205"/>
      <c r="AG270" s="205"/>
      <c r="AH270" s="205"/>
      <c r="AI270" s="205"/>
      <c r="AJ270" s="205"/>
      <c r="AK270" s="205"/>
      <c r="AL270" s="205"/>
      <c r="AM270" s="205"/>
      <c r="AN270" s="205"/>
      <c r="AO270" s="205">
        <v>3080</v>
      </c>
      <c r="AP270" s="205"/>
      <c r="AQ270" s="205"/>
      <c r="AR270" s="205"/>
      <c r="AS270" s="205"/>
      <c r="AT270" s="205"/>
      <c r="AU270" s="205"/>
      <c r="AV270" s="215"/>
      <c r="AW270" s="215"/>
      <c r="AX270" s="215"/>
      <c r="AY270" s="215"/>
      <c r="AZ270" s="215"/>
      <c r="BA270" s="215"/>
      <c r="BB270" s="215"/>
      <c r="BC270" s="215"/>
      <c r="BD270" s="215"/>
      <c r="BE270" s="215"/>
      <c r="BF270" s="215"/>
      <c r="BG270" s="215"/>
      <c r="BH270" s="215"/>
      <c r="BI270" s="215"/>
      <c r="BJ270" s="215"/>
      <c r="BK270" s="215"/>
      <c r="BL270" s="215"/>
      <c r="BM270" s="215"/>
      <c r="BN270" s="205"/>
      <c r="BO270" s="205"/>
      <c r="BP270" s="205"/>
      <c r="BQ270" s="205"/>
      <c r="BR270" s="205"/>
    </row>
    <row r="271" spans="1:70">
      <c r="A271" s="155">
        <v>91601</v>
      </c>
      <c r="B271" s="155" t="s">
        <v>1545</v>
      </c>
      <c r="C271" s="155" t="s">
        <v>1546</v>
      </c>
      <c r="D271" s="155"/>
      <c r="E271" s="155" t="s">
        <v>76</v>
      </c>
      <c r="F271" s="155">
        <v>170026</v>
      </c>
      <c r="G271" s="27" t="s">
        <v>1547</v>
      </c>
      <c r="H271" s="212"/>
      <c r="I271" s="212"/>
      <c r="J271" s="172">
        <v>379</v>
      </c>
      <c r="K271" s="173">
        <v>2.5</v>
      </c>
      <c r="L271" s="173">
        <v>9.4</v>
      </c>
      <c r="M271" s="173">
        <v>3.1</v>
      </c>
      <c r="N271" s="173" t="s">
        <v>1530</v>
      </c>
      <c r="O271" s="173" t="s">
        <v>1530</v>
      </c>
      <c r="P271" s="173">
        <v>1.7</v>
      </c>
      <c r="Q271" s="173" t="s">
        <v>1530</v>
      </c>
      <c r="R271" s="173">
        <v>22</v>
      </c>
      <c r="S271" s="173">
        <v>7.3</v>
      </c>
      <c r="T271" s="173">
        <v>2.4</v>
      </c>
      <c r="U271" s="173" t="s">
        <v>1530</v>
      </c>
      <c r="V271" s="173">
        <v>1.2</v>
      </c>
      <c r="W271" s="173">
        <v>73</v>
      </c>
      <c r="X271" s="173">
        <v>18.5</v>
      </c>
      <c r="Y271" s="173">
        <v>12.2</v>
      </c>
      <c r="Z271" s="173" t="s">
        <v>1530</v>
      </c>
      <c r="AA271" s="173">
        <v>978</v>
      </c>
      <c r="AB271" s="173" t="s">
        <v>1530</v>
      </c>
      <c r="AC271" s="173" t="s">
        <v>1530</v>
      </c>
      <c r="AD271" s="173" t="s">
        <v>1530</v>
      </c>
      <c r="AE271" s="173" t="s">
        <v>1530</v>
      </c>
      <c r="AF271" s="173" t="s">
        <v>1530</v>
      </c>
      <c r="AG271" s="173" t="s">
        <v>1530</v>
      </c>
      <c r="AH271" s="173" t="s">
        <v>1530</v>
      </c>
      <c r="AI271" s="173">
        <v>1910</v>
      </c>
      <c r="AJ271" s="173">
        <v>0.2</v>
      </c>
      <c r="AK271" s="173">
        <v>10.5</v>
      </c>
      <c r="AL271" s="173">
        <v>39</v>
      </c>
      <c r="AM271" s="173" t="s">
        <v>1530</v>
      </c>
      <c r="AN271" s="173">
        <v>300</v>
      </c>
      <c r="AO271" s="173">
        <v>686</v>
      </c>
      <c r="AP271" s="173" t="s">
        <v>1530</v>
      </c>
      <c r="AQ271" s="173" t="s">
        <v>1530</v>
      </c>
      <c r="AR271" s="173">
        <v>83.7</v>
      </c>
      <c r="AS271" s="173" t="s">
        <v>1530</v>
      </c>
      <c r="AT271" s="173" t="s">
        <v>1530</v>
      </c>
      <c r="AU271" s="173" t="s">
        <v>1530</v>
      </c>
      <c r="AV271" s="173" t="s">
        <v>1530</v>
      </c>
      <c r="AW271" s="173" t="s">
        <v>1530</v>
      </c>
      <c r="AX271" s="173" t="s">
        <v>1530</v>
      </c>
      <c r="AY271" s="173" t="s">
        <v>1530</v>
      </c>
      <c r="AZ271" s="173" t="s">
        <v>1530</v>
      </c>
      <c r="BA271" s="173" t="s">
        <v>1530</v>
      </c>
      <c r="BB271" s="173" t="s">
        <v>1530</v>
      </c>
      <c r="BC271" s="173" t="s">
        <v>1530</v>
      </c>
      <c r="BD271" s="173" t="s">
        <v>1530</v>
      </c>
      <c r="BE271" s="173" t="s">
        <v>1530</v>
      </c>
      <c r="BF271" s="173" t="s">
        <v>1530</v>
      </c>
      <c r="BG271" s="173" t="s">
        <v>1530</v>
      </c>
      <c r="BH271" s="173" t="s">
        <v>1530</v>
      </c>
      <c r="BI271" s="173" t="s">
        <v>1530</v>
      </c>
      <c r="BJ271" s="173" t="s">
        <v>1530</v>
      </c>
      <c r="BK271" s="173" t="s">
        <v>1530</v>
      </c>
      <c r="BL271" s="173" t="s">
        <v>1530</v>
      </c>
      <c r="BM271" s="173" t="s">
        <v>1530</v>
      </c>
      <c r="BN271" s="173" t="s">
        <v>1530</v>
      </c>
      <c r="BO271" s="173" t="s">
        <v>1530</v>
      </c>
      <c r="BP271" s="173" t="s">
        <v>1530</v>
      </c>
      <c r="BQ271" s="205"/>
      <c r="BR271" s="205"/>
    </row>
    <row r="272" spans="1:70">
      <c r="B272" s="212"/>
      <c r="C272" s="212"/>
      <c r="E272" s="212"/>
      <c r="F272" s="212"/>
      <c r="G272" s="209"/>
      <c r="H272" s="212"/>
      <c r="I272" s="212"/>
      <c r="J272" s="205"/>
      <c r="K272" s="205"/>
      <c r="L272" s="205"/>
      <c r="M272" s="205"/>
      <c r="N272" s="207"/>
      <c r="O272" s="205"/>
      <c r="P272" s="205"/>
      <c r="Q272" s="205"/>
      <c r="R272" s="205"/>
      <c r="S272" s="205"/>
      <c r="T272" s="205"/>
      <c r="U272" s="205"/>
      <c r="V272" s="205"/>
      <c r="W272" s="205"/>
      <c r="X272" s="205"/>
      <c r="Y272" s="205"/>
      <c r="Z272" s="205"/>
      <c r="AA272" s="205"/>
      <c r="AB272" s="205"/>
      <c r="AC272" s="205"/>
      <c r="AD272" s="205"/>
      <c r="AE272" s="205"/>
      <c r="AF272" s="205"/>
      <c r="AG272" s="205"/>
      <c r="AH272" s="205"/>
      <c r="AI272" s="205"/>
      <c r="AJ272" s="205"/>
      <c r="AK272" s="205"/>
      <c r="AL272" s="205"/>
      <c r="AM272" s="205"/>
      <c r="AN272" s="205"/>
      <c r="AO272" s="205"/>
      <c r="AP272" s="205"/>
      <c r="AQ272" s="205"/>
      <c r="AR272" s="205"/>
      <c r="AS272" s="205"/>
      <c r="AT272" s="205"/>
      <c r="AU272" s="205"/>
      <c r="AV272" s="215"/>
      <c r="AW272" s="215"/>
      <c r="AX272" s="215"/>
      <c r="AY272" s="215"/>
      <c r="AZ272" s="215"/>
      <c r="BA272" s="215"/>
      <c r="BB272" s="215"/>
      <c r="BC272" s="215"/>
      <c r="BD272" s="215"/>
      <c r="BE272" s="215"/>
      <c r="BF272" s="215"/>
      <c r="BG272" s="215"/>
      <c r="BH272" s="215"/>
      <c r="BI272" s="215"/>
      <c r="BJ272" s="215"/>
      <c r="BK272" s="215"/>
      <c r="BL272" s="215"/>
      <c r="BM272" s="215"/>
      <c r="BN272" s="205"/>
      <c r="BO272" s="205"/>
      <c r="BP272" s="205"/>
      <c r="BQ272" s="205"/>
      <c r="BR272" s="205"/>
    </row>
    <row r="273" spans="1:13">
      <c r="A273" s="161"/>
      <c r="B273" s="217"/>
      <c r="C273" s="217"/>
      <c r="D273" s="161"/>
      <c r="E273" s="217"/>
      <c r="F273" s="217"/>
      <c r="G273" s="218"/>
      <c r="H273" s="217"/>
      <c r="I273" s="217"/>
      <c r="J273" s="208"/>
      <c r="K273" s="208"/>
      <c r="L273" s="208"/>
      <c r="M273" s="208"/>
    </row>
  </sheetData>
  <autoFilter ref="A1:BP271" xr:uid="{0358F13C-EE28-4FA3-88E1-AF662B1B307B}"/>
  <hyperlinks>
    <hyperlink ref="F19" r:id="rId1" xr:uid="{F5A59AAD-B9A9-4154-AC8F-44649F6FF3A6}"/>
    <hyperlink ref="F259" r:id="rId2" xr:uid="{E7EBC505-9FE6-488E-A04A-CFCE8003EB66}"/>
    <hyperlink ref="F260" r:id="rId3" xr:uid="{D04BFE40-2121-4C56-B14B-9EDE09AA5A9B}"/>
    <hyperlink ref="F261" r:id="rId4" xr:uid="{3941320A-5344-4FBF-BB0C-57985D6A9673}"/>
    <hyperlink ref="F270" r:id="rId5" xr:uid="{229ACE4E-0C89-4151-AED0-D3C01AAC7000}"/>
    <hyperlink ref="F263" r:id="rId6" xr:uid="{56D21D6C-8184-4B85-B6F7-921AF6CD711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742E-7098-4896-B1CC-B859E04445BD}">
  <dimension ref="A1:CF18"/>
  <sheetViews>
    <sheetView topLeftCell="A4" workbookViewId="0">
      <selection activeCell="B19" sqref="B19"/>
    </sheetView>
  </sheetViews>
  <sheetFormatPr defaultRowHeight="14.85"/>
  <cols>
    <col min="2" max="2" width="29.5703125" customWidth="1"/>
    <col min="3" max="3" width="16.5703125" customWidth="1"/>
    <col min="4" max="4" width="19.85546875" customWidth="1"/>
    <col min="5" max="5" width="16.140625" customWidth="1"/>
  </cols>
  <sheetData>
    <row r="1" spans="1:84" ht="103.35">
      <c r="A1" s="132" t="s">
        <v>0</v>
      </c>
      <c r="B1" s="132" t="s">
        <v>1</v>
      </c>
      <c r="C1" s="132" t="s">
        <v>2</v>
      </c>
      <c r="D1" s="132" t="s">
        <v>3</v>
      </c>
      <c r="E1" s="132" t="s">
        <v>4</v>
      </c>
      <c r="F1" s="132" t="s">
        <v>5</v>
      </c>
      <c r="G1" s="132" t="s">
        <v>6</v>
      </c>
      <c r="H1" s="132" t="s">
        <v>7</v>
      </c>
      <c r="I1" s="132" t="s">
        <v>8</v>
      </c>
      <c r="J1" s="116" t="s">
        <v>9</v>
      </c>
      <c r="K1" s="116" t="s">
        <v>10</v>
      </c>
      <c r="L1" s="116" t="s">
        <v>11</v>
      </c>
      <c r="M1" s="116" t="s">
        <v>12</v>
      </c>
      <c r="N1" s="116" t="s">
        <v>13</v>
      </c>
      <c r="O1" s="116" t="s">
        <v>14</v>
      </c>
      <c r="P1" s="116" t="s">
        <v>15</v>
      </c>
      <c r="Q1" s="116" t="s">
        <v>16</v>
      </c>
      <c r="R1" s="116" t="s">
        <v>17</v>
      </c>
      <c r="S1" s="116" t="s">
        <v>18</v>
      </c>
      <c r="T1" s="116" t="s">
        <v>19</v>
      </c>
      <c r="U1" s="116" t="s">
        <v>20</v>
      </c>
      <c r="V1" s="116" t="s">
        <v>21</v>
      </c>
      <c r="W1" s="116" t="s">
        <v>22</v>
      </c>
      <c r="X1" s="116" t="s">
        <v>23</v>
      </c>
      <c r="Y1" s="117" t="s">
        <v>24</v>
      </c>
      <c r="Z1" s="117" t="s">
        <v>25</v>
      </c>
      <c r="AA1" s="116" t="s">
        <v>26</v>
      </c>
      <c r="AB1" s="116" t="s">
        <v>27</v>
      </c>
      <c r="AC1" s="116" t="s">
        <v>28</v>
      </c>
      <c r="AD1" s="116" t="s">
        <v>29</v>
      </c>
      <c r="AE1" s="116" t="s">
        <v>30</v>
      </c>
      <c r="AF1" s="116" t="s">
        <v>31</v>
      </c>
      <c r="AG1" s="116" t="s">
        <v>32</v>
      </c>
      <c r="AH1" s="116" t="s">
        <v>33</v>
      </c>
      <c r="AI1" s="116" t="s">
        <v>34</v>
      </c>
      <c r="AJ1" s="116" t="s">
        <v>35</v>
      </c>
      <c r="AK1" s="116" t="s">
        <v>36</v>
      </c>
      <c r="AL1" s="116" t="s">
        <v>37</v>
      </c>
      <c r="AM1" s="116" t="s">
        <v>38</v>
      </c>
      <c r="AN1" s="116" t="s">
        <v>39</v>
      </c>
      <c r="AO1" s="116" t="s">
        <v>40</v>
      </c>
      <c r="AP1" s="116" t="s">
        <v>41</v>
      </c>
      <c r="AQ1" s="116" t="s">
        <v>42</v>
      </c>
      <c r="AR1" s="116" t="s">
        <v>43</v>
      </c>
      <c r="AS1" s="116" t="s">
        <v>44</v>
      </c>
      <c r="AT1" s="116" t="s">
        <v>45</v>
      </c>
      <c r="AU1" s="116" t="s">
        <v>46</v>
      </c>
      <c r="AV1" s="133" t="s">
        <v>47</v>
      </c>
      <c r="AW1" s="133" t="s">
        <v>48</v>
      </c>
      <c r="AX1" s="133" t="s">
        <v>49</v>
      </c>
      <c r="AY1" s="133" t="s">
        <v>50</v>
      </c>
      <c r="AZ1" s="133" t="s">
        <v>51</v>
      </c>
      <c r="BA1" s="133" t="s">
        <v>52</v>
      </c>
      <c r="BB1" s="133" t="s">
        <v>53</v>
      </c>
      <c r="BC1" s="133" t="s">
        <v>54</v>
      </c>
      <c r="BD1" s="133" t="s">
        <v>55</v>
      </c>
      <c r="BE1" s="133" t="s">
        <v>56</v>
      </c>
      <c r="BF1" s="133" t="s">
        <v>57</v>
      </c>
      <c r="BG1" s="133" t="s">
        <v>58</v>
      </c>
      <c r="BH1" s="133" t="s">
        <v>59</v>
      </c>
      <c r="BI1" s="133" t="s">
        <v>60</v>
      </c>
      <c r="BJ1" s="133" t="s">
        <v>61</v>
      </c>
      <c r="BK1" s="133" t="s">
        <v>62</v>
      </c>
      <c r="BL1" s="133" t="s">
        <v>63</v>
      </c>
      <c r="BM1" s="133" t="s">
        <v>64</v>
      </c>
      <c r="BN1" s="116" t="s">
        <v>65</v>
      </c>
      <c r="BO1" s="116" t="s">
        <v>66</v>
      </c>
      <c r="BP1" s="116" t="s">
        <v>67</v>
      </c>
      <c r="BQ1" s="116"/>
      <c r="BR1" s="116"/>
      <c r="BS1" s="203"/>
      <c r="BT1" s="203"/>
      <c r="BU1" s="203"/>
      <c r="BV1" s="203"/>
      <c r="BW1" s="203"/>
      <c r="BX1" s="203"/>
      <c r="BY1" s="203"/>
      <c r="BZ1" s="203"/>
      <c r="CA1" s="203"/>
      <c r="CB1" s="203"/>
      <c r="CC1" s="203"/>
      <c r="CD1" s="203"/>
      <c r="CE1" s="203"/>
      <c r="CF1" s="203"/>
    </row>
    <row r="2" spans="1:84" s="58" customFormat="1">
      <c r="A2" s="89">
        <v>11301</v>
      </c>
      <c r="B2" s="221" t="s">
        <v>1854</v>
      </c>
      <c r="C2" s="221" t="s">
        <v>1855</v>
      </c>
      <c r="D2" s="221" t="s">
        <v>148</v>
      </c>
      <c r="E2" s="58" t="s">
        <v>1625</v>
      </c>
    </row>
    <row r="3" spans="1:84" s="58" customFormat="1">
      <c r="A3" s="89">
        <v>11401</v>
      </c>
      <c r="B3" s="221" t="s">
        <v>1856</v>
      </c>
      <c r="C3" s="221" t="s">
        <v>1857</v>
      </c>
      <c r="D3" s="221"/>
      <c r="E3" s="89" t="s">
        <v>1858</v>
      </c>
    </row>
    <row r="4" spans="1:84" s="58" customFormat="1">
      <c r="A4" s="89">
        <v>11402</v>
      </c>
      <c r="B4" s="221" t="s">
        <v>1859</v>
      </c>
      <c r="C4" s="221" t="s">
        <v>1860</v>
      </c>
      <c r="D4" s="221"/>
      <c r="E4" s="89" t="s">
        <v>1861</v>
      </c>
    </row>
    <row r="5" spans="1:84" s="58" customFormat="1">
      <c r="A5" s="89">
        <v>11304</v>
      </c>
      <c r="B5" s="221" t="s">
        <v>1862</v>
      </c>
      <c r="C5" s="221" t="s">
        <v>1863</v>
      </c>
      <c r="D5" s="221" t="s">
        <v>148</v>
      </c>
      <c r="E5" s="166" t="s">
        <v>1625</v>
      </c>
    </row>
    <row r="6" spans="1:84" s="58" customFormat="1">
      <c r="A6" s="89">
        <v>11302</v>
      </c>
      <c r="B6" s="221" t="s">
        <v>1864</v>
      </c>
      <c r="C6" s="221" t="s">
        <v>1865</v>
      </c>
      <c r="E6" s="166" t="s">
        <v>1686</v>
      </c>
    </row>
    <row r="7" spans="1:84">
      <c r="A7" s="87">
        <v>25614</v>
      </c>
      <c r="B7" t="s">
        <v>1866</v>
      </c>
      <c r="C7" t="s">
        <v>1867</v>
      </c>
      <c r="D7" s="135" t="s">
        <v>403</v>
      </c>
      <c r="E7" s="87" t="s">
        <v>1868</v>
      </c>
      <c r="J7">
        <v>87.15</v>
      </c>
      <c r="L7">
        <v>2.2000000000000002</v>
      </c>
      <c r="M7">
        <v>5.44</v>
      </c>
      <c r="N7">
        <v>5.6</v>
      </c>
      <c r="O7">
        <v>3.3</v>
      </c>
      <c r="P7">
        <v>0.06</v>
      </c>
      <c r="Q7">
        <v>0.09</v>
      </c>
      <c r="R7">
        <v>0.82</v>
      </c>
      <c r="T7">
        <v>0.13</v>
      </c>
      <c r="U7">
        <v>17.600000000000001</v>
      </c>
      <c r="V7">
        <v>0</v>
      </c>
      <c r="W7">
        <v>12.63</v>
      </c>
      <c r="X7">
        <v>0</v>
      </c>
      <c r="Y7">
        <v>2.73</v>
      </c>
      <c r="AA7">
        <v>24.26</v>
      </c>
      <c r="AI7">
        <v>25.69</v>
      </c>
      <c r="AJ7">
        <v>1.29</v>
      </c>
      <c r="AK7">
        <v>0.5</v>
      </c>
      <c r="AL7">
        <v>16.690000000000001</v>
      </c>
      <c r="AN7">
        <v>43.52</v>
      </c>
      <c r="AO7">
        <v>237.57</v>
      </c>
      <c r="AQ7">
        <v>0.65</v>
      </c>
      <c r="BO7">
        <v>9.86</v>
      </c>
    </row>
    <row r="8" spans="1:84" s="58" customFormat="1">
      <c r="A8" s="89">
        <v>25616</v>
      </c>
      <c r="B8" s="58" t="s">
        <v>1869</v>
      </c>
      <c r="C8" s="58" t="s">
        <v>1870</v>
      </c>
      <c r="D8" s="58" t="s">
        <v>372</v>
      </c>
      <c r="E8" s="89" t="s">
        <v>1871</v>
      </c>
    </row>
    <row r="9" spans="1:84" s="58" customFormat="1">
      <c r="A9" s="89">
        <v>44102</v>
      </c>
      <c r="B9" s="58" t="s">
        <v>1872</v>
      </c>
      <c r="C9" s="58" t="s">
        <v>1873</v>
      </c>
      <c r="D9" s="193" t="s">
        <v>1874</v>
      </c>
      <c r="E9" s="89" t="s">
        <v>1875</v>
      </c>
    </row>
    <row r="10" spans="1:84" s="58" customFormat="1">
      <c r="A10" s="89">
        <v>58301</v>
      </c>
      <c r="B10" s="58" t="s">
        <v>1876</v>
      </c>
      <c r="C10" s="58" t="s">
        <v>678</v>
      </c>
      <c r="E10" s="89" t="s">
        <v>1877</v>
      </c>
    </row>
    <row r="11" spans="1:84" s="58" customFormat="1">
      <c r="A11" s="89">
        <v>86501</v>
      </c>
      <c r="B11" s="58" t="s">
        <v>1878</v>
      </c>
      <c r="C11" s="58" t="s">
        <v>1879</v>
      </c>
      <c r="D11" s="58" t="s">
        <v>70</v>
      </c>
    </row>
    <row r="12" spans="1:84">
      <c r="A12" s="87">
        <v>82202</v>
      </c>
      <c r="B12" t="s">
        <v>1880</v>
      </c>
      <c r="C12" t="s">
        <v>1881</v>
      </c>
      <c r="E12" s="87" t="s">
        <v>1868</v>
      </c>
      <c r="J12">
        <v>342.35</v>
      </c>
      <c r="L12">
        <v>4.07</v>
      </c>
      <c r="M12">
        <v>7.06</v>
      </c>
      <c r="N12">
        <v>63.48</v>
      </c>
      <c r="O12">
        <v>3.15</v>
      </c>
      <c r="P12">
        <v>0.06</v>
      </c>
      <c r="Q12">
        <v>0.02</v>
      </c>
      <c r="R12">
        <v>1.55</v>
      </c>
      <c r="T12">
        <v>0.25</v>
      </c>
      <c r="U12">
        <v>2.36</v>
      </c>
      <c r="V12">
        <v>0</v>
      </c>
      <c r="W12">
        <v>0</v>
      </c>
      <c r="X12">
        <v>0</v>
      </c>
      <c r="Y12">
        <v>0.19</v>
      </c>
      <c r="AA12">
        <v>0</v>
      </c>
      <c r="AI12">
        <v>24.19</v>
      </c>
      <c r="AJ12">
        <v>0.28000000000000003</v>
      </c>
      <c r="AK12">
        <v>0.83</v>
      </c>
      <c r="AL12">
        <v>45.09</v>
      </c>
      <c r="AN12">
        <v>82.05</v>
      </c>
      <c r="AO12">
        <v>117.37</v>
      </c>
      <c r="AQ12">
        <v>0.54</v>
      </c>
      <c r="BO12">
        <v>80.31</v>
      </c>
    </row>
    <row r="13" spans="1:84">
      <c r="A13" s="87">
        <v>82203</v>
      </c>
      <c r="B13" t="s">
        <v>1882</v>
      </c>
      <c r="E13" s="87" t="s">
        <v>1868</v>
      </c>
      <c r="J13">
        <v>194.84</v>
      </c>
      <c r="L13">
        <v>3.19</v>
      </c>
      <c r="M13">
        <v>0.76</v>
      </c>
      <c r="N13">
        <v>42.66</v>
      </c>
      <c r="O13">
        <v>1.28</v>
      </c>
      <c r="P13">
        <v>0.06</v>
      </c>
      <c r="Q13">
        <v>0.01</v>
      </c>
      <c r="R13">
        <v>1.31</v>
      </c>
      <c r="T13">
        <v>0.21</v>
      </c>
      <c r="U13">
        <v>1.06</v>
      </c>
      <c r="V13">
        <v>0</v>
      </c>
      <c r="W13">
        <v>0</v>
      </c>
      <c r="X13">
        <v>0</v>
      </c>
      <c r="Y13">
        <v>0.06</v>
      </c>
      <c r="AA13">
        <v>0</v>
      </c>
      <c r="AI13">
        <v>5.32</v>
      </c>
      <c r="AJ13">
        <v>7.0000000000000007E-2</v>
      </c>
      <c r="AK13">
        <v>0.19</v>
      </c>
      <c r="AL13">
        <v>18.63</v>
      </c>
      <c r="AN13">
        <v>52.17</v>
      </c>
      <c r="AO13">
        <v>40.46</v>
      </c>
      <c r="AQ13">
        <v>0.43</v>
      </c>
      <c r="BO13">
        <v>62.21</v>
      </c>
    </row>
    <row r="14" spans="1:84" s="58" customFormat="1">
      <c r="A14" s="89">
        <v>82504</v>
      </c>
      <c r="B14" s="58" t="s">
        <v>1883</v>
      </c>
      <c r="C14" s="58" t="s">
        <v>1884</v>
      </c>
    </row>
    <row r="15" spans="1:84" s="58" customFormat="1">
      <c r="A15" s="167">
        <v>62503</v>
      </c>
      <c r="B15" s="58" t="s">
        <v>1885</v>
      </c>
      <c r="C15" s="106" t="s">
        <v>1886</v>
      </c>
      <c r="D15" s="106"/>
      <c r="E15" s="89" t="s">
        <v>1887</v>
      </c>
    </row>
    <row r="16" spans="1:84" s="58" customFormat="1">
      <c r="A16" s="167">
        <v>62504</v>
      </c>
      <c r="B16" s="58" t="s">
        <v>1888</v>
      </c>
      <c r="C16" s="106" t="s">
        <v>1889</v>
      </c>
      <c r="D16" s="106"/>
    </row>
    <row r="17" spans="1:7" s="58" customFormat="1">
      <c r="A17" s="167">
        <v>62905</v>
      </c>
      <c r="B17" s="58" t="s">
        <v>1890</v>
      </c>
      <c r="C17" s="106" t="s">
        <v>1891</v>
      </c>
      <c r="D17" s="106"/>
      <c r="E17" s="89" t="s">
        <v>1892</v>
      </c>
    </row>
    <row r="18" spans="1:7" s="58" customFormat="1">
      <c r="A18" s="89">
        <v>41701</v>
      </c>
      <c r="B18" s="58" t="s">
        <v>1893</v>
      </c>
      <c r="C18" s="58" t="s">
        <v>581</v>
      </c>
      <c r="E18" s="166" t="s">
        <v>71</v>
      </c>
      <c r="F18" s="58" t="s">
        <v>1894</v>
      </c>
      <c r="G18" s="58" t="s">
        <v>1893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BAFFC-8909-4973-996C-9FE65B5CF2AC}">
  <dimension ref="A1:GM70"/>
  <sheetViews>
    <sheetView workbookViewId="0">
      <pane ySplit="1" topLeftCell="B9" activePane="bottomLeft" state="frozen"/>
      <selection pane="bottomLeft" activeCell="B9" sqref="B9"/>
    </sheetView>
  </sheetViews>
  <sheetFormatPr defaultRowHeight="14.85"/>
  <cols>
    <col min="2" max="2" width="29.42578125" customWidth="1"/>
    <col min="3" max="3" width="12.7109375" customWidth="1"/>
    <col min="4" max="4" width="21.140625" customWidth="1"/>
    <col min="5" max="5" width="37.42578125" customWidth="1"/>
  </cols>
  <sheetData>
    <row r="1" spans="1:195" s="27" customFormat="1" ht="103.35">
      <c r="A1" s="132" t="s">
        <v>0</v>
      </c>
      <c r="B1" s="132" t="s">
        <v>1</v>
      </c>
      <c r="C1" s="132" t="s">
        <v>2</v>
      </c>
      <c r="D1" s="132" t="s">
        <v>3</v>
      </c>
      <c r="E1" s="132" t="s">
        <v>4</v>
      </c>
      <c r="F1" s="162" t="s">
        <v>5</v>
      </c>
      <c r="G1" s="132" t="s">
        <v>6</v>
      </c>
      <c r="H1" s="132" t="s">
        <v>7</v>
      </c>
      <c r="I1" s="132" t="s">
        <v>8</v>
      </c>
      <c r="J1" s="116" t="s">
        <v>9</v>
      </c>
      <c r="K1" s="116" t="s">
        <v>10</v>
      </c>
      <c r="L1" s="116" t="s">
        <v>11</v>
      </c>
      <c r="M1" s="116" t="s">
        <v>12</v>
      </c>
      <c r="N1" s="116" t="s">
        <v>13</v>
      </c>
      <c r="O1" s="116" t="s">
        <v>14</v>
      </c>
      <c r="P1" s="116" t="s">
        <v>15</v>
      </c>
      <c r="Q1" s="116" t="s">
        <v>16</v>
      </c>
      <c r="R1" s="116" t="s">
        <v>17</v>
      </c>
      <c r="S1" s="116" t="s">
        <v>18</v>
      </c>
      <c r="T1" s="116" t="s">
        <v>19</v>
      </c>
      <c r="U1" s="116" t="s">
        <v>20</v>
      </c>
      <c r="V1" s="116" t="s">
        <v>21</v>
      </c>
      <c r="W1" s="116" t="s">
        <v>22</v>
      </c>
      <c r="X1" s="116" t="s">
        <v>23</v>
      </c>
      <c r="Y1" s="117" t="s">
        <v>24</v>
      </c>
      <c r="Z1" s="117" t="s">
        <v>25</v>
      </c>
      <c r="AA1" s="116" t="s">
        <v>26</v>
      </c>
      <c r="AB1" s="116" t="s">
        <v>27</v>
      </c>
      <c r="AC1" s="116" t="s">
        <v>28</v>
      </c>
      <c r="AD1" s="116" t="s">
        <v>29</v>
      </c>
      <c r="AE1" s="116" t="s">
        <v>30</v>
      </c>
      <c r="AF1" s="116" t="s">
        <v>31</v>
      </c>
      <c r="AG1" s="116" t="s">
        <v>32</v>
      </c>
      <c r="AH1" s="116" t="s">
        <v>33</v>
      </c>
      <c r="AI1" s="116" t="s">
        <v>34</v>
      </c>
      <c r="AJ1" s="116" t="s">
        <v>35</v>
      </c>
      <c r="AK1" s="116" t="s">
        <v>36</v>
      </c>
      <c r="AL1" s="116" t="s">
        <v>37</v>
      </c>
      <c r="AM1" s="116" t="s">
        <v>38</v>
      </c>
      <c r="AN1" s="116" t="s">
        <v>39</v>
      </c>
      <c r="AO1" s="116" t="s">
        <v>40</v>
      </c>
      <c r="AP1" s="116" t="s">
        <v>41</v>
      </c>
      <c r="AQ1" s="116" t="s">
        <v>42</v>
      </c>
      <c r="AR1" s="116" t="s">
        <v>43</v>
      </c>
      <c r="AS1" s="116" t="s">
        <v>44</v>
      </c>
      <c r="AT1" s="116" t="s">
        <v>45</v>
      </c>
      <c r="AU1" s="116" t="s">
        <v>46</v>
      </c>
      <c r="AV1" s="133" t="s">
        <v>47</v>
      </c>
      <c r="AW1" s="133" t="s">
        <v>48</v>
      </c>
      <c r="AX1" s="133" t="s">
        <v>49</v>
      </c>
      <c r="AY1" s="133" t="s">
        <v>50</v>
      </c>
      <c r="AZ1" s="133" t="s">
        <v>51</v>
      </c>
      <c r="BA1" s="133" t="s">
        <v>52</v>
      </c>
      <c r="BB1" s="133" t="s">
        <v>53</v>
      </c>
      <c r="BC1" s="133" t="s">
        <v>54</v>
      </c>
      <c r="BD1" s="133" t="s">
        <v>55</v>
      </c>
      <c r="BE1" s="133" t="s">
        <v>56</v>
      </c>
      <c r="BF1" s="133" t="s">
        <v>57</v>
      </c>
      <c r="BG1" s="133" t="s">
        <v>58</v>
      </c>
      <c r="BH1" s="133" t="s">
        <v>59</v>
      </c>
      <c r="BI1" s="133" t="s">
        <v>60</v>
      </c>
      <c r="BJ1" s="133" t="s">
        <v>61</v>
      </c>
      <c r="BK1" s="133" t="s">
        <v>62</v>
      </c>
      <c r="BL1" s="133" t="s">
        <v>63</v>
      </c>
      <c r="BM1" s="133" t="s">
        <v>64</v>
      </c>
      <c r="BN1" s="116" t="s">
        <v>65</v>
      </c>
      <c r="BO1" s="116" t="s">
        <v>66</v>
      </c>
      <c r="BP1" s="116" t="s">
        <v>67</v>
      </c>
      <c r="BQ1" s="116"/>
      <c r="BR1" s="116"/>
      <c r="BS1" s="203"/>
      <c r="BT1" s="203"/>
      <c r="BU1" s="203"/>
      <c r="BV1" s="203"/>
      <c r="BW1" s="203"/>
      <c r="BX1" s="203"/>
      <c r="BY1" s="203"/>
      <c r="BZ1" s="203"/>
      <c r="CA1" s="203"/>
      <c r="CB1" s="203"/>
      <c r="CC1" s="203"/>
      <c r="CD1" s="203"/>
      <c r="CE1" s="203"/>
      <c r="CF1" s="203"/>
    </row>
    <row r="2" spans="1:195">
      <c r="A2" s="87">
        <v>11601</v>
      </c>
      <c r="B2" s="143" t="s">
        <v>1895</v>
      </c>
      <c r="C2" s="143" t="s">
        <v>1896</v>
      </c>
      <c r="D2" s="143" t="s">
        <v>148</v>
      </c>
      <c r="E2" s="87" t="s">
        <v>1897</v>
      </c>
      <c r="F2">
        <v>11201</v>
      </c>
      <c r="G2" s="168" t="s">
        <v>1103</v>
      </c>
      <c r="H2" s="143">
        <v>1</v>
      </c>
      <c r="I2" s="143" t="s">
        <v>150</v>
      </c>
      <c r="J2" s="144">
        <v>109</v>
      </c>
      <c r="K2" s="144">
        <v>71.17</v>
      </c>
      <c r="L2" s="144">
        <v>2.14</v>
      </c>
      <c r="M2" s="144">
        <v>0.14000000000000001</v>
      </c>
      <c r="N2" s="144">
        <v>24.3</v>
      </c>
      <c r="O2" s="144">
        <v>1.1000000000000001</v>
      </c>
      <c r="P2" s="144">
        <v>0.03</v>
      </c>
      <c r="Q2" s="144">
        <v>0.01</v>
      </c>
      <c r="R2" s="144">
        <v>0.9</v>
      </c>
      <c r="S2" s="144"/>
      <c r="T2" s="144">
        <v>0.03</v>
      </c>
      <c r="U2" s="144">
        <v>2.5299999999999998</v>
      </c>
      <c r="V2" s="144"/>
      <c r="W2" s="144">
        <v>0</v>
      </c>
      <c r="X2" s="144">
        <v>0</v>
      </c>
      <c r="Y2" s="144">
        <v>0.04</v>
      </c>
      <c r="Z2" s="144">
        <v>1.5</v>
      </c>
      <c r="AA2" s="144">
        <v>0</v>
      </c>
      <c r="AB2" s="144">
        <v>0</v>
      </c>
      <c r="AC2" s="144">
        <v>0</v>
      </c>
      <c r="AD2" s="144">
        <v>0</v>
      </c>
      <c r="AE2" s="144"/>
      <c r="AF2" s="144"/>
      <c r="AG2" s="144"/>
      <c r="AH2" s="144"/>
      <c r="AI2" s="144">
        <v>6.09</v>
      </c>
      <c r="AJ2" s="144">
        <v>7.0000000000000007E-2</v>
      </c>
      <c r="AK2" s="144">
        <v>0.32</v>
      </c>
      <c r="AL2" s="144">
        <v>15.65</v>
      </c>
      <c r="AM2" s="144">
        <v>0.79</v>
      </c>
      <c r="AN2" s="144">
        <v>39.4</v>
      </c>
      <c r="AO2" s="144">
        <v>38.6</v>
      </c>
      <c r="AP2" s="144">
        <v>1.19</v>
      </c>
      <c r="AQ2" s="144">
        <v>0.41</v>
      </c>
      <c r="AR2" s="144"/>
      <c r="AS2" s="144"/>
      <c r="AT2" s="144"/>
      <c r="AU2" s="144"/>
      <c r="AV2" s="169"/>
      <c r="AW2" s="169"/>
      <c r="AX2" s="169"/>
      <c r="AY2" s="169"/>
      <c r="AZ2" s="169"/>
      <c r="BA2" s="169"/>
      <c r="BB2" s="169"/>
      <c r="BC2" s="169"/>
      <c r="BD2" s="169"/>
      <c r="BE2" s="169"/>
      <c r="BF2" s="169"/>
      <c r="BG2" s="169"/>
      <c r="BH2" s="169"/>
      <c r="BI2" s="169"/>
      <c r="BJ2" s="169"/>
      <c r="BK2" s="169"/>
      <c r="BL2" s="169"/>
      <c r="BM2" s="169"/>
      <c r="BN2" s="144">
        <v>6.93</v>
      </c>
      <c r="BO2" s="144"/>
      <c r="BP2" s="144"/>
    </row>
    <row r="3" spans="1:195">
      <c r="A3" s="87">
        <v>11403</v>
      </c>
      <c r="B3" s="143" t="s">
        <v>1898</v>
      </c>
      <c r="C3" s="143" t="s">
        <v>1899</v>
      </c>
      <c r="E3" s="87" t="s">
        <v>1900</v>
      </c>
      <c r="F3" s="174">
        <v>100142</v>
      </c>
      <c r="G3" s="87" t="s">
        <v>1901</v>
      </c>
      <c r="J3" s="177">
        <v>117.38</v>
      </c>
      <c r="K3" s="177">
        <v>72.849999999999994</v>
      </c>
      <c r="L3" s="177">
        <v>2.83</v>
      </c>
      <c r="M3" s="177">
        <v>3.3</v>
      </c>
      <c r="N3" s="177">
        <v>18.2</v>
      </c>
      <c r="O3" s="177">
        <v>1.72</v>
      </c>
      <c r="P3" s="177">
        <v>0.05</v>
      </c>
      <c r="Q3" s="177">
        <v>0.03</v>
      </c>
      <c r="R3" s="177">
        <v>0.67</v>
      </c>
      <c r="S3" s="177"/>
      <c r="T3" s="177">
        <v>0.06</v>
      </c>
      <c r="U3" s="177">
        <v>5.81</v>
      </c>
      <c r="V3" s="177"/>
      <c r="W3" s="177">
        <v>2.44</v>
      </c>
      <c r="X3" s="177">
        <v>0</v>
      </c>
      <c r="Y3" s="177">
        <v>0.49</v>
      </c>
      <c r="Z3" s="177"/>
      <c r="AA3" s="177">
        <v>0</v>
      </c>
      <c r="AB3" s="177">
        <v>24.23</v>
      </c>
      <c r="AC3" s="177">
        <v>25.614750000000001</v>
      </c>
      <c r="AD3" s="177">
        <v>225.89930000000001</v>
      </c>
      <c r="AE3" s="177"/>
      <c r="AF3" s="177"/>
      <c r="AG3" s="177">
        <v>101.8796</v>
      </c>
      <c r="AH3" s="177"/>
      <c r="AI3" s="177">
        <v>14.9</v>
      </c>
      <c r="AJ3" s="177">
        <v>0.15</v>
      </c>
      <c r="AK3" s="177">
        <v>0.68</v>
      </c>
      <c r="AL3" s="177">
        <v>18.809999999999999</v>
      </c>
      <c r="AM3" s="177"/>
      <c r="AN3" s="177">
        <v>43.18</v>
      </c>
      <c r="AO3" s="177">
        <v>90.43</v>
      </c>
      <c r="AP3" s="177"/>
      <c r="AQ3" s="177">
        <v>0.49</v>
      </c>
      <c r="AR3" s="177"/>
    </row>
    <row r="4" spans="1:195">
      <c r="A4" s="87">
        <v>11202</v>
      </c>
      <c r="B4" s="143" t="s">
        <v>1902</v>
      </c>
      <c r="C4" s="143" t="s">
        <v>1903</v>
      </c>
      <c r="D4" s="143" t="s">
        <v>148</v>
      </c>
      <c r="E4" s="87" t="s">
        <v>76</v>
      </c>
      <c r="F4" s="87">
        <v>10036</v>
      </c>
      <c r="G4" s="87" t="s">
        <v>1904</v>
      </c>
      <c r="J4" s="170">
        <v>128</v>
      </c>
      <c r="K4" s="170">
        <v>69.739999999999995</v>
      </c>
      <c r="L4" s="170">
        <v>2.16</v>
      </c>
      <c r="M4" s="170">
        <v>2.29</v>
      </c>
      <c r="N4" s="170">
        <v>24.07</v>
      </c>
      <c r="O4" s="170">
        <v>1.08</v>
      </c>
      <c r="P4" s="170">
        <v>0.01</v>
      </c>
      <c r="Q4" s="170">
        <v>0.01</v>
      </c>
      <c r="R4" s="170">
        <v>0.3</v>
      </c>
      <c r="S4" s="170" t="s">
        <v>1530</v>
      </c>
      <c r="T4" s="170">
        <v>0</v>
      </c>
      <c r="U4" s="170">
        <v>2.11</v>
      </c>
      <c r="V4" s="170" t="s">
        <v>1530</v>
      </c>
      <c r="W4" s="170">
        <v>7.0000000000000007E-2</v>
      </c>
      <c r="X4" s="170">
        <v>0</v>
      </c>
      <c r="Y4" s="170">
        <v>0.1</v>
      </c>
      <c r="Z4" s="170" t="s">
        <v>1530</v>
      </c>
      <c r="AA4" s="170">
        <v>0</v>
      </c>
      <c r="AB4" s="170">
        <v>0.02</v>
      </c>
      <c r="AC4" s="170" t="s">
        <v>1530</v>
      </c>
      <c r="AD4" s="170">
        <v>0.21</v>
      </c>
      <c r="AE4" s="170" t="s">
        <v>1530</v>
      </c>
      <c r="AF4" s="170" t="s">
        <v>1530</v>
      </c>
      <c r="AG4" s="170" t="s">
        <v>1530</v>
      </c>
      <c r="AH4" s="170" t="s">
        <v>1530</v>
      </c>
      <c r="AI4" s="170">
        <v>6.3</v>
      </c>
      <c r="AJ4" s="170">
        <v>0.05</v>
      </c>
      <c r="AK4" s="170">
        <v>0.4</v>
      </c>
      <c r="AL4" s="170">
        <v>15.54</v>
      </c>
      <c r="AM4" s="170" t="s">
        <v>1530</v>
      </c>
      <c r="AN4" s="170">
        <v>38.520000000000003</v>
      </c>
      <c r="AO4" s="170">
        <v>26.56</v>
      </c>
      <c r="AP4" s="170" t="s">
        <v>1530</v>
      </c>
      <c r="AQ4" s="170">
        <v>0.34</v>
      </c>
      <c r="AR4" s="170" t="s">
        <v>1530</v>
      </c>
      <c r="AS4" s="170" t="s">
        <v>1530</v>
      </c>
      <c r="AT4" s="170" t="s">
        <v>1530</v>
      </c>
      <c r="AU4" s="170" t="s">
        <v>1530</v>
      </c>
      <c r="AV4" s="170" t="s">
        <v>1530</v>
      </c>
      <c r="AW4" s="170" t="s">
        <v>1530</v>
      </c>
      <c r="AX4" s="170" t="s">
        <v>1530</v>
      </c>
      <c r="AY4" s="170" t="s">
        <v>1530</v>
      </c>
      <c r="AZ4" s="170" t="s">
        <v>1530</v>
      </c>
      <c r="BA4" s="170" t="s">
        <v>1530</v>
      </c>
      <c r="BB4" s="170" t="s">
        <v>1530</v>
      </c>
      <c r="BC4" s="170" t="s">
        <v>1530</v>
      </c>
      <c r="BD4" s="170" t="s">
        <v>1530</v>
      </c>
      <c r="BE4" s="170" t="s">
        <v>1530</v>
      </c>
      <c r="BF4" s="170" t="s">
        <v>1530</v>
      </c>
      <c r="BG4" s="170" t="s">
        <v>1530</v>
      </c>
      <c r="BH4" s="170" t="s">
        <v>1530</v>
      </c>
      <c r="BI4" s="170" t="s">
        <v>1530</v>
      </c>
      <c r="BJ4" s="170" t="s">
        <v>1530</v>
      </c>
      <c r="BK4" s="170" t="s">
        <v>1530</v>
      </c>
      <c r="BL4" s="170" t="s">
        <v>1530</v>
      </c>
      <c r="BM4" s="170" t="s">
        <v>1530</v>
      </c>
      <c r="BN4" s="170" t="s">
        <v>1530</v>
      </c>
      <c r="BO4" s="170" t="s">
        <v>1530</v>
      </c>
      <c r="BP4" s="170" t="s">
        <v>1530</v>
      </c>
    </row>
    <row r="5" spans="1:195" s="58" customFormat="1">
      <c r="A5" s="89">
        <v>12301</v>
      </c>
      <c r="B5" s="221" t="s">
        <v>1905</v>
      </c>
      <c r="C5" s="221" t="s">
        <v>1906</v>
      </c>
      <c r="D5" s="58" t="s">
        <v>163</v>
      </c>
      <c r="E5" s="166" t="s">
        <v>1907</v>
      </c>
      <c r="F5" s="58">
        <v>177</v>
      </c>
    </row>
    <row r="6" spans="1:195">
      <c r="A6" s="87">
        <v>12305</v>
      </c>
      <c r="B6" s="143" t="s">
        <v>1908</v>
      </c>
      <c r="C6" s="143" t="s">
        <v>1909</v>
      </c>
      <c r="D6" s="202" t="s">
        <v>163</v>
      </c>
      <c r="E6" s="48" t="s">
        <v>1910</v>
      </c>
      <c r="F6" s="87">
        <v>13131</v>
      </c>
      <c r="G6" s="87" t="s">
        <v>1908</v>
      </c>
      <c r="J6" s="9">
        <v>458.8</v>
      </c>
      <c r="K6" s="9">
        <v>0</v>
      </c>
      <c r="L6" s="9">
        <v>10.32</v>
      </c>
      <c r="M6" s="9">
        <v>23.8</v>
      </c>
      <c r="N6" s="9">
        <v>56.25</v>
      </c>
      <c r="O6" s="9">
        <v>8.36</v>
      </c>
      <c r="P6" s="9">
        <v>0.39</v>
      </c>
      <c r="Q6" s="9">
        <v>0.13</v>
      </c>
      <c r="R6" s="9">
        <v>3.87</v>
      </c>
      <c r="S6" s="9" t="s">
        <v>1530</v>
      </c>
      <c r="T6" s="9">
        <v>0.32</v>
      </c>
      <c r="U6" s="9">
        <v>34.39</v>
      </c>
      <c r="V6" s="9">
        <v>0</v>
      </c>
      <c r="W6" s="9">
        <v>0</v>
      </c>
      <c r="X6" s="9" t="s">
        <v>1530</v>
      </c>
      <c r="Y6" s="9">
        <v>9.5299999999999994</v>
      </c>
      <c r="Z6" s="9" t="s">
        <v>1530</v>
      </c>
      <c r="AA6" s="9">
        <v>0</v>
      </c>
      <c r="AB6" s="9">
        <v>0.65</v>
      </c>
      <c r="AC6" s="9">
        <v>0</v>
      </c>
      <c r="AD6" s="9">
        <v>3.91</v>
      </c>
      <c r="AE6" s="9" t="s">
        <v>1530</v>
      </c>
      <c r="AF6" s="9" t="s">
        <v>1530</v>
      </c>
      <c r="AG6" s="9" t="s">
        <v>1530</v>
      </c>
      <c r="AH6" s="9" t="s">
        <v>1530</v>
      </c>
      <c r="AI6" s="9">
        <v>26.57</v>
      </c>
      <c r="AJ6" s="9" t="s">
        <v>1530</v>
      </c>
      <c r="AK6" s="9">
        <v>2.82</v>
      </c>
      <c r="AL6" s="9" t="s">
        <v>1530</v>
      </c>
      <c r="AM6" s="9" t="s">
        <v>1530</v>
      </c>
      <c r="AN6" s="9" t="s">
        <v>1530</v>
      </c>
      <c r="AO6" s="9" t="s">
        <v>1530</v>
      </c>
      <c r="AP6" s="9" t="s">
        <v>1530</v>
      </c>
      <c r="AQ6" s="9">
        <v>2.0299999999999998</v>
      </c>
      <c r="AR6" s="9" t="s">
        <v>1530</v>
      </c>
      <c r="AS6" s="9" t="s">
        <v>1530</v>
      </c>
      <c r="AT6" s="9" t="s">
        <v>1530</v>
      </c>
      <c r="AU6" s="9" t="s">
        <v>1530</v>
      </c>
      <c r="AV6" s="9" t="s">
        <v>1530</v>
      </c>
      <c r="AW6" s="9" t="s">
        <v>1530</v>
      </c>
      <c r="AX6" s="9" t="s">
        <v>1530</v>
      </c>
      <c r="AY6" s="9" t="s">
        <v>1530</v>
      </c>
      <c r="AZ6" s="9" t="s">
        <v>1530</v>
      </c>
      <c r="BA6" s="9" t="s">
        <v>1530</v>
      </c>
      <c r="BB6" s="9" t="s">
        <v>1530</v>
      </c>
      <c r="BC6" s="9" t="s">
        <v>1530</v>
      </c>
      <c r="BD6" s="9" t="s">
        <v>1530</v>
      </c>
      <c r="BE6" s="9" t="s">
        <v>1530</v>
      </c>
      <c r="BF6" s="9" t="s">
        <v>1530</v>
      </c>
      <c r="BG6" s="9" t="s">
        <v>1530</v>
      </c>
      <c r="BH6" s="9" t="s">
        <v>1530</v>
      </c>
      <c r="BI6" s="9" t="s">
        <v>1530</v>
      </c>
      <c r="BJ6" s="9" t="s">
        <v>1530</v>
      </c>
      <c r="BK6" s="9" t="s">
        <v>1530</v>
      </c>
      <c r="BL6" s="9" t="s">
        <v>1530</v>
      </c>
      <c r="BM6" s="9" t="s">
        <v>1530</v>
      </c>
      <c r="BN6" s="9" t="s">
        <v>1530</v>
      </c>
      <c r="BO6" s="9">
        <v>0</v>
      </c>
      <c r="BP6" s="9" t="s">
        <v>1530</v>
      </c>
      <c r="BQ6" s="9" t="s">
        <v>1530</v>
      </c>
      <c r="BR6" s="9" t="s">
        <v>1530</v>
      </c>
      <c r="BS6" s="9" t="s">
        <v>1530</v>
      </c>
      <c r="BT6" s="9" t="s">
        <v>1530</v>
      </c>
      <c r="BU6" s="9" t="s">
        <v>1530</v>
      </c>
      <c r="BV6" s="9" t="s">
        <v>1530</v>
      </c>
      <c r="BW6" s="9" t="s">
        <v>1530</v>
      </c>
      <c r="BX6" s="9" t="s">
        <v>1530</v>
      </c>
      <c r="BY6" s="9" t="s">
        <v>1530</v>
      </c>
      <c r="BZ6" s="9" t="s">
        <v>1530</v>
      </c>
      <c r="CA6" s="9" t="s">
        <v>1530</v>
      </c>
      <c r="CB6" s="9" t="s">
        <v>1530</v>
      </c>
      <c r="CC6" s="9" t="s">
        <v>1530</v>
      </c>
      <c r="CD6" s="9" t="s">
        <v>1530</v>
      </c>
      <c r="CE6" s="9" t="s">
        <v>1530</v>
      </c>
      <c r="CF6" s="9" t="s">
        <v>1530</v>
      </c>
      <c r="CG6" s="9" t="s">
        <v>1530</v>
      </c>
      <c r="CH6" s="9" t="s">
        <v>1530</v>
      </c>
      <c r="CI6" s="9" t="s">
        <v>1530</v>
      </c>
      <c r="CJ6" s="9" t="s">
        <v>1530</v>
      </c>
      <c r="CK6" s="9" t="s">
        <v>1530</v>
      </c>
      <c r="CL6" s="9" t="s">
        <v>1530</v>
      </c>
      <c r="CM6" s="9" t="s">
        <v>1530</v>
      </c>
      <c r="CN6" s="9" t="s">
        <v>1530</v>
      </c>
      <c r="CO6" s="9" t="s">
        <v>1530</v>
      </c>
      <c r="CP6" s="9" t="s">
        <v>1530</v>
      </c>
      <c r="CQ6" s="9" t="s">
        <v>1530</v>
      </c>
      <c r="CR6" s="9" t="s">
        <v>1530</v>
      </c>
      <c r="CS6" s="9" t="s">
        <v>1530</v>
      </c>
      <c r="CT6" s="9" t="s">
        <v>1530</v>
      </c>
      <c r="CU6" s="9" t="s">
        <v>1530</v>
      </c>
      <c r="CV6" s="9" t="s">
        <v>1530</v>
      </c>
      <c r="CW6" s="9" t="s">
        <v>1530</v>
      </c>
      <c r="CX6" s="9" t="s">
        <v>1530</v>
      </c>
      <c r="CY6" s="9" t="s">
        <v>1530</v>
      </c>
      <c r="CZ6" s="9" t="s">
        <v>1530</v>
      </c>
      <c r="DA6" s="9" t="s">
        <v>1530</v>
      </c>
      <c r="DB6" s="9" t="s">
        <v>1530</v>
      </c>
      <c r="DC6" s="9" t="s">
        <v>1530</v>
      </c>
      <c r="DD6" s="9" t="s">
        <v>1530</v>
      </c>
      <c r="DE6" s="9" t="s">
        <v>1530</v>
      </c>
      <c r="DF6" s="9" t="s">
        <v>1530</v>
      </c>
      <c r="DG6" s="9" t="s">
        <v>1530</v>
      </c>
      <c r="DH6" s="9" t="s">
        <v>1530</v>
      </c>
      <c r="DI6" s="9" t="s">
        <v>1530</v>
      </c>
      <c r="DJ6" s="9" t="s">
        <v>1530</v>
      </c>
      <c r="DK6" s="9" t="s">
        <v>1530</v>
      </c>
      <c r="DL6" s="9" t="s">
        <v>1530</v>
      </c>
      <c r="DM6" s="9" t="s">
        <v>1530</v>
      </c>
      <c r="DN6" s="9" t="s">
        <v>1530</v>
      </c>
      <c r="DO6" s="9" t="s">
        <v>1530</v>
      </c>
      <c r="DP6" s="9" t="s">
        <v>1530</v>
      </c>
      <c r="DQ6" s="9" t="s">
        <v>1530</v>
      </c>
      <c r="DR6" s="9" t="s">
        <v>1530</v>
      </c>
      <c r="DS6" s="9" t="s">
        <v>1530</v>
      </c>
      <c r="DT6" s="9" t="s">
        <v>1530</v>
      </c>
      <c r="DU6" s="9" t="s">
        <v>1530</v>
      </c>
      <c r="DV6" s="9" t="s">
        <v>1530</v>
      </c>
      <c r="DW6" s="9" t="s">
        <v>1530</v>
      </c>
      <c r="DX6" s="9" t="s">
        <v>1530</v>
      </c>
      <c r="DY6" s="9" t="s">
        <v>1530</v>
      </c>
      <c r="DZ6" s="9" t="s">
        <v>1530</v>
      </c>
      <c r="EA6" s="9" t="s">
        <v>1530</v>
      </c>
      <c r="EB6" s="9" t="s">
        <v>1530</v>
      </c>
      <c r="EC6" s="9" t="s">
        <v>1530</v>
      </c>
      <c r="ED6" s="9" t="s">
        <v>1530</v>
      </c>
      <c r="EE6" s="9" t="s">
        <v>1530</v>
      </c>
      <c r="EF6" s="9" t="s">
        <v>1530</v>
      </c>
      <c r="EG6" s="9" t="s">
        <v>1530</v>
      </c>
      <c r="EH6" s="9" t="s">
        <v>1530</v>
      </c>
      <c r="EI6" s="9" t="s">
        <v>1530</v>
      </c>
      <c r="EJ6" s="9" t="s">
        <v>1530</v>
      </c>
      <c r="EK6" s="9" t="s">
        <v>1530</v>
      </c>
      <c r="EL6" s="9" t="s">
        <v>1530</v>
      </c>
      <c r="EM6" s="9" t="s">
        <v>1530</v>
      </c>
      <c r="EN6" s="9" t="s">
        <v>1530</v>
      </c>
      <c r="EO6" s="9" t="s">
        <v>1530</v>
      </c>
      <c r="EP6" s="9" t="s">
        <v>1530</v>
      </c>
      <c r="EQ6" s="9" t="s">
        <v>1530</v>
      </c>
      <c r="ER6" s="9" t="s">
        <v>1530</v>
      </c>
      <c r="ES6" s="9" t="s">
        <v>1530</v>
      </c>
      <c r="ET6" s="9" t="s">
        <v>1530</v>
      </c>
      <c r="EU6" s="9" t="s">
        <v>1530</v>
      </c>
      <c r="EV6" s="9" t="s">
        <v>1530</v>
      </c>
      <c r="EW6" s="9" t="s">
        <v>1530</v>
      </c>
      <c r="EX6" s="9" t="s">
        <v>1530</v>
      </c>
      <c r="EY6" s="9" t="s">
        <v>1530</v>
      </c>
      <c r="EZ6" s="9" t="s">
        <v>1530</v>
      </c>
      <c r="FA6" s="9" t="s">
        <v>1530</v>
      </c>
      <c r="FB6" s="9" t="s">
        <v>1530</v>
      </c>
      <c r="FC6" s="9" t="s">
        <v>1530</v>
      </c>
      <c r="FD6" s="9" t="s">
        <v>1530</v>
      </c>
      <c r="FE6" s="9" t="s">
        <v>1530</v>
      </c>
      <c r="FF6" s="9" t="s">
        <v>1530</v>
      </c>
      <c r="FG6" s="9" t="s">
        <v>1530</v>
      </c>
      <c r="FH6" s="9" t="s">
        <v>1530</v>
      </c>
      <c r="FI6" s="9" t="s">
        <v>1530</v>
      </c>
      <c r="FJ6" s="9" t="s">
        <v>1530</v>
      </c>
      <c r="FK6" s="9" t="s">
        <v>1530</v>
      </c>
      <c r="FL6" s="9" t="s">
        <v>1530</v>
      </c>
      <c r="FM6" s="9" t="s">
        <v>1530</v>
      </c>
      <c r="FN6" s="9" t="s">
        <v>1530</v>
      </c>
      <c r="FO6" s="9" t="s">
        <v>1530</v>
      </c>
      <c r="FP6" s="9" t="s">
        <v>1530</v>
      </c>
      <c r="FQ6" s="9" t="s">
        <v>1530</v>
      </c>
      <c r="FR6" s="9" t="s">
        <v>1530</v>
      </c>
      <c r="FS6" s="9" t="s">
        <v>1530</v>
      </c>
      <c r="FT6" s="9" t="s">
        <v>1530</v>
      </c>
      <c r="FU6" s="9" t="s">
        <v>1530</v>
      </c>
      <c r="FV6" s="9" t="s">
        <v>1530</v>
      </c>
      <c r="FW6" s="9" t="s">
        <v>1530</v>
      </c>
      <c r="FX6" s="9" t="s">
        <v>1530</v>
      </c>
      <c r="FY6" s="9" t="s">
        <v>1530</v>
      </c>
      <c r="FZ6" s="9" t="s">
        <v>1530</v>
      </c>
      <c r="GA6" s="9" t="s">
        <v>1530</v>
      </c>
      <c r="GB6" s="9" t="s">
        <v>1530</v>
      </c>
      <c r="GC6" s="9" t="s">
        <v>1530</v>
      </c>
      <c r="GD6" s="9" t="s">
        <v>1530</v>
      </c>
      <c r="GE6" s="9" t="s">
        <v>1530</v>
      </c>
      <c r="GF6" s="9" t="s">
        <v>1530</v>
      </c>
      <c r="GG6" s="9" t="s">
        <v>1530</v>
      </c>
      <c r="GH6" s="9" t="s">
        <v>1530</v>
      </c>
      <c r="GI6" s="9" t="s">
        <v>1530</v>
      </c>
      <c r="GJ6" s="9" t="s">
        <v>1530</v>
      </c>
      <c r="GK6" s="9" t="s">
        <v>1530</v>
      </c>
      <c r="GL6" s="9" t="s">
        <v>1530</v>
      </c>
      <c r="GM6" s="9" t="s">
        <v>1530</v>
      </c>
    </row>
    <row r="7" spans="1:195">
      <c r="A7" s="87">
        <v>12307</v>
      </c>
      <c r="B7" s="143" t="s">
        <v>1911</v>
      </c>
      <c r="C7" s="143" t="s">
        <v>1912</v>
      </c>
      <c r="D7" s="202" t="s">
        <v>163</v>
      </c>
      <c r="E7" s="87" t="s">
        <v>76</v>
      </c>
      <c r="F7" s="87">
        <v>10003</v>
      </c>
      <c r="G7" s="87" t="s">
        <v>1913</v>
      </c>
      <c r="J7" s="170">
        <v>272</v>
      </c>
      <c r="K7" s="170">
        <v>30.4</v>
      </c>
      <c r="L7" s="170">
        <v>8.0299999999999994</v>
      </c>
      <c r="M7" s="170">
        <v>1.4</v>
      </c>
      <c r="N7" s="170">
        <v>55.57</v>
      </c>
      <c r="O7" s="170">
        <v>2.5</v>
      </c>
      <c r="P7" s="170">
        <v>0.21</v>
      </c>
      <c r="Q7" s="170">
        <v>0.34</v>
      </c>
      <c r="R7" s="170">
        <v>3.93</v>
      </c>
      <c r="S7" s="222">
        <v>0.5</v>
      </c>
      <c r="T7" s="170">
        <v>0.06</v>
      </c>
      <c r="U7" s="170">
        <v>30</v>
      </c>
      <c r="V7" s="170">
        <v>0</v>
      </c>
      <c r="W7" s="170">
        <v>0</v>
      </c>
      <c r="X7" s="170">
        <v>0</v>
      </c>
      <c r="Y7" s="170">
        <v>0.24</v>
      </c>
      <c r="Z7" s="170" t="s">
        <v>1530</v>
      </c>
      <c r="AA7" s="170">
        <v>0</v>
      </c>
      <c r="AB7" s="170">
        <v>0</v>
      </c>
      <c r="AC7" s="170">
        <v>0</v>
      </c>
      <c r="AD7" s="170">
        <v>0</v>
      </c>
      <c r="AE7" s="170" t="s">
        <v>1530</v>
      </c>
      <c r="AF7" s="170" t="s">
        <v>1530</v>
      </c>
      <c r="AG7" s="170" t="s">
        <v>1530</v>
      </c>
      <c r="AH7" s="170" t="s">
        <v>1530</v>
      </c>
      <c r="AI7" s="170">
        <v>119</v>
      </c>
      <c r="AJ7" s="170">
        <v>0.14000000000000001</v>
      </c>
      <c r="AK7" s="170">
        <v>2.2000000000000002</v>
      </c>
      <c r="AL7" s="170">
        <v>26</v>
      </c>
      <c r="AM7" s="170" t="s">
        <v>1530</v>
      </c>
      <c r="AN7" s="170">
        <v>103</v>
      </c>
      <c r="AO7" s="170">
        <v>131</v>
      </c>
      <c r="AP7" s="170" t="s">
        <v>1530</v>
      </c>
      <c r="AQ7" s="170">
        <v>0.68</v>
      </c>
      <c r="AR7" s="170">
        <v>0.61</v>
      </c>
      <c r="AS7" s="170">
        <v>1.17</v>
      </c>
      <c r="AT7" s="170">
        <v>0.84</v>
      </c>
      <c r="AU7" s="170">
        <v>0</v>
      </c>
      <c r="AV7" s="170" t="s">
        <v>1530</v>
      </c>
      <c r="AW7" s="170" t="s">
        <v>1530</v>
      </c>
      <c r="AX7" s="170" t="s">
        <v>1530</v>
      </c>
      <c r="AY7" s="170" t="s">
        <v>1530</v>
      </c>
      <c r="AZ7" s="170" t="s">
        <v>1530</v>
      </c>
      <c r="BA7" s="170" t="s">
        <v>1530</v>
      </c>
      <c r="BB7" s="170" t="s">
        <v>1530</v>
      </c>
      <c r="BC7" s="170" t="s">
        <v>1530</v>
      </c>
      <c r="BD7" s="170" t="s">
        <v>1530</v>
      </c>
      <c r="BE7" s="170" t="s">
        <v>1530</v>
      </c>
      <c r="BF7" s="170" t="s">
        <v>1530</v>
      </c>
      <c r="BG7" s="170" t="s">
        <v>1530</v>
      </c>
      <c r="BH7" s="170" t="s">
        <v>1530</v>
      </c>
      <c r="BI7" s="170" t="s">
        <v>1530</v>
      </c>
      <c r="BJ7" s="170" t="s">
        <v>1530</v>
      </c>
      <c r="BK7" s="170" t="s">
        <v>1530</v>
      </c>
      <c r="BL7" s="170" t="s">
        <v>1530</v>
      </c>
      <c r="BM7" s="170" t="s">
        <v>1530</v>
      </c>
      <c r="BN7" s="170" t="s">
        <v>1530</v>
      </c>
      <c r="BO7" s="170" t="s">
        <v>1530</v>
      </c>
    </row>
    <row r="8" spans="1:195">
      <c r="A8" s="87">
        <v>11306</v>
      </c>
      <c r="B8" t="s">
        <v>1914</v>
      </c>
      <c r="C8" t="s">
        <v>1915</v>
      </c>
      <c r="D8" s="143" t="s">
        <v>148</v>
      </c>
      <c r="E8" s="48" t="s">
        <v>1910</v>
      </c>
      <c r="F8" s="9">
        <v>11011</v>
      </c>
      <c r="G8" s="87" t="s">
        <v>1914</v>
      </c>
      <c r="J8" s="9">
        <v>253</v>
      </c>
      <c r="K8" s="9">
        <v>0</v>
      </c>
      <c r="L8" s="9">
        <v>4.1100000000000003</v>
      </c>
      <c r="M8" s="9">
        <v>0.98</v>
      </c>
      <c r="N8" s="9">
        <v>55.39</v>
      </c>
      <c r="O8" s="9">
        <v>1.66</v>
      </c>
      <c r="P8" s="9">
        <v>0.1</v>
      </c>
      <c r="Q8" s="9">
        <v>0.01</v>
      </c>
      <c r="R8" s="9">
        <v>1.79</v>
      </c>
      <c r="S8" s="9"/>
      <c r="T8" s="9">
        <v>0.3</v>
      </c>
      <c r="U8" s="9">
        <v>2.76</v>
      </c>
      <c r="V8" s="9">
        <v>0</v>
      </c>
      <c r="W8" s="9">
        <v>0</v>
      </c>
      <c r="X8" s="9"/>
      <c r="Y8" s="9">
        <v>0.08</v>
      </c>
      <c r="Z8" s="9"/>
      <c r="AA8" s="9">
        <v>0</v>
      </c>
      <c r="AB8" s="9">
        <v>0</v>
      </c>
      <c r="AC8" s="9">
        <v>0</v>
      </c>
      <c r="AD8" s="9">
        <v>0</v>
      </c>
      <c r="AE8" s="9"/>
      <c r="AF8" s="9"/>
      <c r="AG8" s="9"/>
      <c r="AH8" s="9"/>
      <c r="AI8" s="9">
        <v>6.91</v>
      </c>
      <c r="AJ8" s="9"/>
      <c r="AK8" s="9">
        <v>0.24</v>
      </c>
      <c r="AL8" s="9"/>
      <c r="AM8" s="9"/>
      <c r="AN8" s="9"/>
      <c r="AO8" s="9"/>
      <c r="AP8" s="9"/>
      <c r="AQ8" s="9">
        <v>0.55000000000000004</v>
      </c>
      <c r="AR8" s="9"/>
      <c r="AS8" s="9"/>
      <c r="AT8" s="9"/>
      <c r="AU8" s="9"/>
      <c r="AV8" s="9"/>
      <c r="AW8" s="9"/>
      <c r="AX8" s="9"/>
      <c r="AY8" s="9"/>
      <c r="AZ8" s="9"/>
      <c r="BA8" s="9"/>
      <c r="BB8" s="9"/>
      <c r="BC8" s="9"/>
      <c r="BD8" s="9"/>
      <c r="BE8" s="9"/>
      <c r="BF8" s="9"/>
      <c r="BG8" s="9"/>
      <c r="BH8" s="9"/>
      <c r="BI8" s="9"/>
      <c r="BJ8" s="9"/>
      <c r="BK8" s="9"/>
      <c r="BL8" s="9"/>
      <c r="BM8" s="9"/>
      <c r="BN8" s="9"/>
      <c r="BO8" s="9">
        <v>0</v>
      </c>
    </row>
    <row r="9" spans="1:195" ht="29.45">
      <c r="A9" s="87">
        <v>24101</v>
      </c>
      <c r="B9" s="87" t="s">
        <v>1916</v>
      </c>
      <c r="C9" s="87" t="s">
        <v>1917</v>
      </c>
      <c r="D9" s="136" t="s">
        <v>195</v>
      </c>
      <c r="E9" s="87" t="s">
        <v>1900</v>
      </c>
      <c r="F9">
        <v>100122</v>
      </c>
      <c r="G9" s="86" t="s">
        <v>1918</v>
      </c>
      <c r="J9" s="177">
        <v>110.08</v>
      </c>
      <c r="K9" s="177">
        <v>75.38</v>
      </c>
      <c r="L9" s="177">
        <v>1.35</v>
      </c>
      <c r="M9" s="177">
        <v>5.17</v>
      </c>
      <c r="N9" s="177">
        <v>13.52</v>
      </c>
      <c r="O9" s="177">
        <v>2.1</v>
      </c>
      <c r="P9" s="177">
        <v>0.05</v>
      </c>
      <c r="Q9" s="177">
        <v>0.08</v>
      </c>
      <c r="R9" s="177">
        <v>0.31</v>
      </c>
      <c r="S9" s="177"/>
      <c r="T9" s="177">
        <v>0.2</v>
      </c>
      <c r="U9" s="177">
        <v>7.53</v>
      </c>
      <c r="V9" s="177"/>
      <c r="W9" s="177">
        <v>11.24</v>
      </c>
      <c r="X9" s="177">
        <v>0</v>
      </c>
      <c r="Y9" s="177">
        <v>0.21</v>
      </c>
      <c r="Z9" s="177"/>
      <c r="AA9" s="177">
        <v>0</v>
      </c>
      <c r="AB9" s="177">
        <v>2.11</v>
      </c>
      <c r="AC9" s="177">
        <v>0</v>
      </c>
      <c r="AD9" s="177">
        <v>25.210989999999999</v>
      </c>
      <c r="AE9" s="177"/>
      <c r="AF9" s="177"/>
      <c r="AG9" s="177">
        <v>1.6139000000000001E-2</v>
      </c>
      <c r="AH9" s="177"/>
      <c r="AI9" s="177">
        <v>18.5</v>
      </c>
      <c r="AJ9" s="177">
        <v>0.37</v>
      </c>
      <c r="AK9" s="177">
        <v>0.92</v>
      </c>
      <c r="AL9" s="177">
        <v>21.8</v>
      </c>
      <c r="AM9" s="177"/>
      <c r="AN9" s="177">
        <v>39.72</v>
      </c>
      <c r="AO9" s="177">
        <v>238.55</v>
      </c>
      <c r="AP9" s="177"/>
      <c r="AQ9" s="177">
        <v>0.71</v>
      </c>
      <c r="AR9" s="177"/>
      <c r="AS9" s="177"/>
      <c r="AT9" s="177"/>
      <c r="AU9" s="177"/>
      <c r="AV9" s="177"/>
    </row>
    <row r="10" spans="1:195" ht="44.25">
      <c r="A10" s="87">
        <v>25101</v>
      </c>
      <c r="B10" s="87" t="s">
        <v>1919</v>
      </c>
      <c r="C10" s="87" t="s">
        <v>1920</v>
      </c>
      <c r="D10" s="87" t="s">
        <v>1921</v>
      </c>
      <c r="E10" s="87" t="s">
        <v>1900</v>
      </c>
      <c r="F10">
        <v>900207</v>
      </c>
      <c r="G10" s="86" t="s">
        <v>1922</v>
      </c>
      <c r="J10" s="177">
        <v>92.72</v>
      </c>
      <c r="K10" s="177">
        <v>89.79</v>
      </c>
      <c r="L10" s="177">
        <v>2.73</v>
      </c>
      <c r="M10" s="177">
        <v>6.7</v>
      </c>
      <c r="N10" s="177">
        <v>4.25</v>
      </c>
      <c r="O10" s="177">
        <v>2.21</v>
      </c>
      <c r="P10" s="177">
        <v>0.03</v>
      </c>
      <c r="Q10" s="177">
        <v>0.04</v>
      </c>
      <c r="R10" s="177">
        <v>0.59</v>
      </c>
      <c r="S10" s="177"/>
      <c r="T10" s="177">
        <v>0.2</v>
      </c>
      <c r="U10" s="177">
        <v>36.68</v>
      </c>
      <c r="V10" s="177"/>
      <c r="W10" s="177">
        <v>54.81</v>
      </c>
      <c r="X10" s="177">
        <v>0</v>
      </c>
      <c r="Y10" s="177">
        <v>0.44</v>
      </c>
      <c r="Z10" s="177"/>
      <c r="AA10" s="177">
        <v>0</v>
      </c>
      <c r="AB10" s="177">
        <v>1.1299999999999999</v>
      </c>
      <c r="AC10" s="177">
        <v>0</v>
      </c>
      <c r="AD10" s="177">
        <v>13.495469999999999</v>
      </c>
      <c r="AE10" s="177"/>
      <c r="AF10" s="177"/>
      <c r="AG10" s="177">
        <v>2.0753000000000001E-2</v>
      </c>
      <c r="AH10" s="177"/>
      <c r="AI10" s="177">
        <v>38.47</v>
      </c>
      <c r="AJ10" s="177">
        <v>7.0000000000000007E-2</v>
      </c>
      <c r="AK10" s="177">
        <v>1.28</v>
      </c>
      <c r="AL10" s="177">
        <v>26</v>
      </c>
      <c r="AM10" s="177"/>
      <c r="AN10" s="177">
        <v>49.16</v>
      </c>
      <c r="AO10" s="177">
        <v>314.43</v>
      </c>
      <c r="AP10" s="177"/>
      <c r="AQ10" s="177">
        <v>0.49</v>
      </c>
    </row>
    <row r="11" spans="1:195" ht="44.25">
      <c r="A11" s="87">
        <v>25102</v>
      </c>
      <c r="B11" s="87" t="s">
        <v>1923</v>
      </c>
      <c r="C11" s="87" t="s">
        <v>288</v>
      </c>
      <c r="D11" t="s">
        <v>289</v>
      </c>
      <c r="E11" s="87" t="s">
        <v>1900</v>
      </c>
      <c r="F11" s="177">
        <v>900109</v>
      </c>
      <c r="G11" s="86" t="s">
        <v>1924</v>
      </c>
      <c r="J11" s="177">
        <v>33</v>
      </c>
      <c r="K11" s="177">
        <v>90.47</v>
      </c>
      <c r="L11" s="177">
        <v>0.61</v>
      </c>
      <c r="M11" s="177">
        <v>0.15</v>
      </c>
      <c r="N11" s="177">
        <v>6.46</v>
      </c>
      <c r="O11" s="177">
        <v>1.7</v>
      </c>
      <c r="P11" s="177">
        <v>0.08</v>
      </c>
      <c r="Q11" s="177">
        <v>0.03</v>
      </c>
      <c r="R11" s="177">
        <v>0.34</v>
      </c>
      <c r="S11" s="177"/>
      <c r="T11" s="177">
        <v>0.02</v>
      </c>
      <c r="U11" s="177">
        <v>58</v>
      </c>
      <c r="V11" s="177"/>
      <c r="W11" s="177">
        <v>61.8</v>
      </c>
      <c r="X11" s="177">
        <v>0</v>
      </c>
      <c r="Y11" s="177">
        <v>0.3</v>
      </c>
      <c r="Z11" s="177"/>
      <c r="AA11" s="177">
        <v>0</v>
      </c>
      <c r="AB11" s="177">
        <v>60.11</v>
      </c>
      <c r="AC11" s="177">
        <v>2</v>
      </c>
      <c r="AD11" s="177">
        <v>425.77</v>
      </c>
      <c r="AE11" s="177"/>
      <c r="AF11" s="177"/>
      <c r="AG11" s="177">
        <v>589</v>
      </c>
      <c r="AH11" s="177"/>
      <c r="AI11" s="177">
        <v>28.68</v>
      </c>
      <c r="AJ11" s="177">
        <v>0.03</v>
      </c>
      <c r="AK11" s="177">
        <v>0.35</v>
      </c>
      <c r="AL11" s="177">
        <v>10.31</v>
      </c>
      <c r="AM11" s="177"/>
      <c r="AN11" s="177">
        <v>11.02</v>
      </c>
      <c r="AO11" s="177">
        <v>182.14</v>
      </c>
      <c r="AP11" s="177"/>
      <c r="AQ11" s="177">
        <v>0.17</v>
      </c>
    </row>
    <row r="12" spans="1:195" ht="29.45">
      <c r="A12" s="87">
        <v>25103</v>
      </c>
      <c r="B12" s="87" t="s">
        <v>1925</v>
      </c>
      <c r="C12" s="87" t="s">
        <v>293</v>
      </c>
      <c r="D12" s="87" t="s">
        <v>260</v>
      </c>
      <c r="E12" s="87" t="s">
        <v>1900</v>
      </c>
      <c r="F12">
        <v>900209</v>
      </c>
      <c r="G12" s="86" t="s">
        <v>1926</v>
      </c>
      <c r="J12" s="177">
        <v>78.02</v>
      </c>
      <c r="K12" s="177">
        <v>84.74</v>
      </c>
      <c r="L12" s="177">
        <v>1.1200000000000001</v>
      </c>
      <c r="M12" s="177">
        <v>6.04</v>
      </c>
      <c r="N12" s="177">
        <v>3.85</v>
      </c>
      <c r="O12" s="177">
        <v>1.71</v>
      </c>
      <c r="P12" s="177">
        <v>0.32</v>
      </c>
      <c r="Q12" s="177">
        <v>0.01</v>
      </c>
      <c r="R12" s="177">
        <v>0.27</v>
      </c>
      <c r="S12" s="177"/>
      <c r="T12" s="177">
        <v>0.1</v>
      </c>
      <c r="U12" s="177">
        <v>15.5</v>
      </c>
      <c r="V12" s="177"/>
      <c r="W12" s="177">
        <v>13.79</v>
      </c>
      <c r="X12" s="177">
        <v>0</v>
      </c>
      <c r="Y12" s="177">
        <v>0.23</v>
      </c>
      <c r="Z12" s="177"/>
      <c r="AA12" s="177">
        <v>0</v>
      </c>
      <c r="AB12" s="177">
        <v>0.54</v>
      </c>
      <c r="AC12" s="177">
        <v>0</v>
      </c>
      <c r="AD12" s="177">
        <v>6.3547640000000003</v>
      </c>
      <c r="AE12" s="177"/>
      <c r="AF12" s="177"/>
      <c r="AG12" s="177">
        <v>1.9108E-2</v>
      </c>
      <c r="AH12" s="177"/>
      <c r="AI12" s="177">
        <v>27.74</v>
      </c>
      <c r="AJ12" s="177">
        <v>7.0000000000000007E-2</v>
      </c>
      <c r="AK12" s="177">
        <v>0.85</v>
      </c>
      <c r="AL12" s="177">
        <v>18.079999999999998</v>
      </c>
      <c r="AM12" s="177"/>
      <c r="AN12" s="177">
        <v>28.01</v>
      </c>
      <c r="AO12" s="177">
        <v>166.67</v>
      </c>
      <c r="AP12" s="177"/>
      <c r="AQ12" s="177">
        <v>0.42</v>
      </c>
      <c r="AR12" s="177"/>
    </row>
    <row r="13" spans="1:195" s="58" customFormat="1" ht="59.1">
      <c r="A13" s="89">
        <v>25105</v>
      </c>
      <c r="B13" s="89" t="s">
        <v>1927</v>
      </c>
      <c r="C13" s="89" t="s">
        <v>297</v>
      </c>
      <c r="D13" s="58" t="s">
        <v>298</v>
      </c>
      <c r="E13" s="166" t="s">
        <v>1686</v>
      </c>
      <c r="F13" s="89">
        <v>36901</v>
      </c>
      <c r="G13" s="167" t="s">
        <v>1928</v>
      </c>
    </row>
    <row r="14" spans="1:195" s="58" customFormat="1" ht="59.1">
      <c r="A14" s="89">
        <v>25107</v>
      </c>
      <c r="B14" s="89" t="s">
        <v>1929</v>
      </c>
      <c r="C14" s="89" t="s">
        <v>305</v>
      </c>
      <c r="D14" s="58" t="s">
        <v>306</v>
      </c>
      <c r="E14" s="166" t="s">
        <v>1686</v>
      </c>
      <c r="F14" s="58" t="s">
        <v>1930</v>
      </c>
      <c r="G14" s="167" t="s">
        <v>1929</v>
      </c>
    </row>
    <row r="15" spans="1:195" ht="29.45">
      <c r="A15" s="87">
        <v>22101</v>
      </c>
      <c r="B15" s="87" t="s">
        <v>1931</v>
      </c>
      <c r="C15" s="87" t="s">
        <v>310</v>
      </c>
      <c r="D15" t="s">
        <v>306</v>
      </c>
      <c r="E15" s="87" t="s">
        <v>1900</v>
      </c>
      <c r="F15">
        <v>900208</v>
      </c>
      <c r="G15" s="86" t="s">
        <v>1932</v>
      </c>
      <c r="J15" s="177">
        <v>34.659999999999997</v>
      </c>
      <c r="K15" s="177">
        <v>91.78</v>
      </c>
      <c r="L15" s="177">
        <v>1.42</v>
      </c>
      <c r="M15" s="177">
        <v>1.93</v>
      </c>
      <c r="N15" s="177">
        <v>1.82</v>
      </c>
      <c r="O15" s="177">
        <v>2.35</v>
      </c>
      <c r="P15" s="177">
        <v>0.06</v>
      </c>
      <c r="Q15" s="177">
        <v>0.06</v>
      </c>
      <c r="R15" s="177">
        <v>0.55000000000000004</v>
      </c>
      <c r="S15" s="177"/>
      <c r="T15" s="177">
        <v>0.06</v>
      </c>
      <c r="U15" s="177">
        <v>10.98</v>
      </c>
      <c r="V15" s="177"/>
      <c r="W15" s="177">
        <v>16.239999999999998</v>
      </c>
      <c r="X15" s="177">
        <v>0</v>
      </c>
      <c r="Y15" s="177">
        <v>1.06</v>
      </c>
      <c r="Z15" s="177"/>
      <c r="AA15" s="177">
        <v>0</v>
      </c>
      <c r="AB15" s="177">
        <v>314.66000000000003</v>
      </c>
      <c r="AC15" s="177">
        <v>438.87200000000001</v>
      </c>
      <c r="AD15" s="177">
        <v>2642.547</v>
      </c>
      <c r="AE15" s="177"/>
      <c r="AF15" s="177"/>
      <c r="AG15" s="177">
        <v>1823.662</v>
      </c>
      <c r="AH15" s="177"/>
      <c r="AI15" s="177">
        <v>50.29</v>
      </c>
      <c r="AJ15" s="177">
        <v>0.21</v>
      </c>
      <c r="AK15" s="177">
        <v>0.72</v>
      </c>
      <c r="AL15" s="177">
        <v>10.67</v>
      </c>
      <c r="AM15" s="177"/>
      <c r="AN15" s="177">
        <v>17.27</v>
      </c>
      <c r="AO15" s="177">
        <v>325.61</v>
      </c>
      <c r="AP15" s="177"/>
      <c r="AQ15" s="177">
        <v>0.12</v>
      </c>
    </row>
    <row r="16" spans="1:195" ht="29.45">
      <c r="A16" s="87">
        <v>22102</v>
      </c>
      <c r="B16" s="87" t="s">
        <v>1933</v>
      </c>
      <c r="C16" s="87"/>
      <c r="E16" s="87" t="s">
        <v>1900</v>
      </c>
      <c r="F16">
        <v>900218</v>
      </c>
      <c r="G16" s="86" t="s">
        <v>1934</v>
      </c>
      <c r="J16" s="177">
        <v>71.72</v>
      </c>
      <c r="K16" s="177">
        <v>111.48</v>
      </c>
      <c r="L16" s="177">
        <v>1.5</v>
      </c>
      <c r="M16" s="177">
        <v>5.43</v>
      </c>
      <c r="N16" s="177">
        <v>3.07</v>
      </c>
      <c r="O16" s="177">
        <v>2.13</v>
      </c>
      <c r="P16" s="177">
        <v>0.04</v>
      </c>
      <c r="Q16" s="177">
        <v>0.06</v>
      </c>
      <c r="R16" s="177">
        <v>0.56999999999999995</v>
      </c>
      <c r="S16" s="177"/>
      <c r="T16" s="177">
        <v>0.09</v>
      </c>
      <c r="U16" s="177">
        <v>12.62</v>
      </c>
      <c r="V16" s="177"/>
      <c r="W16" s="177">
        <v>12.58</v>
      </c>
      <c r="X16" s="177">
        <v>0</v>
      </c>
      <c r="Y16" s="177">
        <v>0.78</v>
      </c>
      <c r="Z16" s="177"/>
      <c r="AA16" s="177">
        <v>0</v>
      </c>
      <c r="AB16" s="177">
        <v>8.8800000000000008</v>
      </c>
      <c r="AC16" s="177">
        <v>0</v>
      </c>
      <c r="AD16" s="177">
        <v>106.5568</v>
      </c>
      <c r="AE16" s="177"/>
      <c r="AF16" s="177"/>
      <c r="AG16" s="177">
        <v>1.9063E-2</v>
      </c>
      <c r="AH16" s="177"/>
      <c r="AI16" s="177">
        <v>18.61</v>
      </c>
      <c r="AJ16" s="177">
        <v>1.1100000000000001</v>
      </c>
      <c r="AK16" s="177">
        <v>0.53</v>
      </c>
      <c r="AL16" s="177">
        <v>11.99</v>
      </c>
      <c r="AM16" s="177"/>
      <c r="AN16" s="177">
        <v>32.96</v>
      </c>
      <c r="AO16" s="177">
        <v>200.3</v>
      </c>
      <c r="AP16" s="177"/>
      <c r="AQ16" s="177">
        <v>0.54</v>
      </c>
    </row>
    <row r="17" spans="1:68">
      <c r="A17" s="87">
        <v>23102</v>
      </c>
      <c r="B17" s="87" t="s">
        <v>1935</v>
      </c>
      <c r="C17" s="87" t="s">
        <v>315</v>
      </c>
      <c r="D17" t="s">
        <v>316</v>
      </c>
      <c r="E17" s="87" t="s">
        <v>1936</v>
      </c>
      <c r="F17" s="87">
        <v>32032</v>
      </c>
      <c r="G17" s="9" t="s">
        <v>1937</v>
      </c>
      <c r="J17">
        <v>178.36</v>
      </c>
      <c r="K17" s="9">
        <v>38.58</v>
      </c>
      <c r="L17" s="9">
        <v>6.13</v>
      </c>
      <c r="M17" s="9">
        <v>5.26</v>
      </c>
      <c r="N17" s="9">
        <v>7.26</v>
      </c>
      <c r="O17" s="9">
        <v>1.25</v>
      </c>
      <c r="P17">
        <v>0.18</v>
      </c>
      <c r="Q17">
        <v>0.25</v>
      </c>
      <c r="R17" s="9">
        <v>0.81</v>
      </c>
      <c r="T17" s="9">
        <v>0.17</v>
      </c>
      <c r="U17" s="9">
        <v>74.790000000000006</v>
      </c>
      <c r="V17" s="9">
        <v>0</v>
      </c>
      <c r="W17">
        <v>13.44</v>
      </c>
      <c r="Y17" s="9">
        <v>3.01</v>
      </c>
      <c r="AA17" s="9">
        <v>0</v>
      </c>
      <c r="AB17" s="9">
        <v>88.18</v>
      </c>
      <c r="AC17" s="9">
        <v>0</v>
      </c>
      <c r="AD17" s="9">
        <v>529.69000000000005</v>
      </c>
      <c r="AI17" s="9">
        <v>22.16</v>
      </c>
      <c r="AK17" s="9">
        <v>1.1599999999999999</v>
      </c>
      <c r="AQ17" s="9">
        <v>1.65</v>
      </c>
      <c r="BO17" s="9">
        <v>5.54</v>
      </c>
    </row>
    <row r="18" spans="1:68" ht="44.25">
      <c r="A18" s="87">
        <v>25109</v>
      </c>
      <c r="B18" s="87" t="s">
        <v>1938</v>
      </c>
      <c r="E18" s="87" t="s">
        <v>1900</v>
      </c>
      <c r="F18">
        <v>900212</v>
      </c>
      <c r="G18" s="86" t="s">
        <v>1939</v>
      </c>
      <c r="J18" s="177">
        <v>104.62</v>
      </c>
      <c r="K18" s="177">
        <v>103.21</v>
      </c>
      <c r="L18" s="177">
        <v>2.0099999999999998</v>
      </c>
      <c r="M18" s="177">
        <v>6.21</v>
      </c>
      <c r="N18" s="177">
        <v>8.76</v>
      </c>
      <c r="O18" s="177">
        <v>2.75</v>
      </c>
      <c r="P18" s="177">
        <v>0.06</v>
      </c>
      <c r="Q18" s="177">
        <v>7.0000000000000007E-2</v>
      </c>
      <c r="R18" s="177">
        <v>0.46</v>
      </c>
      <c r="S18" s="177"/>
      <c r="T18" s="177">
        <v>0.12</v>
      </c>
      <c r="U18" s="177">
        <v>21.76</v>
      </c>
      <c r="V18" s="177"/>
      <c r="W18" s="177">
        <v>44.58</v>
      </c>
      <c r="X18" s="177">
        <v>0</v>
      </c>
      <c r="Y18" s="177">
        <v>0.35</v>
      </c>
      <c r="Z18" s="177"/>
      <c r="AA18" s="177">
        <v>0</v>
      </c>
      <c r="AB18" s="177">
        <v>13.67</v>
      </c>
      <c r="AC18" s="177">
        <v>43.005070000000003</v>
      </c>
      <c r="AD18" s="177">
        <v>142.53739999999999</v>
      </c>
      <c r="AE18" s="177"/>
      <c r="AF18" s="177"/>
      <c r="AG18" s="177">
        <v>2.1918E-2</v>
      </c>
      <c r="AH18" s="177"/>
      <c r="AI18" s="177">
        <v>20.68</v>
      </c>
      <c r="AJ18" s="177">
        <v>0.55000000000000004</v>
      </c>
      <c r="AK18" s="177">
        <v>1.47</v>
      </c>
      <c r="AL18" s="177">
        <v>28.39</v>
      </c>
      <c r="AM18" s="177"/>
      <c r="AN18" s="177">
        <v>36.07</v>
      </c>
      <c r="AO18" s="177">
        <v>246.09</v>
      </c>
      <c r="AP18" s="177"/>
      <c r="AQ18" s="177">
        <v>0.62</v>
      </c>
    </row>
    <row r="19" spans="1:68" ht="29.45">
      <c r="A19" s="87">
        <v>25110</v>
      </c>
      <c r="B19" s="87" t="s">
        <v>1940</v>
      </c>
      <c r="C19" s="87" t="s">
        <v>320</v>
      </c>
      <c r="D19" t="s">
        <v>321</v>
      </c>
      <c r="E19" s="87" t="s">
        <v>1900</v>
      </c>
      <c r="F19">
        <v>900211</v>
      </c>
      <c r="G19" s="86" t="s">
        <v>1941</v>
      </c>
      <c r="J19" s="177">
        <v>108.52</v>
      </c>
      <c r="K19" s="177">
        <v>101.93</v>
      </c>
      <c r="L19" s="177">
        <v>2.04</v>
      </c>
      <c r="M19" s="177">
        <v>6.13</v>
      </c>
      <c r="N19" s="177">
        <v>9.81</v>
      </c>
      <c r="O19" s="177">
        <v>2.99</v>
      </c>
      <c r="P19" s="177">
        <v>0.05</v>
      </c>
      <c r="Q19" s="177">
        <v>0.12</v>
      </c>
      <c r="R19" s="177">
        <v>0.73</v>
      </c>
      <c r="S19" s="177"/>
      <c r="T19" s="177">
        <v>0.21</v>
      </c>
      <c r="U19" s="177">
        <v>26.87</v>
      </c>
      <c r="V19" s="177"/>
      <c r="W19" s="177">
        <v>15.39</v>
      </c>
      <c r="X19" s="177">
        <v>0</v>
      </c>
      <c r="Y19" s="177">
        <v>0.48</v>
      </c>
      <c r="Z19" s="177"/>
      <c r="AA19" s="177">
        <v>0</v>
      </c>
      <c r="AB19" s="177">
        <v>11.46</v>
      </c>
      <c r="AC19" s="177">
        <v>13.580550000000001</v>
      </c>
      <c r="AD19" s="177">
        <v>130.7012</v>
      </c>
      <c r="AE19" s="177"/>
      <c r="AF19" s="177"/>
      <c r="AG19" s="177">
        <v>2.1918E-2</v>
      </c>
      <c r="AH19" s="177"/>
      <c r="AI19" s="177">
        <v>58</v>
      </c>
      <c r="AJ19" s="177">
        <v>0.45</v>
      </c>
      <c r="AK19" s="177">
        <v>1.04</v>
      </c>
      <c r="AL19" s="177">
        <v>22.75</v>
      </c>
      <c r="AM19" s="177"/>
      <c r="AN19" s="177">
        <v>40.020000000000003</v>
      </c>
      <c r="AO19" s="177">
        <v>244.24</v>
      </c>
      <c r="AP19" s="177"/>
      <c r="AQ19" s="177">
        <v>0.62</v>
      </c>
    </row>
    <row r="20" spans="1:68" s="58" customFormat="1" ht="44.25">
      <c r="A20" s="89">
        <v>25114</v>
      </c>
      <c r="B20" s="89" t="s">
        <v>1942</v>
      </c>
      <c r="C20" s="89" t="s">
        <v>331</v>
      </c>
      <c r="D20" s="58" t="s">
        <v>332</v>
      </c>
      <c r="E20" s="166" t="s">
        <v>1686</v>
      </c>
      <c r="F20" s="89">
        <v>33601</v>
      </c>
      <c r="G20" s="167" t="s">
        <v>1942</v>
      </c>
    </row>
    <row r="21" spans="1:68" ht="29.45">
      <c r="A21" s="87">
        <v>23105</v>
      </c>
      <c r="B21" s="87" t="s">
        <v>1943</v>
      </c>
      <c r="C21" s="87" t="s">
        <v>340</v>
      </c>
      <c r="E21" s="87" t="s">
        <v>1900</v>
      </c>
      <c r="F21">
        <v>900201</v>
      </c>
      <c r="G21" s="86" t="s">
        <v>1944</v>
      </c>
      <c r="J21" s="177">
        <v>115.82</v>
      </c>
      <c r="K21" s="177">
        <v>100.59</v>
      </c>
      <c r="L21" s="177">
        <v>2.91</v>
      </c>
      <c r="M21" s="177">
        <v>6.1</v>
      </c>
      <c r="N21" s="177">
        <v>11.07</v>
      </c>
      <c r="O21" s="177">
        <v>2.46</v>
      </c>
      <c r="P21" s="177">
        <v>0.06</v>
      </c>
      <c r="Q21" s="177">
        <v>0.05</v>
      </c>
      <c r="R21" s="177">
        <v>0.27</v>
      </c>
      <c r="S21" s="177"/>
      <c r="T21" s="177">
        <v>0.15</v>
      </c>
      <c r="U21" s="177">
        <v>26.87</v>
      </c>
      <c r="V21" s="177"/>
      <c r="W21" s="177">
        <v>11.89</v>
      </c>
      <c r="X21" s="177">
        <v>0</v>
      </c>
      <c r="Y21" s="177">
        <v>0.38</v>
      </c>
      <c r="Z21" s="177"/>
      <c r="AA21" s="177">
        <v>0</v>
      </c>
      <c r="AB21" s="177">
        <v>17.39</v>
      </c>
      <c r="AC21" s="177">
        <v>0.56585600000000003</v>
      </c>
      <c r="AD21" s="177">
        <v>208.30500000000001</v>
      </c>
      <c r="AE21" s="177"/>
      <c r="AF21" s="177"/>
      <c r="AG21" s="177">
        <v>2.1918E-2</v>
      </c>
      <c r="AH21" s="177"/>
      <c r="AI21" s="177">
        <v>34.369999999999997</v>
      </c>
      <c r="AJ21" s="177">
        <v>0.42</v>
      </c>
      <c r="AK21" s="177">
        <v>1.1299999999999999</v>
      </c>
      <c r="AL21" s="177">
        <v>25.22</v>
      </c>
      <c r="AM21" s="177"/>
      <c r="AN21" s="177">
        <v>43.02</v>
      </c>
      <c r="AO21" s="177">
        <v>264.2</v>
      </c>
      <c r="AP21" s="177"/>
      <c r="AQ21" s="177">
        <v>0.69</v>
      </c>
    </row>
    <row r="22" spans="1:68" ht="29.45">
      <c r="A22" s="87">
        <v>24102</v>
      </c>
      <c r="B22" s="87" t="s">
        <v>1945</v>
      </c>
      <c r="C22" s="87" t="s">
        <v>351</v>
      </c>
      <c r="E22" s="87" t="s">
        <v>1900</v>
      </c>
      <c r="F22">
        <v>900200</v>
      </c>
      <c r="G22" s="86" t="s">
        <v>1946</v>
      </c>
      <c r="J22" s="177">
        <v>95.83</v>
      </c>
      <c r="K22" s="177">
        <v>94.3</v>
      </c>
      <c r="L22" s="177">
        <v>2.31</v>
      </c>
      <c r="M22" s="177">
        <v>0.92</v>
      </c>
      <c r="N22" s="177">
        <v>18.28</v>
      </c>
      <c r="O22" s="177">
        <v>2.75</v>
      </c>
      <c r="P22" s="177">
        <v>0.09</v>
      </c>
      <c r="Q22" s="177">
        <v>7.0000000000000007E-2</v>
      </c>
      <c r="R22" s="177">
        <v>0.77</v>
      </c>
      <c r="S22" s="177"/>
      <c r="T22" s="177">
        <v>0.32</v>
      </c>
      <c r="U22" s="177">
        <v>18.18</v>
      </c>
      <c r="V22" s="177"/>
      <c r="W22" s="177">
        <v>7.72</v>
      </c>
      <c r="X22" s="177">
        <v>0</v>
      </c>
      <c r="Y22" s="177">
        <v>0.16</v>
      </c>
      <c r="Z22" s="177"/>
      <c r="AA22" s="177">
        <v>0</v>
      </c>
      <c r="AB22" s="177">
        <v>58.01</v>
      </c>
      <c r="AC22" s="177">
        <v>449.75349999999997</v>
      </c>
      <c r="AD22" s="177">
        <v>471.2022</v>
      </c>
      <c r="AE22" s="177"/>
      <c r="AF22" s="177"/>
      <c r="AG22" s="177">
        <v>7.4159999999999998E-3</v>
      </c>
      <c r="AH22" s="177"/>
      <c r="AI22" s="177">
        <v>26.3</v>
      </c>
      <c r="AJ22" s="177">
        <v>0.12</v>
      </c>
      <c r="AK22" s="177">
        <v>0.74</v>
      </c>
      <c r="AL22" s="177">
        <v>33.89</v>
      </c>
      <c r="AM22" s="177"/>
      <c r="AN22" s="177">
        <v>24.88</v>
      </c>
      <c r="AO22" s="177">
        <v>273.27999999999997</v>
      </c>
      <c r="AP22" s="177"/>
      <c r="AQ22" s="177">
        <v>0.2</v>
      </c>
    </row>
    <row r="23" spans="1:68">
      <c r="A23" s="87">
        <v>25111</v>
      </c>
      <c r="B23" s="87" t="s">
        <v>1947</v>
      </c>
      <c r="C23" s="87" t="s">
        <v>396</v>
      </c>
      <c r="D23" t="s">
        <v>397</v>
      </c>
      <c r="E23" s="48" t="s">
        <v>1910</v>
      </c>
      <c r="F23" s="87">
        <v>33201</v>
      </c>
      <c r="G23" s="87" t="s">
        <v>1947</v>
      </c>
      <c r="J23" s="9">
        <v>80.3</v>
      </c>
      <c r="K23" s="9">
        <v>69.84</v>
      </c>
      <c r="L23" s="9">
        <v>2.97</v>
      </c>
      <c r="M23" s="9">
        <v>3.71</v>
      </c>
      <c r="N23" s="9">
        <v>8.7200000000000006</v>
      </c>
      <c r="O23" s="9">
        <v>4.72</v>
      </c>
      <c r="P23" s="9">
        <v>0.08</v>
      </c>
      <c r="Q23" s="9">
        <v>7.0000000000000007E-2</v>
      </c>
      <c r="R23" s="9">
        <v>0.97</v>
      </c>
      <c r="S23" s="9"/>
      <c r="T23" s="9">
        <v>0.12</v>
      </c>
      <c r="U23" s="9">
        <v>41.95</v>
      </c>
      <c r="V23" s="9">
        <v>0</v>
      </c>
      <c r="W23" s="9">
        <v>42.77</v>
      </c>
      <c r="X23" s="9"/>
      <c r="Y23" s="9">
        <v>0.73</v>
      </c>
      <c r="Z23" s="9"/>
      <c r="AA23" s="9">
        <v>0</v>
      </c>
      <c r="AB23" s="9">
        <v>17.690000000000001</v>
      </c>
      <c r="AC23" s="9">
        <v>11.72</v>
      </c>
      <c r="AD23" s="9">
        <v>100.26</v>
      </c>
      <c r="AE23" s="9"/>
      <c r="AF23" s="9"/>
      <c r="AG23" s="9"/>
      <c r="AH23" s="9"/>
      <c r="AI23" s="9">
        <v>43.34</v>
      </c>
      <c r="AJ23" s="9"/>
      <c r="AK23" s="9">
        <v>1.24</v>
      </c>
      <c r="AL23" s="9"/>
      <c r="AM23" s="9"/>
      <c r="AN23" s="9"/>
      <c r="AO23" s="9"/>
      <c r="AP23" s="9"/>
      <c r="AQ23" s="9">
        <v>0.5</v>
      </c>
      <c r="AR23" s="9"/>
      <c r="AS23" s="9"/>
      <c r="AT23" s="9"/>
      <c r="AU23" s="9"/>
      <c r="AV23" s="9"/>
      <c r="AW23" s="9"/>
      <c r="AX23" s="9"/>
      <c r="AY23" s="9"/>
      <c r="AZ23" s="9"/>
      <c r="BA23" s="9"/>
      <c r="BB23" s="9"/>
      <c r="BC23" s="9"/>
      <c r="BD23" s="9"/>
      <c r="BE23" s="9"/>
      <c r="BF23" s="9"/>
      <c r="BG23" s="9"/>
      <c r="BH23" s="9"/>
      <c r="BI23" s="9"/>
      <c r="BJ23" s="9"/>
      <c r="BK23" s="9"/>
      <c r="BL23" s="9"/>
      <c r="BM23" s="9"/>
      <c r="BN23" s="9"/>
      <c r="BO23" s="9">
        <v>62.21</v>
      </c>
    </row>
    <row r="24" spans="1:68">
      <c r="A24" s="87">
        <v>24301</v>
      </c>
      <c r="B24" t="s">
        <v>1948</v>
      </c>
      <c r="C24" t="s">
        <v>1949</v>
      </c>
      <c r="D24" t="s">
        <v>195</v>
      </c>
      <c r="E24" s="48" t="s">
        <v>1910</v>
      </c>
      <c r="F24" s="87">
        <v>20411</v>
      </c>
      <c r="G24" s="87" t="s">
        <v>1950</v>
      </c>
      <c r="J24" s="9">
        <v>151.5</v>
      </c>
      <c r="K24" s="9">
        <v>76.59</v>
      </c>
      <c r="L24" s="9">
        <v>1.92</v>
      </c>
      <c r="M24" s="9">
        <v>9.0299999999999994</v>
      </c>
      <c r="N24" s="9">
        <v>15.4</v>
      </c>
      <c r="O24" s="9">
        <v>2.56</v>
      </c>
      <c r="P24" s="9">
        <v>0.06</v>
      </c>
      <c r="Q24" s="9">
        <v>0.02</v>
      </c>
      <c r="R24" s="9">
        <v>1.02</v>
      </c>
      <c r="S24" s="9"/>
      <c r="T24" s="9">
        <v>0.11</v>
      </c>
      <c r="U24" s="9">
        <v>17.28</v>
      </c>
      <c r="V24" s="9">
        <v>0</v>
      </c>
      <c r="W24" s="9">
        <v>21.22</v>
      </c>
      <c r="X24" s="9"/>
      <c r="Y24" s="9">
        <v>0.23</v>
      </c>
      <c r="Z24" s="9"/>
      <c r="AA24" s="9">
        <v>0</v>
      </c>
      <c r="AB24" s="9">
        <v>6.71</v>
      </c>
      <c r="AC24" s="9">
        <v>3.9</v>
      </c>
      <c r="AD24" s="9">
        <v>38.29</v>
      </c>
      <c r="AE24" s="9"/>
      <c r="AF24" s="9"/>
      <c r="AG24" s="9"/>
      <c r="AH24" s="9"/>
      <c r="AI24" s="9">
        <v>21.36</v>
      </c>
      <c r="AJ24" s="9"/>
      <c r="AK24" s="9">
        <v>2.2799999999999998</v>
      </c>
      <c r="AL24" s="9"/>
      <c r="AM24" s="9"/>
      <c r="AN24" s="9"/>
      <c r="AO24" s="9"/>
      <c r="AP24" s="9"/>
      <c r="AQ24" s="9">
        <v>0.39</v>
      </c>
      <c r="AR24" s="9"/>
      <c r="AS24" s="9"/>
      <c r="AT24" s="9"/>
      <c r="AU24" s="9"/>
      <c r="AV24" s="9"/>
      <c r="AW24" s="9"/>
      <c r="AX24" s="9"/>
      <c r="AY24" s="9"/>
      <c r="AZ24" s="9"/>
      <c r="BA24" s="9"/>
      <c r="BB24" s="9"/>
      <c r="BC24" s="9"/>
      <c r="BD24" s="9"/>
      <c r="BE24" s="9"/>
      <c r="BF24" s="9"/>
      <c r="BG24" s="9"/>
      <c r="BH24" s="9"/>
      <c r="BI24" s="9"/>
      <c r="BJ24" s="9"/>
      <c r="BK24" s="9"/>
      <c r="BL24" s="9"/>
      <c r="BM24" s="9"/>
      <c r="BN24" s="9"/>
      <c r="BO24" s="9">
        <v>61.02</v>
      </c>
    </row>
    <row r="25" spans="1:68">
      <c r="A25" s="87">
        <v>25303</v>
      </c>
      <c r="B25" t="s">
        <v>1951</v>
      </c>
      <c r="C25" t="s">
        <v>1952</v>
      </c>
      <c r="D25" t="s">
        <v>1953</v>
      </c>
      <c r="E25" s="87" t="s">
        <v>76</v>
      </c>
      <c r="F25" s="87">
        <v>30051</v>
      </c>
      <c r="G25" s="87" t="s">
        <v>1954</v>
      </c>
      <c r="J25" s="170">
        <v>130</v>
      </c>
      <c r="K25" s="170">
        <v>74.03</v>
      </c>
      <c r="L25" s="170">
        <v>3.1</v>
      </c>
      <c r="M25" s="170">
        <v>9.06</v>
      </c>
      <c r="N25" s="170">
        <v>7.1</v>
      </c>
      <c r="O25" s="170">
        <v>4.0999999999999996</v>
      </c>
      <c r="P25" s="170">
        <v>7.0000000000000007E-2</v>
      </c>
      <c r="Q25" s="170">
        <v>0.06</v>
      </c>
      <c r="R25" s="170">
        <v>0.59</v>
      </c>
      <c r="S25" s="170" t="s">
        <v>1530</v>
      </c>
      <c r="T25" s="170">
        <v>0.04</v>
      </c>
      <c r="U25" s="170">
        <v>44.92</v>
      </c>
      <c r="V25" s="170" t="s">
        <v>1530</v>
      </c>
      <c r="W25" s="170">
        <v>103.21</v>
      </c>
      <c r="X25" s="170">
        <v>0</v>
      </c>
      <c r="Y25" s="170">
        <v>0.31</v>
      </c>
      <c r="Z25" s="170" t="s">
        <v>1530</v>
      </c>
      <c r="AA25" s="170">
        <v>0</v>
      </c>
      <c r="AB25" s="170">
        <v>30.47</v>
      </c>
      <c r="AC25" s="170" t="s">
        <v>1530</v>
      </c>
      <c r="AD25" s="170">
        <v>305.47000000000003</v>
      </c>
      <c r="AE25" s="170" t="s">
        <v>1530</v>
      </c>
      <c r="AF25" s="170" t="s">
        <v>1530</v>
      </c>
      <c r="AG25" s="170" t="s">
        <v>1530</v>
      </c>
      <c r="AH25" s="170" t="s">
        <v>1530</v>
      </c>
      <c r="AI25" s="170">
        <v>27.01</v>
      </c>
      <c r="AJ25" s="170">
        <v>0.44</v>
      </c>
      <c r="AK25" s="170">
        <v>2.93</v>
      </c>
      <c r="AL25" s="170">
        <v>48.47</v>
      </c>
      <c r="AM25" s="170" t="s">
        <v>1530</v>
      </c>
      <c r="AN25" s="170">
        <v>34.07</v>
      </c>
      <c r="AO25" s="170">
        <v>303.70999999999998</v>
      </c>
      <c r="AP25" s="170" t="s">
        <v>1530</v>
      </c>
      <c r="AQ25" s="170">
        <v>0.61</v>
      </c>
      <c r="AR25" s="170" t="s">
        <v>1530</v>
      </c>
      <c r="AS25" s="170" t="s">
        <v>1530</v>
      </c>
      <c r="AT25" s="170" t="s">
        <v>1530</v>
      </c>
      <c r="AU25" s="170" t="s">
        <v>1530</v>
      </c>
      <c r="AV25" s="170" t="s">
        <v>1530</v>
      </c>
      <c r="AW25" s="170" t="s">
        <v>1530</v>
      </c>
      <c r="AX25" s="170" t="s">
        <v>1530</v>
      </c>
      <c r="AY25" s="170" t="s">
        <v>1530</v>
      </c>
      <c r="AZ25" s="170" t="s">
        <v>1530</v>
      </c>
      <c r="BA25" s="170" t="s">
        <v>1530</v>
      </c>
      <c r="BB25" s="170" t="s">
        <v>1530</v>
      </c>
      <c r="BC25" s="170" t="s">
        <v>1530</v>
      </c>
      <c r="BD25" s="170" t="s">
        <v>1530</v>
      </c>
      <c r="BE25" s="170" t="s">
        <v>1530</v>
      </c>
      <c r="BF25" s="170" t="s">
        <v>1530</v>
      </c>
      <c r="BG25" s="170" t="s">
        <v>1530</v>
      </c>
      <c r="BH25" s="170" t="s">
        <v>1530</v>
      </c>
      <c r="BI25" s="170" t="s">
        <v>1530</v>
      </c>
      <c r="BJ25" s="170" t="s">
        <v>1530</v>
      </c>
      <c r="BK25" s="170" t="s">
        <v>1530</v>
      </c>
      <c r="BL25" s="170" t="s">
        <v>1530</v>
      </c>
      <c r="BM25" s="170" t="s">
        <v>1530</v>
      </c>
      <c r="BN25" s="170" t="s">
        <v>1530</v>
      </c>
      <c r="BO25" s="170" t="s">
        <v>1530</v>
      </c>
      <c r="BP25" s="170" t="s">
        <v>1530</v>
      </c>
    </row>
    <row r="26" spans="1:68">
      <c r="A26" s="87">
        <v>25304</v>
      </c>
      <c r="B26" t="s">
        <v>1955</v>
      </c>
      <c r="C26" t="s">
        <v>410</v>
      </c>
      <c r="D26" t="s">
        <v>411</v>
      </c>
      <c r="E26" s="87" t="s">
        <v>1900</v>
      </c>
      <c r="F26">
        <v>900214</v>
      </c>
      <c r="G26" s="87" t="s">
        <v>1956</v>
      </c>
      <c r="J26" s="177">
        <v>90.06</v>
      </c>
      <c r="K26" s="177">
        <v>90.58</v>
      </c>
      <c r="L26" s="177">
        <v>1.77</v>
      </c>
      <c r="M26" s="177">
        <v>6.75</v>
      </c>
      <c r="N26" s="177">
        <v>4.26</v>
      </c>
      <c r="O26" s="177">
        <v>2.65</v>
      </c>
      <c r="P26" s="177">
        <v>0.06</v>
      </c>
      <c r="Q26" s="177">
        <v>0.06</v>
      </c>
      <c r="R26" s="177">
        <v>0.42</v>
      </c>
      <c r="S26" s="177"/>
      <c r="T26" s="177">
        <v>0.17</v>
      </c>
      <c r="U26" s="177">
        <v>28</v>
      </c>
      <c r="V26" s="177"/>
      <c r="W26" s="177">
        <v>13.71</v>
      </c>
      <c r="X26" s="177">
        <v>0</v>
      </c>
      <c r="Y26" s="177">
        <v>0.42</v>
      </c>
      <c r="Z26" s="177"/>
      <c r="AA26" s="177">
        <v>0</v>
      </c>
      <c r="AB26" s="177">
        <v>4.5999999999999996</v>
      </c>
      <c r="AC26" s="177">
        <v>27.19875</v>
      </c>
      <c r="AD26" s="177">
        <v>41.518419999999999</v>
      </c>
      <c r="AE26" s="177"/>
      <c r="AF26" s="177"/>
      <c r="AG26" s="177">
        <v>2.0753000000000001E-2</v>
      </c>
      <c r="AH26" s="177"/>
      <c r="AI26" s="177">
        <v>35.53</v>
      </c>
      <c r="AJ26" s="177">
        <v>7.0000000000000007E-2</v>
      </c>
      <c r="AK26" s="177">
        <v>0.99</v>
      </c>
      <c r="AL26" s="177">
        <v>19.72</v>
      </c>
      <c r="AM26" s="177"/>
      <c r="AN26" s="177">
        <v>36.75</v>
      </c>
      <c r="AO26" s="177">
        <v>202.39</v>
      </c>
      <c r="AP26" s="177"/>
      <c r="AQ26" s="177">
        <v>0.48</v>
      </c>
    </row>
    <row r="27" spans="1:68">
      <c r="A27" s="87">
        <v>25307</v>
      </c>
      <c r="B27" t="s">
        <v>1957</v>
      </c>
      <c r="C27" t="s">
        <v>1958</v>
      </c>
      <c r="D27" t="s">
        <v>321</v>
      </c>
      <c r="E27" s="48" t="s">
        <v>1959</v>
      </c>
      <c r="F27" t="s">
        <v>1960</v>
      </c>
      <c r="G27" t="s">
        <v>1961</v>
      </c>
      <c r="J27" s="9">
        <v>98.3</v>
      </c>
      <c r="K27" s="9"/>
      <c r="L27" s="9">
        <v>2.35</v>
      </c>
      <c r="M27" s="9">
        <v>6.48</v>
      </c>
      <c r="N27" s="9">
        <v>9.34</v>
      </c>
      <c r="O27" s="9">
        <v>2.89</v>
      </c>
      <c r="P27" s="9">
        <v>0.18</v>
      </c>
      <c r="Q27" s="9">
        <v>7.0000000000000007E-2</v>
      </c>
      <c r="R27" s="9">
        <v>1.08</v>
      </c>
      <c r="S27" s="9"/>
      <c r="T27" s="9">
        <v>0.23</v>
      </c>
      <c r="U27" s="9">
        <v>49.85</v>
      </c>
      <c r="V27" s="9">
        <v>0</v>
      </c>
      <c r="W27" s="9">
        <v>19.39</v>
      </c>
      <c r="X27" s="9"/>
      <c r="Y27" s="9">
        <v>0.34</v>
      </c>
      <c r="Z27" s="9"/>
      <c r="AA27" s="9">
        <v>0</v>
      </c>
      <c r="AB27" s="9">
        <v>60.79</v>
      </c>
      <c r="AC27" s="9">
        <v>25.54</v>
      </c>
      <c r="AD27" s="9">
        <v>351.98</v>
      </c>
      <c r="AE27" s="9"/>
      <c r="AF27" s="9"/>
      <c r="AG27" s="9"/>
      <c r="AH27" s="9"/>
      <c r="AI27" s="9">
        <v>86.67</v>
      </c>
      <c r="AJ27" s="9"/>
      <c r="AK27" s="9">
        <v>1.07</v>
      </c>
      <c r="AL27" s="9"/>
      <c r="AM27" s="9"/>
      <c r="AN27" s="9"/>
      <c r="AO27" s="9"/>
      <c r="AP27" s="9"/>
      <c r="AQ27" s="9">
        <v>0.61</v>
      </c>
      <c r="AR27" s="9"/>
      <c r="AS27" s="9"/>
      <c r="AT27" s="9"/>
      <c r="AU27" s="9"/>
      <c r="AV27" s="9"/>
      <c r="AW27" s="9"/>
      <c r="AX27" s="9"/>
      <c r="AY27" s="9"/>
      <c r="AZ27" s="9"/>
      <c r="BA27" s="9"/>
      <c r="BB27" s="9"/>
      <c r="BC27" s="9"/>
      <c r="BD27" s="9"/>
      <c r="BE27" s="9"/>
      <c r="BF27" s="9"/>
      <c r="BG27" s="9"/>
      <c r="BH27" s="9"/>
      <c r="BI27" s="9"/>
      <c r="BJ27" s="9"/>
      <c r="BK27" s="9"/>
      <c r="BL27" s="9"/>
      <c r="BM27" s="9"/>
      <c r="BN27" s="9"/>
      <c r="BO27" s="9"/>
    </row>
    <row r="28" spans="1:68">
      <c r="A28" s="87">
        <v>25312</v>
      </c>
      <c r="B28" t="s">
        <v>1962</v>
      </c>
      <c r="C28" t="s">
        <v>1963</v>
      </c>
      <c r="D28" t="s">
        <v>200</v>
      </c>
      <c r="E28" s="87" t="s">
        <v>1900</v>
      </c>
      <c r="F28">
        <v>900216</v>
      </c>
      <c r="G28" s="87" t="s">
        <v>1964</v>
      </c>
      <c r="J28" s="177">
        <v>141.79</v>
      </c>
      <c r="K28" s="177">
        <v>76.37</v>
      </c>
      <c r="L28" s="177">
        <v>3.95</v>
      </c>
      <c r="M28" s="177">
        <v>3.49</v>
      </c>
      <c r="N28" s="177">
        <v>22.57</v>
      </c>
      <c r="O28" s="177">
        <v>1.26</v>
      </c>
      <c r="P28" s="177">
        <v>0.12</v>
      </c>
      <c r="Q28" s="177">
        <v>0.12</v>
      </c>
      <c r="R28" s="177">
        <v>1.68</v>
      </c>
      <c r="S28" s="177"/>
      <c r="T28" s="177">
        <v>0.11</v>
      </c>
      <c r="U28" s="177">
        <v>6.4</v>
      </c>
      <c r="V28" s="177"/>
      <c r="W28" s="177">
        <v>12.1</v>
      </c>
      <c r="X28" s="177">
        <v>0</v>
      </c>
      <c r="Y28" s="177">
        <v>0.03</v>
      </c>
      <c r="Z28" s="177"/>
      <c r="AA28" s="177">
        <v>0</v>
      </c>
      <c r="AB28" s="177">
        <v>1.4</v>
      </c>
      <c r="AC28" s="177">
        <v>0</v>
      </c>
      <c r="AD28" s="177">
        <v>16.799569999999999</v>
      </c>
      <c r="AE28" s="177"/>
      <c r="AF28" s="177"/>
      <c r="AG28" s="177">
        <v>2.8795999999999999E-2</v>
      </c>
      <c r="AH28" s="177"/>
      <c r="AI28" s="177">
        <v>33.81</v>
      </c>
      <c r="AJ28" s="177">
        <v>0.33</v>
      </c>
      <c r="AK28" s="177">
        <v>1.37</v>
      </c>
      <c r="AL28" s="177">
        <v>42.98</v>
      </c>
      <c r="AM28" s="177"/>
      <c r="AN28" s="177">
        <v>70.56</v>
      </c>
      <c r="AO28" s="177">
        <v>249.09</v>
      </c>
      <c r="AP28" s="177"/>
      <c r="AQ28" s="177">
        <v>0.36</v>
      </c>
      <c r="AR28" s="177"/>
    </row>
    <row r="29" spans="1:68">
      <c r="A29" s="87">
        <v>24302</v>
      </c>
      <c r="B29" t="s">
        <v>1965</v>
      </c>
      <c r="C29" t="s">
        <v>1966</v>
      </c>
      <c r="D29" t="s">
        <v>382</v>
      </c>
      <c r="E29" s="87" t="s">
        <v>1900</v>
      </c>
      <c r="F29">
        <v>900200</v>
      </c>
      <c r="G29" s="87" t="s">
        <v>1946</v>
      </c>
      <c r="J29" s="177">
        <v>95.83</v>
      </c>
      <c r="K29" s="177">
        <v>94.3</v>
      </c>
      <c r="L29" s="177">
        <v>2.31</v>
      </c>
      <c r="M29" s="177">
        <v>0.92</v>
      </c>
      <c r="N29" s="177">
        <v>18.28</v>
      </c>
      <c r="O29" s="177">
        <v>2.75</v>
      </c>
      <c r="P29" s="177">
        <v>0.09</v>
      </c>
      <c r="Q29" s="177">
        <v>7.0000000000000007E-2</v>
      </c>
      <c r="R29" s="177">
        <v>0.77</v>
      </c>
      <c r="S29" s="177"/>
      <c r="T29" s="177">
        <v>0.32</v>
      </c>
      <c r="U29" s="177">
        <v>18.18</v>
      </c>
      <c r="V29" s="177"/>
      <c r="W29" s="177">
        <v>7.72</v>
      </c>
      <c r="X29" s="177">
        <v>0</v>
      </c>
      <c r="Y29" s="177">
        <v>0.16</v>
      </c>
      <c r="Z29" s="177"/>
      <c r="AA29" s="177">
        <v>0</v>
      </c>
      <c r="AB29" s="177">
        <v>58.01</v>
      </c>
      <c r="AC29" s="177">
        <v>449.75349999999997</v>
      </c>
      <c r="AD29" s="177">
        <v>471.2022</v>
      </c>
      <c r="AE29" s="177"/>
      <c r="AF29" s="177"/>
      <c r="AG29" s="177">
        <v>7.4159999999999998E-3</v>
      </c>
      <c r="AH29" s="177"/>
      <c r="AI29" s="177">
        <v>26.3</v>
      </c>
      <c r="AJ29" s="177">
        <v>0.12</v>
      </c>
      <c r="AK29" s="177">
        <v>0.74</v>
      </c>
      <c r="AL29" s="177">
        <v>33.89</v>
      </c>
      <c r="AM29" s="177"/>
      <c r="AN29" s="177">
        <v>24.88</v>
      </c>
      <c r="AO29" s="177">
        <v>273.27999999999997</v>
      </c>
      <c r="AP29" s="177"/>
      <c r="AQ29" s="177">
        <v>0.2</v>
      </c>
    </row>
    <row r="30" spans="1:68">
      <c r="A30" s="87">
        <v>24305</v>
      </c>
      <c r="B30" t="s">
        <v>1967</v>
      </c>
      <c r="C30" t="s">
        <v>418</v>
      </c>
      <c r="D30" t="s">
        <v>372</v>
      </c>
      <c r="E30" s="9" t="s">
        <v>1968</v>
      </c>
      <c r="F30" t="s">
        <v>1969</v>
      </c>
      <c r="G30" t="s">
        <v>1970</v>
      </c>
      <c r="J30" s="9">
        <v>284.2</v>
      </c>
      <c r="K30" s="9"/>
      <c r="L30" s="9">
        <v>2.37</v>
      </c>
      <c r="M30" s="9">
        <v>12.23</v>
      </c>
      <c r="N30" s="9">
        <v>42.17</v>
      </c>
      <c r="O30" s="9">
        <v>6.36</v>
      </c>
      <c r="P30" s="9">
        <v>0.17</v>
      </c>
      <c r="Q30" s="9">
        <v>0.06</v>
      </c>
      <c r="R30" s="9">
        <v>0.9</v>
      </c>
      <c r="S30" s="9"/>
      <c r="T30" s="9">
        <v>0.44</v>
      </c>
      <c r="U30" s="9">
        <v>34.74</v>
      </c>
      <c r="V30" s="9">
        <v>0</v>
      </c>
      <c r="W30" s="9">
        <v>25.77</v>
      </c>
      <c r="X30" s="9"/>
      <c r="Y30" s="9">
        <v>0.55000000000000004</v>
      </c>
      <c r="Z30" s="9"/>
      <c r="AA30" s="9">
        <v>0</v>
      </c>
      <c r="AB30" s="9">
        <v>42.2</v>
      </c>
      <c r="AC30" s="9">
        <v>8.3800000000000008</v>
      </c>
      <c r="AD30" s="9">
        <v>248.99</v>
      </c>
      <c r="AE30" s="9"/>
      <c r="AF30" s="9"/>
      <c r="AG30" s="9"/>
      <c r="AH30" s="9"/>
      <c r="AI30" s="9">
        <v>26.68</v>
      </c>
      <c r="AJ30" s="9"/>
      <c r="AK30" s="9">
        <v>0.87</v>
      </c>
      <c r="AL30" s="9"/>
      <c r="AM30" s="9"/>
      <c r="AN30" s="9"/>
      <c r="AO30" s="9"/>
      <c r="AP30" s="9"/>
      <c r="AQ30" s="9">
        <v>0.37</v>
      </c>
      <c r="AR30" s="9"/>
      <c r="AS30" s="9"/>
      <c r="AT30" s="9"/>
      <c r="AU30" s="9"/>
      <c r="AV30" s="9"/>
      <c r="AW30" s="9"/>
      <c r="AX30" s="9"/>
      <c r="AY30" s="9"/>
      <c r="AZ30" s="9"/>
      <c r="BA30" s="9"/>
      <c r="BB30" s="9"/>
      <c r="BC30" s="9"/>
      <c r="BD30" s="9"/>
      <c r="BE30" s="9"/>
      <c r="BF30" s="9"/>
      <c r="BG30" s="9"/>
      <c r="BH30" s="9"/>
      <c r="BI30" s="9"/>
      <c r="BJ30" s="9"/>
      <c r="BK30" s="9"/>
      <c r="BL30" s="9"/>
      <c r="BM30" s="9"/>
      <c r="BN30" s="9"/>
      <c r="BO30" s="9"/>
    </row>
    <row r="31" spans="1:68" ht="29.45">
      <c r="A31" s="87">
        <v>22801</v>
      </c>
      <c r="B31" s="168" t="s">
        <v>1971</v>
      </c>
      <c r="C31" s="223" t="s">
        <v>1972</v>
      </c>
      <c r="D31" s="223" t="s">
        <v>403</v>
      </c>
      <c r="E31" s="48" t="s">
        <v>1910</v>
      </c>
      <c r="F31" t="s">
        <v>1973</v>
      </c>
      <c r="G31" s="168" t="s">
        <v>1971</v>
      </c>
      <c r="J31" s="9">
        <v>70.3</v>
      </c>
      <c r="K31" s="9">
        <v>76.13</v>
      </c>
      <c r="L31" s="9">
        <v>1.78</v>
      </c>
      <c r="M31" s="9">
        <v>5.4</v>
      </c>
      <c r="N31" s="9">
        <v>3.39</v>
      </c>
      <c r="O31" s="9">
        <v>2.5099999999999998</v>
      </c>
      <c r="P31" s="9">
        <v>0.05</v>
      </c>
      <c r="Q31" s="9">
        <v>0.03</v>
      </c>
      <c r="R31" s="9">
        <v>0.64</v>
      </c>
      <c r="S31" s="9"/>
      <c r="T31" s="9">
        <v>0.11</v>
      </c>
      <c r="U31" s="9">
        <v>20.440000000000001</v>
      </c>
      <c r="V31" s="9">
        <v>0</v>
      </c>
      <c r="W31" s="9">
        <v>20.41</v>
      </c>
      <c r="X31" s="9"/>
      <c r="Y31" s="9">
        <v>0.2</v>
      </c>
      <c r="Z31" s="9"/>
      <c r="AA31" s="9">
        <v>0</v>
      </c>
      <c r="AB31" s="9">
        <v>220.86</v>
      </c>
      <c r="AC31" s="9">
        <v>0</v>
      </c>
      <c r="AD31" s="9">
        <v>1325.16</v>
      </c>
      <c r="AE31" s="9"/>
      <c r="AF31" s="9"/>
      <c r="AG31" s="9"/>
      <c r="AH31" s="9"/>
      <c r="AI31" s="9">
        <v>99.8</v>
      </c>
      <c r="AJ31" s="9"/>
      <c r="AK31" s="9">
        <v>1.2</v>
      </c>
      <c r="AL31" s="9"/>
      <c r="AM31" s="9"/>
      <c r="AN31" s="9"/>
      <c r="AO31" s="9"/>
      <c r="AP31" s="9"/>
      <c r="AQ31" s="9">
        <v>0.56000000000000005</v>
      </c>
      <c r="AR31" s="9"/>
      <c r="AS31" s="9"/>
      <c r="AT31" s="9"/>
      <c r="AU31" s="9"/>
      <c r="AV31" s="9"/>
      <c r="AW31" s="9"/>
      <c r="AX31" s="9"/>
      <c r="AY31" s="9"/>
      <c r="AZ31" s="9"/>
      <c r="BA31" s="9"/>
      <c r="BB31" s="9"/>
      <c r="BC31" s="9"/>
      <c r="BD31" s="9"/>
      <c r="BE31" s="9"/>
      <c r="BF31" s="9"/>
      <c r="BG31" s="9"/>
      <c r="BH31" s="9"/>
      <c r="BI31" s="9"/>
      <c r="BJ31" s="9"/>
      <c r="BK31" s="9"/>
      <c r="BL31" s="9"/>
      <c r="BM31" s="9"/>
      <c r="BN31" s="9"/>
      <c r="BO31" s="9">
        <v>46.86</v>
      </c>
    </row>
    <row r="32" spans="1:68">
      <c r="A32" s="87">
        <v>43101</v>
      </c>
      <c r="B32" t="s">
        <v>510</v>
      </c>
      <c r="C32" t="s">
        <v>511</v>
      </c>
      <c r="D32" t="s">
        <v>512</v>
      </c>
      <c r="E32" s="87" t="s">
        <v>76</v>
      </c>
      <c r="F32">
        <v>90062</v>
      </c>
      <c r="G32" s="87" t="s">
        <v>1974</v>
      </c>
      <c r="J32">
        <v>105</v>
      </c>
      <c r="K32">
        <v>76.25</v>
      </c>
      <c r="L32">
        <v>20.56</v>
      </c>
      <c r="M32">
        <v>2.56</v>
      </c>
      <c r="N32">
        <v>0</v>
      </c>
      <c r="O32">
        <v>0</v>
      </c>
      <c r="P32">
        <v>0.61</v>
      </c>
      <c r="Q32">
        <v>0.1</v>
      </c>
      <c r="R32">
        <v>0.7</v>
      </c>
      <c r="T32">
        <v>0.11</v>
      </c>
      <c r="U32">
        <v>1263</v>
      </c>
      <c r="X32">
        <v>0.84</v>
      </c>
      <c r="Y32">
        <v>2.4</v>
      </c>
      <c r="AA32">
        <v>3.19</v>
      </c>
      <c r="AB32">
        <v>3.69</v>
      </c>
      <c r="AD32">
        <v>6</v>
      </c>
      <c r="AI32">
        <v>29.59</v>
      </c>
      <c r="AJ32">
        <v>0.35</v>
      </c>
      <c r="AK32">
        <v>0.42</v>
      </c>
      <c r="AL32">
        <v>36.79</v>
      </c>
      <c r="AN32">
        <v>175</v>
      </c>
      <c r="AO32">
        <v>309.20999999999998</v>
      </c>
      <c r="AQ32">
        <v>1.1299999999999999</v>
      </c>
      <c r="AR32">
        <v>0.88</v>
      </c>
      <c r="AS32">
        <v>0.71</v>
      </c>
      <c r="AT32">
        <v>0.65</v>
      </c>
      <c r="AV32">
        <v>544</v>
      </c>
      <c r="AW32">
        <v>760</v>
      </c>
      <c r="AX32">
        <v>1434</v>
      </c>
      <c r="AY32">
        <v>1577</v>
      </c>
      <c r="AZ32">
        <v>630</v>
      </c>
      <c r="BA32">
        <v>125</v>
      </c>
      <c r="BB32">
        <v>828</v>
      </c>
      <c r="BC32">
        <v>867</v>
      </c>
      <c r="BD32">
        <v>313</v>
      </c>
      <c r="BE32">
        <v>984</v>
      </c>
      <c r="BF32">
        <v>2185</v>
      </c>
      <c r="BG32">
        <v>1240</v>
      </c>
      <c r="BH32">
        <v>1853</v>
      </c>
      <c r="BI32">
        <v>3456</v>
      </c>
      <c r="BJ32">
        <v>1356</v>
      </c>
      <c r="BK32">
        <v>986</v>
      </c>
      <c r="BL32">
        <v>802</v>
      </c>
      <c r="BM32">
        <v>543</v>
      </c>
    </row>
    <row r="33" spans="1:68">
      <c r="A33" s="87">
        <v>43103</v>
      </c>
      <c r="B33" t="s">
        <v>519</v>
      </c>
      <c r="C33" t="s">
        <v>1975</v>
      </c>
      <c r="D33" t="s">
        <v>521</v>
      </c>
      <c r="E33" s="87" t="s">
        <v>1976</v>
      </c>
      <c r="F33" t="s">
        <v>1977</v>
      </c>
      <c r="G33" t="s">
        <v>1978</v>
      </c>
      <c r="J33">
        <v>123.8</v>
      </c>
      <c r="K33" s="6">
        <v>77.199996948242188</v>
      </c>
      <c r="L33">
        <v>15.8</v>
      </c>
      <c r="M33">
        <v>6.24</v>
      </c>
      <c r="P33" s="6">
        <v>9.9999997764825821E-3</v>
      </c>
      <c r="Q33" s="6">
        <v>7.0000000298023224E-2</v>
      </c>
      <c r="R33" s="6">
        <v>1.7400000095367432</v>
      </c>
      <c r="T33" s="6">
        <v>114</v>
      </c>
      <c r="U33" s="6">
        <v>1395</v>
      </c>
      <c r="V33" s="6">
        <v>2.2300000190734863</v>
      </c>
      <c r="Y33" s="6">
        <v>0.37999999523162842</v>
      </c>
      <c r="AA33" s="6">
        <v>13.5</v>
      </c>
      <c r="AB33" s="6">
        <v>13.5</v>
      </c>
      <c r="AI33">
        <v>21.9</v>
      </c>
      <c r="AK33" s="6">
        <v>0.81999999284744263</v>
      </c>
      <c r="AL33" s="6"/>
      <c r="AQ33" s="6">
        <v>0.70999997854232788</v>
      </c>
    </row>
    <row r="34" spans="1:68" ht="15.95">
      <c r="A34" s="87">
        <v>43501</v>
      </c>
      <c r="B34" t="s">
        <v>1979</v>
      </c>
      <c r="C34" t="s">
        <v>590</v>
      </c>
      <c r="E34" s="137" t="s">
        <v>1980</v>
      </c>
      <c r="F34" s="138">
        <v>174187</v>
      </c>
      <c r="G34" s="139" t="s">
        <v>1981</v>
      </c>
      <c r="J34">
        <v>229</v>
      </c>
      <c r="K34">
        <v>58.8</v>
      </c>
      <c r="L34">
        <v>18.100000000000001</v>
      </c>
      <c r="M34">
        <v>13.3</v>
      </c>
      <c r="N34">
        <v>8.0399999999999991</v>
      </c>
      <c r="O34">
        <v>0.7</v>
      </c>
      <c r="P34">
        <v>7.2999999999999995E-2</v>
      </c>
      <c r="Q34">
        <v>0.13300000000000001</v>
      </c>
      <c r="R34">
        <v>2.2799999999999998</v>
      </c>
      <c r="S34">
        <v>0.73</v>
      </c>
      <c r="T34">
        <v>0.19</v>
      </c>
      <c r="U34">
        <v>30</v>
      </c>
      <c r="V34">
        <v>1.9</v>
      </c>
      <c r="W34">
        <v>0</v>
      </c>
      <c r="AA34">
        <v>8.4</v>
      </c>
      <c r="AB34">
        <v>8</v>
      </c>
      <c r="AI34">
        <v>44</v>
      </c>
      <c r="AJ34">
        <v>0.10100000000000001</v>
      </c>
      <c r="AK34">
        <v>1.43</v>
      </c>
      <c r="AL34">
        <v>27</v>
      </c>
      <c r="AM34">
        <v>0.04</v>
      </c>
      <c r="AN34">
        <v>216</v>
      </c>
      <c r="AO34">
        <v>340</v>
      </c>
      <c r="AP34">
        <v>13.9</v>
      </c>
      <c r="AQ34">
        <v>0.86</v>
      </c>
      <c r="AR34">
        <v>3.29</v>
      </c>
      <c r="AS34">
        <v>5.61</v>
      </c>
      <c r="AT34">
        <v>3.32</v>
      </c>
      <c r="AU34">
        <v>71</v>
      </c>
      <c r="AV34">
        <v>0.53</v>
      </c>
      <c r="AW34">
        <v>0.83599999999999997</v>
      </c>
      <c r="AX34">
        <v>1.51</v>
      </c>
      <c r="AY34">
        <v>1.6</v>
      </c>
      <c r="AZ34">
        <v>0.52700000000000002</v>
      </c>
      <c r="BA34">
        <v>0.20499999999999999</v>
      </c>
      <c r="BB34">
        <v>0.72599999999999998</v>
      </c>
      <c r="BC34">
        <v>0.79</v>
      </c>
      <c r="BD34">
        <v>0.2</v>
      </c>
      <c r="BE34">
        <v>0.94299999999999995</v>
      </c>
      <c r="BF34">
        <v>1.1000000000000001</v>
      </c>
      <c r="BG34">
        <v>1.08</v>
      </c>
      <c r="BH34">
        <v>1.82</v>
      </c>
      <c r="BI34">
        <v>2.72</v>
      </c>
      <c r="BJ34">
        <v>0.85099999999999998</v>
      </c>
      <c r="BK34">
        <v>0.68600000000000005</v>
      </c>
      <c r="BL34">
        <v>0.76400000000000001</v>
      </c>
      <c r="BM34">
        <v>0.622</v>
      </c>
    </row>
    <row r="35" spans="1:68" ht="15.95">
      <c r="A35" s="87">
        <v>45501</v>
      </c>
      <c r="B35" t="s">
        <v>1982</v>
      </c>
      <c r="C35" t="s">
        <v>594</v>
      </c>
      <c r="E35" t="s">
        <v>1983</v>
      </c>
      <c r="F35" s="138" t="s">
        <v>1984</v>
      </c>
      <c r="G35" s="139" t="s">
        <v>1985</v>
      </c>
      <c r="J35">
        <v>264</v>
      </c>
      <c r="K35">
        <v>47.5</v>
      </c>
      <c r="L35">
        <v>24.6</v>
      </c>
      <c r="M35">
        <v>17.899999999999999</v>
      </c>
      <c r="N35">
        <v>4</v>
      </c>
      <c r="O35">
        <v>0</v>
      </c>
      <c r="P35">
        <v>0.19</v>
      </c>
      <c r="Q35">
        <v>0.62</v>
      </c>
      <c r="R35">
        <v>0.12</v>
      </c>
      <c r="S35">
        <v>3.5</v>
      </c>
      <c r="T35">
        <v>0.32</v>
      </c>
      <c r="U35">
        <v>50</v>
      </c>
      <c r="V35">
        <v>20</v>
      </c>
      <c r="W35">
        <v>0</v>
      </c>
      <c r="X35">
        <v>2.9</v>
      </c>
      <c r="Y35">
        <v>1.89</v>
      </c>
      <c r="Z35">
        <v>0.6</v>
      </c>
      <c r="AA35">
        <v>271</v>
      </c>
      <c r="AB35">
        <v>271</v>
      </c>
      <c r="AC35">
        <v>0</v>
      </c>
      <c r="AD35">
        <v>0</v>
      </c>
      <c r="AE35">
        <v>0</v>
      </c>
      <c r="AF35">
        <v>0</v>
      </c>
      <c r="AG35">
        <v>0</v>
      </c>
      <c r="AI35">
        <v>275</v>
      </c>
      <c r="AJ35">
        <v>0.11</v>
      </c>
      <c r="AK35">
        <v>11.9</v>
      </c>
      <c r="AL35">
        <v>300</v>
      </c>
      <c r="AM35">
        <v>0.05</v>
      </c>
      <c r="AN35">
        <v>356</v>
      </c>
      <c r="AO35">
        <v>181</v>
      </c>
      <c r="AP35">
        <v>65.5</v>
      </c>
      <c r="AQ35">
        <v>0.95</v>
      </c>
      <c r="AR35">
        <v>4.0599999999999996</v>
      </c>
      <c r="AS35">
        <v>4.63</v>
      </c>
      <c r="AT35">
        <v>7.4</v>
      </c>
      <c r="AU35">
        <v>588</v>
      </c>
      <c r="AV35" t="s">
        <v>1986</v>
      </c>
      <c r="AW35">
        <v>1.04</v>
      </c>
      <c r="AX35">
        <v>2.13</v>
      </c>
      <c r="AY35">
        <v>1.83</v>
      </c>
      <c r="AZ35">
        <v>0.64600000000000002</v>
      </c>
      <c r="BA35">
        <v>0.44900000000000001</v>
      </c>
      <c r="BB35">
        <v>1.07</v>
      </c>
      <c r="BC35">
        <v>1.26</v>
      </c>
      <c r="BD35">
        <v>0.32300000000000001</v>
      </c>
      <c r="BE35">
        <v>1.26</v>
      </c>
      <c r="BF35">
        <v>1.65</v>
      </c>
      <c r="BG35">
        <v>1.59</v>
      </c>
      <c r="BH35">
        <v>2.38</v>
      </c>
      <c r="BI35">
        <v>3.63</v>
      </c>
      <c r="BJ35">
        <v>0.74</v>
      </c>
      <c r="BK35">
        <v>1.2</v>
      </c>
      <c r="BL35">
        <v>1.9</v>
      </c>
      <c r="BM35">
        <v>0.96799999999999997</v>
      </c>
    </row>
    <row r="36" spans="1:68" s="58" customFormat="1">
      <c r="A36" s="89">
        <v>52101</v>
      </c>
      <c r="B36" s="224" t="s">
        <v>1987</v>
      </c>
      <c r="C36" s="224" t="s">
        <v>608</v>
      </c>
      <c r="D36" s="58" t="s">
        <v>609</v>
      </c>
      <c r="E36" s="166" t="s">
        <v>1686</v>
      </c>
      <c r="F36" s="58" t="s">
        <v>1988</v>
      </c>
      <c r="G36" s="224" t="s">
        <v>1987</v>
      </c>
    </row>
    <row r="37" spans="1:68" s="58" customFormat="1">
      <c r="A37" s="89">
        <v>51102</v>
      </c>
      <c r="B37" s="224" t="s">
        <v>1989</v>
      </c>
      <c r="C37" s="224" t="s">
        <v>618</v>
      </c>
      <c r="D37" s="58" t="s">
        <v>619</v>
      </c>
      <c r="E37" s="166" t="s">
        <v>1686</v>
      </c>
      <c r="F37" s="58" t="s">
        <v>1990</v>
      </c>
      <c r="G37" s="224" t="s">
        <v>1989</v>
      </c>
    </row>
    <row r="38" spans="1:68" s="58" customFormat="1">
      <c r="A38" s="89">
        <v>54101</v>
      </c>
      <c r="B38" s="224" t="s">
        <v>1991</v>
      </c>
      <c r="C38" s="224" t="s">
        <v>622</v>
      </c>
      <c r="D38" s="58" t="s">
        <v>623</v>
      </c>
      <c r="E38" s="166" t="s">
        <v>1686</v>
      </c>
      <c r="F38" s="89">
        <v>58011</v>
      </c>
      <c r="G38" s="89" t="s">
        <v>1991</v>
      </c>
    </row>
    <row r="39" spans="1:68" ht="29.45">
      <c r="A39" s="86">
        <v>56301</v>
      </c>
      <c r="B39" s="168" t="s">
        <v>1992</v>
      </c>
      <c r="C39" s="223" t="s">
        <v>1993</v>
      </c>
      <c r="D39" s="135" t="s">
        <v>604</v>
      </c>
      <c r="E39" s="87" t="s">
        <v>1994</v>
      </c>
      <c r="F39" s="87">
        <v>173423</v>
      </c>
      <c r="G39" s="175" t="s">
        <v>1995</v>
      </c>
      <c r="J39">
        <v>196</v>
      </c>
      <c r="K39">
        <v>69.5</v>
      </c>
      <c r="L39">
        <v>13.6</v>
      </c>
      <c r="M39">
        <v>14.8</v>
      </c>
      <c r="N39">
        <v>0.83</v>
      </c>
      <c r="O39">
        <v>0</v>
      </c>
      <c r="P39">
        <v>4.3999999999999997E-2</v>
      </c>
      <c r="Q39">
        <v>0.495</v>
      </c>
      <c r="R39">
        <v>8.2000000000000003E-2</v>
      </c>
      <c r="S39">
        <v>1.66</v>
      </c>
      <c r="T39">
        <v>0.184</v>
      </c>
      <c r="U39">
        <v>51</v>
      </c>
      <c r="V39">
        <v>0.97</v>
      </c>
      <c r="W39">
        <v>0</v>
      </c>
      <c r="X39">
        <v>2.2000000000000002</v>
      </c>
      <c r="Y39" t="s">
        <v>1996</v>
      </c>
      <c r="Z39">
        <v>5.6</v>
      </c>
      <c r="AA39">
        <v>216</v>
      </c>
      <c r="AB39">
        <v>219</v>
      </c>
      <c r="AC39">
        <v>0</v>
      </c>
      <c r="AD39">
        <v>35</v>
      </c>
      <c r="AF39">
        <v>0</v>
      </c>
      <c r="AG39">
        <v>10</v>
      </c>
      <c r="AI39">
        <v>62</v>
      </c>
      <c r="AJ39">
        <v>7.8E-2</v>
      </c>
      <c r="AK39">
        <v>1.89</v>
      </c>
      <c r="AL39">
        <v>13</v>
      </c>
      <c r="AM39">
        <v>0.03</v>
      </c>
      <c r="AN39">
        <v>215</v>
      </c>
      <c r="AO39">
        <v>152</v>
      </c>
      <c r="AP39">
        <v>33.1</v>
      </c>
      <c r="AQ39">
        <v>1.39</v>
      </c>
      <c r="AR39">
        <v>4.32</v>
      </c>
      <c r="AS39">
        <v>6.18</v>
      </c>
      <c r="AT39">
        <v>3.25</v>
      </c>
      <c r="AU39">
        <v>401</v>
      </c>
      <c r="AV39">
        <v>0.33500000000000002</v>
      </c>
      <c r="AW39">
        <v>0.72799999999999998</v>
      </c>
      <c r="AX39">
        <v>1.18</v>
      </c>
      <c r="AY39">
        <v>0.98899999999999999</v>
      </c>
      <c r="AZ39">
        <v>0.41099999999999998</v>
      </c>
      <c r="BA39">
        <v>0.29399999999999998</v>
      </c>
      <c r="BB39">
        <v>0.73599999999999999</v>
      </c>
      <c r="BC39">
        <v>0.60199999999999998</v>
      </c>
      <c r="BD39">
        <v>0.18099999999999999</v>
      </c>
      <c r="BE39">
        <v>0.93</v>
      </c>
      <c r="BF39">
        <v>0.79500000000000004</v>
      </c>
      <c r="BG39">
        <v>0.88700000000000001</v>
      </c>
      <c r="BH39">
        <v>1.44</v>
      </c>
      <c r="BI39">
        <v>1.82</v>
      </c>
      <c r="BJ39">
        <v>0.46700000000000003</v>
      </c>
      <c r="BK39">
        <v>0.55800000000000005</v>
      </c>
      <c r="BL39">
        <v>1.05</v>
      </c>
      <c r="BM39">
        <v>0.54100000000000004</v>
      </c>
    </row>
    <row r="40" spans="1:68" ht="29.45">
      <c r="A40" s="86">
        <v>56302</v>
      </c>
      <c r="B40" s="168" t="s">
        <v>1997</v>
      </c>
      <c r="C40" s="223" t="s">
        <v>1998</v>
      </c>
      <c r="D40" t="s">
        <v>619</v>
      </c>
      <c r="E40" s="87" t="s">
        <v>1999</v>
      </c>
      <c r="F40" s="87">
        <v>2707176</v>
      </c>
      <c r="G40" s="87" t="s">
        <v>2000</v>
      </c>
      <c r="J40">
        <v>224</v>
      </c>
      <c r="K40">
        <v>66.739999999999995</v>
      </c>
      <c r="L40">
        <v>11.96</v>
      </c>
      <c r="M40">
        <v>18.55</v>
      </c>
      <c r="N40">
        <v>1.36</v>
      </c>
      <c r="O40">
        <v>0</v>
      </c>
      <c r="P40">
        <v>0.11700000000000001</v>
      </c>
      <c r="Q40">
        <v>0.35799999999999998</v>
      </c>
      <c r="R40">
        <v>0.16800000000000001</v>
      </c>
      <c r="T40">
        <v>0.25800000000000001</v>
      </c>
      <c r="U40">
        <v>56</v>
      </c>
      <c r="V40">
        <v>4.03</v>
      </c>
      <c r="W40">
        <v>0</v>
      </c>
      <c r="Y40">
        <v>2.1</v>
      </c>
      <c r="Z40">
        <v>5.0999999999999996</v>
      </c>
      <c r="AA40">
        <v>204</v>
      </c>
      <c r="AB40">
        <v>206</v>
      </c>
      <c r="AC40">
        <v>0</v>
      </c>
      <c r="AD40">
        <v>24</v>
      </c>
      <c r="AF40">
        <v>0</v>
      </c>
      <c r="AG40">
        <v>11</v>
      </c>
      <c r="AI40">
        <v>60</v>
      </c>
      <c r="AJ40">
        <v>5.8000000000000003E-2</v>
      </c>
      <c r="AK40">
        <v>3.6</v>
      </c>
      <c r="AL40">
        <v>16</v>
      </c>
      <c r="AN40">
        <v>206</v>
      </c>
      <c r="AO40">
        <v>208</v>
      </c>
      <c r="AP40">
        <v>33.9</v>
      </c>
      <c r="AQ40">
        <v>1.32</v>
      </c>
      <c r="AR40">
        <v>4.9269999999999996</v>
      </c>
      <c r="AS40">
        <v>8.11</v>
      </c>
      <c r="AT40">
        <v>2.78</v>
      </c>
      <c r="AU40">
        <v>828</v>
      </c>
    </row>
    <row r="41" spans="1:68">
      <c r="A41" s="86">
        <v>56303</v>
      </c>
      <c r="B41" s="168" t="s">
        <v>2001</v>
      </c>
      <c r="C41" s="223" t="s">
        <v>2002</v>
      </c>
      <c r="D41" s="223"/>
      <c r="E41" s="87" t="s">
        <v>82</v>
      </c>
      <c r="F41" s="87" t="s">
        <v>2003</v>
      </c>
      <c r="G41" s="48" t="s">
        <v>2004</v>
      </c>
      <c r="J41">
        <v>204.3</v>
      </c>
      <c r="K41" s="48">
        <v>67.8</v>
      </c>
      <c r="L41" s="48">
        <v>14.8</v>
      </c>
      <c r="M41" s="48">
        <v>16.3</v>
      </c>
      <c r="P41" s="48">
        <v>0.14000000000000001</v>
      </c>
      <c r="Q41" s="48">
        <v>7.0000000000000007E-2</v>
      </c>
      <c r="R41" s="48">
        <v>0.14000000000000001</v>
      </c>
      <c r="S41" s="48">
        <v>0.94</v>
      </c>
      <c r="T41" s="48">
        <v>0.18</v>
      </c>
      <c r="U41" s="48">
        <v>58.79</v>
      </c>
      <c r="X41">
        <v>3.44</v>
      </c>
      <c r="Y41" s="48">
        <v>2.79</v>
      </c>
      <c r="AA41">
        <v>202</v>
      </c>
      <c r="AD41">
        <v>14.75</v>
      </c>
      <c r="AE41">
        <v>20.55</v>
      </c>
      <c r="AG41">
        <v>0.95</v>
      </c>
      <c r="AH41">
        <v>30.85</v>
      </c>
      <c r="AI41">
        <v>55.88</v>
      </c>
      <c r="AJ41">
        <v>0.17</v>
      </c>
      <c r="AK41">
        <v>2.15</v>
      </c>
      <c r="AL41">
        <v>13</v>
      </c>
      <c r="AM41">
        <v>0.03</v>
      </c>
      <c r="AN41">
        <v>243</v>
      </c>
      <c r="AO41">
        <v>151</v>
      </c>
      <c r="AP41">
        <v>58.63</v>
      </c>
      <c r="AQ41" s="48">
        <v>1.26</v>
      </c>
      <c r="AR41">
        <v>4.8860000000000001</v>
      </c>
      <c r="AS41" s="48">
        <v>6.4240000000000004</v>
      </c>
      <c r="AT41" s="48">
        <v>2.3170000000000002</v>
      </c>
      <c r="AU41" s="48">
        <v>318</v>
      </c>
      <c r="AV41" s="48">
        <v>4.6100000000000003</v>
      </c>
      <c r="AW41" s="48">
        <v>2.04</v>
      </c>
      <c r="AX41" s="48">
        <v>7.18</v>
      </c>
      <c r="AY41" s="48">
        <v>7.52</v>
      </c>
      <c r="AZ41" s="48">
        <v>5.82</v>
      </c>
      <c r="BA41" s="48">
        <v>10.029999999999999</v>
      </c>
      <c r="BB41" s="48">
        <v>5.91</v>
      </c>
      <c r="BC41" s="48">
        <v>6.53</v>
      </c>
      <c r="BD41" s="48">
        <v>1.34</v>
      </c>
      <c r="BE41" s="48">
        <v>5.76</v>
      </c>
      <c r="BF41" s="48">
        <v>2.88</v>
      </c>
      <c r="BG41" s="48">
        <v>13.87</v>
      </c>
      <c r="BH41" s="48">
        <v>3.26</v>
      </c>
      <c r="BI41" s="48">
        <v>2.2000000000000002</v>
      </c>
      <c r="BJ41" s="48">
        <v>3.83</v>
      </c>
      <c r="BK41" s="48">
        <v>5.33</v>
      </c>
      <c r="BL41" s="48">
        <v>6.9</v>
      </c>
      <c r="BM41" s="48">
        <v>3.71</v>
      </c>
    </row>
    <row r="42" spans="1:68">
      <c r="A42" s="86">
        <v>57202</v>
      </c>
      <c r="B42" s="168" t="s">
        <v>650</v>
      </c>
      <c r="C42" s="223" t="s">
        <v>651</v>
      </c>
      <c r="D42" t="s">
        <v>613</v>
      </c>
      <c r="E42" s="225" t="s">
        <v>76</v>
      </c>
      <c r="F42" s="225">
        <v>120003</v>
      </c>
      <c r="G42" s="87" t="s">
        <v>652</v>
      </c>
      <c r="J42" s="170">
        <v>94</v>
      </c>
      <c r="K42" s="170">
        <v>80.599999999999994</v>
      </c>
      <c r="L42" s="170">
        <v>3.16</v>
      </c>
      <c r="M42" s="170">
        <v>4</v>
      </c>
      <c r="N42" s="170">
        <v>11.44</v>
      </c>
      <c r="O42" s="170">
        <v>0</v>
      </c>
      <c r="P42" s="170">
        <v>0.05</v>
      </c>
      <c r="Q42" s="170">
        <v>0.16</v>
      </c>
      <c r="R42" s="170">
        <v>0.2</v>
      </c>
      <c r="S42" s="170" t="s">
        <v>1530</v>
      </c>
      <c r="T42" s="170">
        <v>0.05</v>
      </c>
      <c r="U42" s="170">
        <v>8.5</v>
      </c>
      <c r="V42" s="222">
        <v>0.25</v>
      </c>
      <c r="W42" s="170">
        <v>1</v>
      </c>
      <c r="X42" s="170" t="s">
        <v>1530</v>
      </c>
      <c r="Y42" s="170">
        <v>0.08</v>
      </c>
      <c r="Z42" s="170" t="s">
        <v>1530</v>
      </c>
      <c r="AA42" s="170">
        <v>31</v>
      </c>
      <c r="AB42" s="170">
        <v>32.18</v>
      </c>
      <c r="AC42" s="170" t="s">
        <v>1530</v>
      </c>
      <c r="AD42" s="170" t="s">
        <v>1530</v>
      </c>
      <c r="AE42" s="170" t="s">
        <v>1530</v>
      </c>
      <c r="AF42" s="170" t="s">
        <v>1530</v>
      </c>
      <c r="AG42" s="170" t="s">
        <v>1530</v>
      </c>
      <c r="AH42" s="170" t="s">
        <v>1530</v>
      </c>
      <c r="AI42" s="170">
        <v>103</v>
      </c>
      <c r="AJ42" s="170">
        <v>0.05</v>
      </c>
      <c r="AK42" s="170">
        <v>0.09</v>
      </c>
      <c r="AL42" s="170">
        <v>13</v>
      </c>
      <c r="AM42" s="170" t="s">
        <v>1530</v>
      </c>
      <c r="AN42" s="170">
        <v>90</v>
      </c>
      <c r="AO42" s="170">
        <v>131.16</v>
      </c>
      <c r="AP42" s="170" t="s">
        <v>1530</v>
      </c>
      <c r="AQ42" s="170">
        <v>0.45</v>
      </c>
      <c r="AR42" s="170" t="s">
        <v>1530</v>
      </c>
      <c r="AS42" s="170" t="s">
        <v>1530</v>
      </c>
      <c r="AT42" s="170" t="s">
        <v>1530</v>
      </c>
      <c r="AU42" s="170">
        <v>11.57</v>
      </c>
      <c r="AV42" s="170" t="s">
        <v>1530</v>
      </c>
      <c r="AW42" s="170" t="s">
        <v>1530</v>
      </c>
      <c r="AX42" s="170" t="s">
        <v>1530</v>
      </c>
      <c r="AY42" s="170" t="s">
        <v>1530</v>
      </c>
      <c r="AZ42" s="170" t="s">
        <v>1530</v>
      </c>
      <c r="BA42" s="170" t="s">
        <v>1530</v>
      </c>
      <c r="BB42" s="170" t="s">
        <v>1530</v>
      </c>
      <c r="BC42" s="170" t="s">
        <v>1530</v>
      </c>
      <c r="BD42" s="170" t="s">
        <v>1530</v>
      </c>
      <c r="BE42" s="170" t="s">
        <v>1530</v>
      </c>
      <c r="BF42" s="170" t="s">
        <v>1530</v>
      </c>
      <c r="BG42" s="170" t="s">
        <v>1530</v>
      </c>
      <c r="BH42" s="170" t="s">
        <v>1530</v>
      </c>
      <c r="BI42" s="170" t="s">
        <v>1530</v>
      </c>
      <c r="BJ42" s="170" t="s">
        <v>1530</v>
      </c>
      <c r="BK42" s="170" t="s">
        <v>1530</v>
      </c>
      <c r="BL42" s="170" t="s">
        <v>1530</v>
      </c>
      <c r="BM42" s="170" t="s">
        <v>1530</v>
      </c>
      <c r="BN42" s="170" t="s">
        <v>1530</v>
      </c>
      <c r="BO42" s="170" t="s">
        <v>1530</v>
      </c>
      <c r="BP42" s="170" t="s">
        <v>1530</v>
      </c>
    </row>
    <row r="43" spans="1:68" ht="17.25">
      <c r="A43" s="87">
        <v>51301</v>
      </c>
      <c r="B43" t="s">
        <v>2005</v>
      </c>
      <c r="C43" t="s">
        <v>2006</v>
      </c>
      <c r="E43" s="87" t="s">
        <v>1994</v>
      </c>
      <c r="F43" s="140" t="s">
        <v>2007</v>
      </c>
      <c r="G43" t="s">
        <v>2008</v>
      </c>
      <c r="J43">
        <v>288</v>
      </c>
      <c r="K43">
        <v>47.9</v>
      </c>
      <c r="L43">
        <v>30</v>
      </c>
      <c r="M43">
        <v>15.3</v>
      </c>
      <c r="N43">
        <v>5.68</v>
      </c>
      <c r="O43">
        <v>0</v>
      </c>
      <c r="P43">
        <v>0.109</v>
      </c>
      <c r="Q43">
        <v>0.253</v>
      </c>
      <c r="R43">
        <v>7.68</v>
      </c>
      <c r="S43">
        <v>1.2</v>
      </c>
      <c r="T43">
        <v>0.35</v>
      </c>
      <c r="U43">
        <v>9</v>
      </c>
      <c r="V43">
        <v>0.31</v>
      </c>
      <c r="W43">
        <v>0</v>
      </c>
      <c r="AA43">
        <v>29</v>
      </c>
      <c r="AB43">
        <v>29</v>
      </c>
      <c r="AI43">
        <v>26</v>
      </c>
      <c r="AJ43">
        <v>9.5000000000000001E-2</v>
      </c>
      <c r="AK43">
        <v>1.65</v>
      </c>
      <c r="AL43">
        <v>25</v>
      </c>
      <c r="AM43">
        <v>4.7E-2</v>
      </c>
      <c r="AN43">
        <v>176</v>
      </c>
      <c r="AO43">
        <v>251</v>
      </c>
      <c r="AP43">
        <v>19.899999999999999</v>
      </c>
      <c r="AQ43">
        <v>2.8</v>
      </c>
      <c r="AR43">
        <v>4.12</v>
      </c>
      <c r="AS43">
        <v>5.73</v>
      </c>
      <c r="AT43">
        <v>3.64</v>
      </c>
      <c r="AU43">
        <v>93</v>
      </c>
      <c r="AV43">
        <v>0.92400000000000004</v>
      </c>
      <c r="AW43">
        <v>1.58</v>
      </c>
      <c r="AX43">
        <v>2.25</v>
      </c>
      <c r="AY43">
        <v>2.5</v>
      </c>
      <c r="AZ43">
        <v>0.82299999999999995</v>
      </c>
      <c r="BA43">
        <v>0.39200000000000002</v>
      </c>
      <c r="BB43">
        <v>1.2</v>
      </c>
      <c r="BC43">
        <v>1.26</v>
      </c>
      <c r="BD43">
        <v>0.35199999999999998</v>
      </c>
      <c r="BE43">
        <v>1.49</v>
      </c>
      <c r="BF43">
        <v>1.62</v>
      </c>
      <c r="BG43">
        <v>1.79</v>
      </c>
      <c r="BH43">
        <v>2.64</v>
      </c>
      <c r="BI43">
        <v>4.67</v>
      </c>
      <c r="BJ43">
        <v>1.46</v>
      </c>
      <c r="BK43">
        <v>1.3</v>
      </c>
      <c r="BL43">
        <v>1.05</v>
      </c>
      <c r="BM43">
        <v>1.01</v>
      </c>
    </row>
    <row r="44" spans="1:68" ht="29.45">
      <c r="A44" s="87">
        <v>31803</v>
      </c>
      <c r="B44" s="168" t="s">
        <v>2009</v>
      </c>
      <c r="C44" s="223" t="s">
        <v>2010</v>
      </c>
      <c r="D44" s="223" t="s">
        <v>710</v>
      </c>
      <c r="E44" s="87" t="s">
        <v>2011</v>
      </c>
      <c r="F44" s="48">
        <v>1899933</v>
      </c>
      <c r="G44" s="48" t="s">
        <v>2012</v>
      </c>
      <c r="J44">
        <v>175</v>
      </c>
      <c r="L44">
        <v>0</v>
      </c>
      <c r="M44">
        <v>15</v>
      </c>
      <c r="N44">
        <v>10</v>
      </c>
      <c r="O44">
        <v>5</v>
      </c>
      <c r="W44">
        <v>0</v>
      </c>
      <c r="AB44">
        <v>0</v>
      </c>
      <c r="AI44">
        <v>0</v>
      </c>
      <c r="AK44">
        <v>0</v>
      </c>
      <c r="AR44">
        <v>0</v>
      </c>
      <c r="AU44">
        <v>0</v>
      </c>
    </row>
    <row r="45" spans="1:68">
      <c r="A45" s="87">
        <v>85501</v>
      </c>
      <c r="B45" t="s">
        <v>2013</v>
      </c>
      <c r="C45" t="s">
        <v>2014</v>
      </c>
      <c r="E45" s="87" t="s">
        <v>2015</v>
      </c>
      <c r="F45" s="87">
        <v>91401</v>
      </c>
      <c r="G45" s="87" t="s">
        <v>2016</v>
      </c>
      <c r="J45">
        <v>292</v>
      </c>
      <c r="L45" s="6">
        <v>11.600000381469727</v>
      </c>
      <c r="M45" s="6">
        <v>19.899999618530273</v>
      </c>
      <c r="N45" s="6">
        <v>17.700000762939453</v>
      </c>
      <c r="P45" s="6">
        <v>0.12999999523162842</v>
      </c>
      <c r="Q45" s="6">
        <v>0.80000001192092896</v>
      </c>
      <c r="R45" s="6">
        <v>0.20000000298023224</v>
      </c>
      <c r="T45" s="6">
        <v>0</v>
      </c>
      <c r="U45" s="6">
        <v>4</v>
      </c>
      <c r="V45" s="6">
        <v>1</v>
      </c>
      <c r="W45" s="6">
        <v>0</v>
      </c>
      <c r="Y45" s="6">
        <v>0.30000001192092896</v>
      </c>
      <c r="AB45" s="6">
        <v>200</v>
      </c>
      <c r="AI45" s="6">
        <v>340</v>
      </c>
      <c r="AK45" s="6">
        <v>0.89999997615814209</v>
      </c>
      <c r="AQ45" s="6">
        <v>1.2999999523162842</v>
      </c>
    </row>
    <row r="46" spans="1:68">
      <c r="A46" s="87">
        <v>85201</v>
      </c>
      <c r="B46" t="s">
        <v>2017</v>
      </c>
      <c r="C46" t="s">
        <v>2018</v>
      </c>
      <c r="E46" s="87" t="s">
        <v>82</v>
      </c>
      <c r="F46" s="87" t="s">
        <v>2019</v>
      </c>
      <c r="G46" s="48" t="s">
        <v>2020</v>
      </c>
      <c r="J46">
        <v>316</v>
      </c>
      <c r="K46" s="48">
        <v>42.51</v>
      </c>
      <c r="L46" s="48">
        <v>16.34</v>
      </c>
      <c r="M46" s="48">
        <v>20.62</v>
      </c>
      <c r="N46">
        <v>16.53</v>
      </c>
      <c r="P46" s="48">
        <v>0.11</v>
      </c>
      <c r="Q46" s="48">
        <v>0.11</v>
      </c>
      <c r="X46">
        <v>0.12</v>
      </c>
      <c r="Y46" s="48">
        <v>0.03</v>
      </c>
      <c r="AA46" s="48">
        <v>30.12</v>
      </c>
      <c r="AD46" s="48">
        <v>3.52</v>
      </c>
      <c r="AE46" s="48">
        <v>2.7</v>
      </c>
      <c r="AI46" s="48">
        <v>602</v>
      </c>
      <c r="AJ46" s="48">
        <v>7.0000000000000007E-2</v>
      </c>
      <c r="AK46" s="48">
        <v>2.3199999999999998</v>
      </c>
      <c r="AL46" s="48">
        <v>58.53</v>
      </c>
      <c r="AM46" s="48">
        <v>0.08</v>
      </c>
      <c r="AN46" s="48">
        <v>476</v>
      </c>
      <c r="AO46" s="48">
        <v>536</v>
      </c>
      <c r="AP46" s="48">
        <v>44.97</v>
      </c>
      <c r="AQ46" s="48">
        <v>2.34</v>
      </c>
      <c r="AR46">
        <v>12.936</v>
      </c>
      <c r="AS46" s="48">
        <v>5.6639999999999997</v>
      </c>
      <c r="AT46">
        <v>0.79</v>
      </c>
      <c r="AV46" s="48">
        <v>1.47</v>
      </c>
      <c r="AW46" s="48">
        <v>4.93</v>
      </c>
      <c r="AX46" s="48">
        <v>10.34</v>
      </c>
      <c r="AY46" s="48">
        <v>2.41</v>
      </c>
      <c r="AZ46" s="48">
        <v>1.95</v>
      </c>
      <c r="BA46" s="48">
        <v>0.75</v>
      </c>
      <c r="BB46" s="48">
        <v>5.08</v>
      </c>
      <c r="BC46" s="48">
        <v>4.63</v>
      </c>
      <c r="BD46" s="48">
        <v>1.59</v>
      </c>
      <c r="BE46" s="48">
        <v>6.1</v>
      </c>
      <c r="BF46" s="48">
        <v>3.99</v>
      </c>
      <c r="BG46" s="48">
        <v>1.06</v>
      </c>
      <c r="BH46" s="48">
        <v>7.95</v>
      </c>
      <c r="BI46" s="48">
        <v>21.82</v>
      </c>
      <c r="BJ46" s="48">
        <v>2.02</v>
      </c>
      <c r="BK46" s="48">
        <v>11.32</v>
      </c>
      <c r="BL46" s="48">
        <v>5.37</v>
      </c>
      <c r="BM46" s="48">
        <v>4.95</v>
      </c>
    </row>
    <row r="47" spans="1:68">
      <c r="A47" s="87">
        <v>85202</v>
      </c>
      <c r="B47" t="s">
        <v>2021</v>
      </c>
      <c r="C47" t="s">
        <v>2022</v>
      </c>
      <c r="E47" s="87" t="s">
        <v>2023</v>
      </c>
      <c r="F47" s="87">
        <v>1126072</v>
      </c>
      <c r="G47" s="87" t="s">
        <v>2024</v>
      </c>
      <c r="J47">
        <v>190</v>
      </c>
      <c r="L47">
        <v>6.35</v>
      </c>
      <c r="M47">
        <v>7.94</v>
      </c>
      <c r="N47">
        <v>22.2</v>
      </c>
      <c r="O47">
        <v>0</v>
      </c>
      <c r="X47">
        <v>0</v>
      </c>
      <c r="AI47">
        <v>13</v>
      </c>
      <c r="AK47">
        <v>0</v>
      </c>
      <c r="AO47">
        <v>124</v>
      </c>
      <c r="AR47">
        <v>3.97</v>
      </c>
      <c r="AU47">
        <v>14</v>
      </c>
    </row>
    <row r="48" spans="1:68">
      <c r="A48" s="87">
        <v>83301</v>
      </c>
      <c r="B48" t="s">
        <v>2025</v>
      </c>
      <c r="C48" t="s">
        <v>890</v>
      </c>
      <c r="D48" t="s">
        <v>70</v>
      </c>
      <c r="E48" s="48" t="s">
        <v>1910</v>
      </c>
      <c r="F48" s="87">
        <v>11031</v>
      </c>
      <c r="G48" s="87" t="s">
        <v>2025</v>
      </c>
      <c r="H48" s="87"/>
      <c r="J48" s="9">
        <v>377.7</v>
      </c>
      <c r="K48" s="9">
        <v>12.03</v>
      </c>
      <c r="L48" s="9">
        <v>5.69</v>
      </c>
      <c r="M48" s="9">
        <v>0.43</v>
      </c>
      <c r="N48" s="9">
        <v>86.1</v>
      </c>
      <c r="O48" s="9">
        <v>1.21</v>
      </c>
      <c r="P48" s="9">
        <v>0.09</v>
      </c>
      <c r="Q48" s="9">
        <v>0.03</v>
      </c>
      <c r="R48" s="9">
        <v>0.35</v>
      </c>
      <c r="S48" s="9"/>
      <c r="T48" s="9">
        <v>0.48</v>
      </c>
      <c r="U48" s="9">
        <v>16.2</v>
      </c>
      <c r="V48" s="9">
        <v>0</v>
      </c>
      <c r="W48" s="9">
        <v>0</v>
      </c>
      <c r="X48" s="9"/>
      <c r="Y48" s="9">
        <v>0.05</v>
      </c>
      <c r="Z48" s="9"/>
      <c r="AA48" s="9">
        <v>0</v>
      </c>
      <c r="AB48" s="9">
        <v>0.14000000000000001</v>
      </c>
      <c r="AC48" s="9">
        <v>0</v>
      </c>
      <c r="AD48" s="9">
        <v>0.86</v>
      </c>
      <c r="AE48" s="9"/>
      <c r="AF48" s="9"/>
      <c r="AG48" s="9"/>
      <c r="AH48" s="9"/>
      <c r="AI48" s="9">
        <v>76.53</v>
      </c>
      <c r="AJ48" s="9"/>
      <c r="AK48" s="9">
        <v>3.7</v>
      </c>
      <c r="AL48" s="9"/>
      <c r="AM48" s="9"/>
      <c r="AN48" s="9"/>
      <c r="AO48" s="9"/>
      <c r="AP48" s="9"/>
      <c r="AQ48" s="9">
        <v>0.67</v>
      </c>
      <c r="AR48" s="9"/>
      <c r="AS48" s="9"/>
      <c r="AT48" s="9"/>
      <c r="AU48" s="9"/>
      <c r="AV48" s="9"/>
      <c r="AW48" s="9"/>
      <c r="AX48" s="9"/>
      <c r="AY48" s="9"/>
      <c r="AZ48" s="9"/>
      <c r="BA48" s="9"/>
      <c r="BB48" s="9"/>
      <c r="BC48" s="9"/>
      <c r="BD48" s="9"/>
      <c r="BE48" s="9"/>
      <c r="BF48" s="9"/>
      <c r="BG48" s="9"/>
      <c r="BH48" s="9"/>
      <c r="BI48" s="9"/>
      <c r="BJ48" s="9"/>
      <c r="BK48" s="9"/>
      <c r="BL48" s="9"/>
      <c r="BM48" s="9"/>
      <c r="BN48" s="9"/>
      <c r="BO48" s="9">
        <v>53.95</v>
      </c>
    </row>
    <row r="49" spans="1:68">
      <c r="A49" s="87">
        <v>86502</v>
      </c>
      <c r="B49" t="s">
        <v>2026</v>
      </c>
      <c r="C49" t="s">
        <v>2027</v>
      </c>
      <c r="D49" t="s">
        <v>163</v>
      </c>
      <c r="E49" s="87" t="s">
        <v>2015</v>
      </c>
      <c r="F49" s="87">
        <v>10041</v>
      </c>
      <c r="G49" s="87" t="s">
        <v>2028</v>
      </c>
      <c r="J49">
        <v>292</v>
      </c>
      <c r="L49">
        <v>11.6</v>
      </c>
      <c r="M49">
        <v>19.899999999999999</v>
      </c>
      <c r="N49">
        <v>17.7</v>
      </c>
      <c r="P49">
        <v>0.13</v>
      </c>
      <c r="Q49">
        <v>0.8</v>
      </c>
      <c r="R49">
        <v>0.2</v>
      </c>
      <c r="T49">
        <v>0</v>
      </c>
      <c r="U49">
        <v>4</v>
      </c>
      <c r="V49">
        <v>1</v>
      </c>
      <c r="W49">
        <v>0</v>
      </c>
      <c r="Y49">
        <v>0.3</v>
      </c>
      <c r="AB49">
        <v>200</v>
      </c>
      <c r="AI49">
        <v>340</v>
      </c>
      <c r="AK49">
        <v>0.9</v>
      </c>
      <c r="AQ49">
        <v>1.3</v>
      </c>
    </row>
    <row r="50" spans="1:68">
      <c r="A50" s="87">
        <v>81201</v>
      </c>
      <c r="B50" t="s">
        <v>2029</v>
      </c>
      <c r="C50" t="s">
        <v>2030</v>
      </c>
      <c r="E50" s="48" t="s">
        <v>1910</v>
      </c>
      <c r="F50" s="87">
        <v>12061</v>
      </c>
      <c r="G50" s="87" t="s">
        <v>2031</v>
      </c>
      <c r="J50" s="9">
        <v>190.4</v>
      </c>
      <c r="K50" s="9">
        <v>60.27</v>
      </c>
      <c r="L50" s="9">
        <v>3.82</v>
      </c>
      <c r="M50" s="9">
        <v>4.8899999999999997</v>
      </c>
      <c r="N50" s="9">
        <v>33.18</v>
      </c>
      <c r="O50" s="9">
        <v>1.1100000000000001</v>
      </c>
      <c r="P50" s="9">
        <v>0.05</v>
      </c>
      <c r="Q50" s="9">
        <v>0.1</v>
      </c>
      <c r="R50" s="9">
        <v>0.15</v>
      </c>
      <c r="S50" s="9"/>
      <c r="T50" s="9">
        <v>0.03</v>
      </c>
      <c r="U50" s="9">
        <v>7.92</v>
      </c>
      <c r="V50" s="9">
        <v>0.26</v>
      </c>
      <c r="W50" s="9">
        <v>1.74</v>
      </c>
      <c r="X50" s="9"/>
      <c r="Y50" s="9">
        <v>0.14000000000000001</v>
      </c>
      <c r="Z50" s="9"/>
      <c r="AA50" s="9">
        <v>0</v>
      </c>
      <c r="AB50" s="9">
        <v>1.07</v>
      </c>
      <c r="AC50" s="9">
        <v>0</v>
      </c>
      <c r="AD50" s="9">
        <v>6.42</v>
      </c>
      <c r="AE50" s="9"/>
      <c r="AF50" s="9"/>
      <c r="AG50" s="9"/>
      <c r="AH50" s="9"/>
      <c r="AI50" s="9">
        <v>92.07</v>
      </c>
      <c r="AJ50" s="9"/>
      <c r="AK50" s="9">
        <v>0.38</v>
      </c>
      <c r="AL50" s="9"/>
      <c r="AM50" s="9"/>
      <c r="AN50" s="9"/>
      <c r="AO50" s="9"/>
      <c r="AP50" s="9"/>
      <c r="AQ50" s="9">
        <v>0.32</v>
      </c>
      <c r="AR50" s="9"/>
      <c r="AS50" s="9"/>
      <c r="AT50" s="9"/>
      <c r="AU50" s="9"/>
      <c r="AV50" s="9"/>
      <c r="AW50" s="9"/>
      <c r="AX50" s="9"/>
      <c r="AY50" s="9"/>
      <c r="AZ50" s="9"/>
      <c r="BA50" s="9"/>
      <c r="BB50" s="9"/>
      <c r="BC50" s="9"/>
      <c r="BD50" s="9"/>
      <c r="BE50" s="9"/>
      <c r="BF50" s="9"/>
      <c r="BG50" s="9"/>
      <c r="BH50" s="9"/>
      <c r="BI50" s="9"/>
      <c r="BJ50" s="9"/>
      <c r="BK50" s="9"/>
      <c r="BL50" s="9"/>
      <c r="BM50" s="9"/>
      <c r="BN50" s="9"/>
      <c r="BO50" s="9">
        <v>20.75</v>
      </c>
    </row>
    <row r="51" spans="1:68">
      <c r="A51" s="87">
        <v>82201</v>
      </c>
      <c r="B51" t="s">
        <v>2032</v>
      </c>
      <c r="C51" t="s">
        <v>2033</v>
      </c>
      <c r="D51" t="s">
        <v>163</v>
      </c>
      <c r="E51" s="87" t="s">
        <v>1900</v>
      </c>
      <c r="F51" s="177">
        <v>900312</v>
      </c>
      <c r="G51" s="87" t="s">
        <v>2034</v>
      </c>
      <c r="J51" s="177">
        <v>142.22</v>
      </c>
      <c r="K51" s="177">
        <v>67.86</v>
      </c>
      <c r="L51" s="177">
        <v>2.19</v>
      </c>
      <c r="M51" s="177">
        <v>2.4500000000000002</v>
      </c>
      <c r="N51" s="177">
        <v>27.61</v>
      </c>
      <c r="O51" s="177">
        <v>0.47</v>
      </c>
      <c r="P51" s="177">
        <v>0.03</v>
      </c>
      <c r="Q51" s="177">
        <v>0.09</v>
      </c>
      <c r="R51" s="177">
        <v>0.34</v>
      </c>
      <c r="S51" s="177"/>
      <c r="T51" s="177">
        <v>0.02</v>
      </c>
      <c r="U51" s="177">
        <v>5.21</v>
      </c>
      <c r="V51" s="177"/>
      <c r="W51" s="177">
        <v>0.47</v>
      </c>
      <c r="X51" s="177">
        <v>0</v>
      </c>
      <c r="Y51" s="177">
        <v>7.0000000000000007E-2</v>
      </c>
      <c r="Z51" s="177"/>
      <c r="AA51" s="177">
        <v>10.199999999999999</v>
      </c>
      <c r="AB51" s="177">
        <v>10.66</v>
      </c>
      <c r="AC51" s="177">
        <v>0</v>
      </c>
      <c r="AD51" s="177">
        <v>0</v>
      </c>
      <c r="AE51" s="177"/>
      <c r="AF51" s="177"/>
      <c r="AG51" s="177">
        <v>0</v>
      </c>
      <c r="AH51" s="177"/>
      <c r="AI51" s="177">
        <v>39.74</v>
      </c>
      <c r="AJ51" s="177">
        <v>7.0000000000000007E-2</v>
      </c>
      <c r="AK51" s="177">
        <v>0.21</v>
      </c>
      <c r="AL51" s="177">
        <v>10.49</v>
      </c>
      <c r="AM51" s="177"/>
      <c r="AN51" s="177">
        <v>44.3</v>
      </c>
      <c r="AO51" s="177">
        <v>55.93</v>
      </c>
      <c r="AP51" s="177"/>
      <c r="AQ51" s="177">
        <v>0.39</v>
      </c>
    </row>
    <row r="52" spans="1:68">
      <c r="A52" s="87">
        <v>85901</v>
      </c>
      <c r="B52" t="s">
        <v>2035</v>
      </c>
      <c r="C52" t="s">
        <v>2036</v>
      </c>
      <c r="E52" s="9" t="s">
        <v>1994</v>
      </c>
      <c r="F52" s="87">
        <v>167575</v>
      </c>
      <c r="G52" s="9" t="s">
        <v>2037</v>
      </c>
      <c r="J52">
        <v>207</v>
      </c>
      <c r="K52">
        <v>61</v>
      </c>
      <c r="L52">
        <v>3.5</v>
      </c>
      <c r="M52">
        <v>11</v>
      </c>
      <c r="N52">
        <v>23.6</v>
      </c>
      <c r="O52">
        <v>0.7</v>
      </c>
      <c r="P52">
        <v>4.1000000000000002E-2</v>
      </c>
      <c r="Q52">
        <v>0.24</v>
      </c>
      <c r="R52">
        <v>0.11600000000000001</v>
      </c>
      <c r="S52">
        <v>0.58099999999999996</v>
      </c>
      <c r="T52">
        <v>4.8000000000000001E-2</v>
      </c>
      <c r="U52">
        <v>5</v>
      </c>
      <c r="V52">
        <v>0.39</v>
      </c>
      <c r="W52">
        <v>0.6</v>
      </c>
      <c r="X52">
        <v>0.2</v>
      </c>
      <c r="Y52">
        <v>0.3</v>
      </c>
      <c r="Z52">
        <v>0.3</v>
      </c>
      <c r="AA52">
        <v>116</v>
      </c>
      <c r="AB52">
        <v>118</v>
      </c>
      <c r="AC52">
        <v>0</v>
      </c>
      <c r="AD52">
        <v>19</v>
      </c>
      <c r="AE52">
        <v>0</v>
      </c>
      <c r="AF52">
        <v>0</v>
      </c>
      <c r="AG52">
        <v>0</v>
      </c>
      <c r="AH52">
        <v>0</v>
      </c>
      <c r="AI52">
        <v>128</v>
      </c>
      <c r="AJ52">
        <v>2.3E-2</v>
      </c>
      <c r="AK52">
        <v>0.09</v>
      </c>
      <c r="AL52">
        <v>14</v>
      </c>
      <c r="AM52">
        <v>8.0000000000000002E-3</v>
      </c>
      <c r="AN52">
        <v>105</v>
      </c>
      <c r="AO52">
        <v>199</v>
      </c>
      <c r="AP52">
        <v>1.8</v>
      </c>
      <c r="AQ52">
        <v>0.69</v>
      </c>
      <c r="AR52">
        <v>6.79</v>
      </c>
      <c r="AS52">
        <v>2.97</v>
      </c>
      <c r="AT52">
        <v>0.45200000000000001</v>
      </c>
      <c r="AU52">
        <v>44</v>
      </c>
      <c r="AV52">
        <v>8.7999999999999995E-2</v>
      </c>
      <c r="AW52">
        <v>0.19500000000000001</v>
      </c>
      <c r="AX52">
        <v>0.316</v>
      </c>
      <c r="AY52">
        <v>0.25800000000000001</v>
      </c>
      <c r="AZ52">
        <v>8.1000000000000003E-2</v>
      </c>
      <c r="BA52">
        <v>2.9000000000000001E-2</v>
      </c>
      <c r="BB52">
        <v>0.157</v>
      </c>
      <c r="BC52">
        <v>0.14599999999999999</v>
      </c>
      <c r="BD52">
        <v>4.4999999999999998E-2</v>
      </c>
      <c r="BE52">
        <v>0.217</v>
      </c>
      <c r="BF52">
        <v>0.121</v>
      </c>
      <c r="BG52">
        <v>0.125</v>
      </c>
      <c r="BH52">
        <v>0.25</v>
      </c>
      <c r="BI52">
        <v>0.68100000000000005</v>
      </c>
      <c r="BJ52">
        <v>9.2999999999999999E-2</v>
      </c>
      <c r="BK52">
        <v>0.32600000000000001</v>
      </c>
      <c r="BL52">
        <v>0.17699999999999999</v>
      </c>
      <c r="BM52">
        <v>0.155</v>
      </c>
    </row>
    <row r="53" spans="1:68">
      <c r="A53" s="86">
        <v>62201</v>
      </c>
      <c r="B53" t="s">
        <v>2038</v>
      </c>
      <c r="C53" s="10" t="s">
        <v>2039</v>
      </c>
      <c r="D53" s="10"/>
      <c r="E53" s="48" t="s">
        <v>2040</v>
      </c>
      <c r="F53" s="87">
        <v>13181</v>
      </c>
      <c r="G53" s="9" t="s">
        <v>2041</v>
      </c>
      <c r="J53">
        <v>342</v>
      </c>
      <c r="L53">
        <v>3.5</v>
      </c>
      <c r="M53">
        <v>9.6999999999999993</v>
      </c>
      <c r="N53">
        <v>60.1</v>
      </c>
      <c r="O53" s="9">
        <v>2.76</v>
      </c>
      <c r="AI53">
        <v>76.34</v>
      </c>
      <c r="AK53">
        <v>0.42</v>
      </c>
    </row>
    <row r="54" spans="1:68">
      <c r="A54" s="86">
        <v>62502</v>
      </c>
      <c r="B54" t="s">
        <v>2042</v>
      </c>
      <c r="C54" s="10" t="s">
        <v>2043</v>
      </c>
      <c r="D54" s="10"/>
      <c r="E54" s="87" t="s">
        <v>2015</v>
      </c>
      <c r="F54" s="174" t="s">
        <v>2044</v>
      </c>
      <c r="G54" s="87" t="s">
        <v>2042</v>
      </c>
      <c r="J54">
        <v>217</v>
      </c>
      <c r="L54">
        <v>5.0999999999999996</v>
      </c>
      <c r="M54">
        <v>9.3000000000000007</v>
      </c>
      <c r="N54">
        <v>30</v>
      </c>
      <c r="P54" s="6">
        <v>0.11999999731779099</v>
      </c>
      <c r="Q54" s="6">
        <v>7.9999998211860657E-2</v>
      </c>
      <c r="R54" s="6">
        <v>1.1000000238418579</v>
      </c>
      <c r="T54" s="6">
        <v>0.15000000596046448</v>
      </c>
      <c r="U54" s="6">
        <v>44</v>
      </c>
      <c r="V54" s="6">
        <v>0</v>
      </c>
      <c r="W54" s="6">
        <v>0</v>
      </c>
      <c r="Y54" s="6">
        <v>0</v>
      </c>
      <c r="AA54" s="6">
        <v>0</v>
      </c>
      <c r="AB54" s="6">
        <v>0</v>
      </c>
      <c r="AC54" s="6">
        <v>0</v>
      </c>
      <c r="AD54" s="6">
        <v>0</v>
      </c>
      <c r="AI54" s="6">
        <v>65</v>
      </c>
      <c r="AK54" s="6">
        <v>1.5</v>
      </c>
      <c r="AQ54" s="6">
        <v>0.5</v>
      </c>
    </row>
    <row r="55" spans="1:68">
      <c r="A55" s="86">
        <v>62505</v>
      </c>
      <c r="B55" t="s">
        <v>2045</v>
      </c>
      <c r="C55" s="10" t="s">
        <v>2046</v>
      </c>
      <c r="D55" s="10"/>
      <c r="E55" s="48" t="s">
        <v>1910</v>
      </c>
      <c r="F55" s="87">
        <v>90011</v>
      </c>
      <c r="G55" s="87" t="s">
        <v>2047</v>
      </c>
      <c r="J55" s="9">
        <v>220.38</v>
      </c>
      <c r="K55" s="9">
        <v>84.99</v>
      </c>
      <c r="L55" s="9">
        <v>3.41</v>
      </c>
      <c r="M55" s="9">
        <v>14.71</v>
      </c>
      <c r="N55" s="9">
        <v>18.899999999999999</v>
      </c>
      <c r="O55" s="9">
        <v>3.3</v>
      </c>
      <c r="P55" s="9">
        <v>0.11</v>
      </c>
      <c r="Q55" s="9">
        <v>0.06</v>
      </c>
      <c r="R55" s="9">
        <v>1.31</v>
      </c>
      <c r="T55" s="9">
        <v>0.15</v>
      </c>
      <c r="U55" s="9">
        <v>27.67</v>
      </c>
      <c r="V55" s="9">
        <v>0</v>
      </c>
      <c r="W55" s="9">
        <v>24.11</v>
      </c>
      <c r="Y55" s="9">
        <v>0.24</v>
      </c>
      <c r="AA55" s="9">
        <v>0</v>
      </c>
      <c r="AB55" s="9">
        <v>20.93</v>
      </c>
      <c r="AC55" s="9">
        <v>1.01</v>
      </c>
      <c r="AD55" s="9">
        <v>124.96</v>
      </c>
      <c r="AI55" s="9">
        <v>59.23</v>
      </c>
      <c r="AK55" s="9">
        <v>3.14</v>
      </c>
      <c r="AQ55" s="9">
        <v>0.76</v>
      </c>
      <c r="BO55" s="9">
        <v>52.47</v>
      </c>
    </row>
    <row r="56" spans="1:68">
      <c r="A56" s="86">
        <v>62202</v>
      </c>
      <c r="B56" t="s">
        <v>2048</v>
      </c>
      <c r="C56" s="10" t="s">
        <v>2049</v>
      </c>
      <c r="D56" s="10"/>
      <c r="E56" s="225" t="s">
        <v>76</v>
      </c>
      <c r="F56" s="87">
        <v>10002</v>
      </c>
      <c r="G56" s="171" t="s">
        <v>2050</v>
      </c>
      <c r="J56" s="170">
        <v>270</v>
      </c>
      <c r="K56" s="170">
        <v>33</v>
      </c>
      <c r="L56" s="170">
        <v>8.8000000000000007</v>
      </c>
      <c r="M56" s="170">
        <v>2.8</v>
      </c>
      <c r="N56" s="170">
        <v>50.9</v>
      </c>
      <c r="O56" s="170">
        <v>2.8</v>
      </c>
      <c r="P56" s="170">
        <v>0.15</v>
      </c>
      <c r="Q56" s="170">
        <v>0.05</v>
      </c>
      <c r="R56" s="170">
        <v>1.5</v>
      </c>
      <c r="S56" s="170">
        <v>0.4</v>
      </c>
      <c r="T56" s="170">
        <v>0.05</v>
      </c>
      <c r="U56" s="170">
        <v>29</v>
      </c>
      <c r="V56" s="170">
        <v>0</v>
      </c>
      <c r="W56" s="170">
        <v>0</v>
      </c>
      <c r="X56" s="170">
        <v>0</v>
      </c>
      <c r="Y56" s="170">
        <v>0.5</v>
      </c>
      <c r="Z56" s="170" t="s">
        <v>1530</v>
      </c>
      <c r="AA56" s="170">
        <v>0</v>
      </c>
      <c r="AB56" s="170">
        <v>0</v>
      </c>
      <c r="AC56" s="170" t="s">
        <v>1530</v>
      </c>
      <c r="AD56" s="170">
        <v>0</v>
      </c>
      <c r="AE56" s="170" t="s">
        <v>1530</v>
      </c>
      <c r="AF56" s="170" t="s">
        <v>1530</v>
      </c>
      <c r="AG56" s="170" t="s">
        <v>1530</v>
      </c>
      <c r="AH56" s="170" t="s">
        <v>1530</v>
      </c>
      <c r="AI56" s="170">
        <v>26</v>
      </c>
      <c r="AJ56" s="170">
        <v>0.13</v>
      </c>
      <c r="AK56" s="170">
        <v>0.99</v>
      </c>
      <c r="AL56" s="170">
        <v>22</v>
      </c>
      <c r="AM56" s="170" t="s">
        <v>1530</v>
      </c>
      <c r="AN56" s="170">
        <v>96</v>
      </c>
      <c r="AO56" s="170">
        <v>133</v>
      </c>
      <c r="AP56" s="170" t="s">
        <v>1530</v>
      </c>
      <c r="AQ56" s="170">
        <v>0.73</v>
      </c>
      <c r="AR56" s="170">
        <v>0.6</v>
      </c>
      <c r="AS56" s="170">
        <v>0.9</v>
      </c>
      <c r="AT56" s="170">
        <v>1</v>
      </c>
      <c r="AU56" s="170">
        <v>0</v>
      </c>
      <c r="AV56" s="170" t="s">
        <v>1530</v>
      </c>
      <c r="AW56" s="170" t="s">
        <v>1530</v>
      </c>
      <c r="AX56" s="170" t="s">
        <v>1530</v>
      </c>
      <c r="AY56" s="170" t="s">
        <v>1530</v>
      </c>
      <c r="AZ56" s="170" t="s">
        <v>1530</v>
      </c>
      <c r="BA56" s="170" t="s">
        <v>1530</v>
      </c>
      <c r="BB56" s="170" t="s">
        <v>1530</v>
      </c>
      <c r="BC56" s="170" t="s">
        <v>1530</v>
      </c>
      <c r="BD56" s="170" t="s">
        <v>1530</v>
      </c>
      <c r="BE56" s="170" t="s">
        <v>1530</v>
      </c>
      <c r="BF56" s="170" t="s">
        <v>1530</v>
      </c>
      <c r="BG56" s="170" t="s">
        <v>1530</v>
      </c>
      <c r="BH56" s="170" t="s">
        <v>1530</v>
      </c>
      <c r="BI56" s="170" t="s">
        <v>1530</v>
      </c>
      <c r="BJ56" s="170" t="s">
        <v>1530</v>
      </c>
      <c r="BK56" s="170" t="s">
        <v>1530</v>
      </c>
      <c r="BL56" s="170" t="s">
        <v>1530</v>
      </c>
      <c r="BM56" s="170" t="s">
        <v>1530</v>
      </c>
      <c r="BN56" s="170" t="s">
        <v>1530</v>
      </c>
      <c r="BO56" s="170" t="s">
        <v>1530</v>
      </c>
      <c r="BP56" s="170" t="s">
        <v>1530</v>
      </c>
    </row>
    <row r="57" spans="1:68">
      <c r="A57" s="86">
        <v>65301</v>
      </c>
      <c r="B57" t="s">
        <v>2051</v>
      </c>
      <c r="C57" s="10" t="s">
        <v>2052</v>
      </c>
      <c r="D57" s="10" t="s">
        <v>170</v>
      </c>
      <c r="E57" t="s">
        <v>1980</v>
      </c>
      <c r="F57" s="176" t="s">
        <v>2053</v>
      </c>
      <c r="G57" s="139" t="s">
        <v>2054</v>
      </c>
      <c r="J57" s="6">
        <v>446</v>
      </c>
      <c r="L57" s="6">
        <v>8.5</v>
      </c>
      <c r="M57" s="6">
        <v>15.640000343322754</v>
      </c>
      <c r="N57" s="6">
        <v>71.860000610351563</v>
      </c>
      <c r="O57" s="6">
        <v>6.9000000953674316</v>
      </c>
      <c r="P57" s="6">
        <v>4.1000001132488251E-2</v>
      </c>
      <c r="Q57" s="6">
        <v>0.12999999523162842</v>
      </c>
      <c r="R57" s="6">
        <v>1.6940000057220459</v>
      </c>
      <c r="T57" s="6">
        <v>0.22900000214576721</v>
      </c>
      <c r="U57" s="6">
        <v>0</v>
      </c>
      <c r="V57" s="6">
        <v>0</v>
      </c>
      <c r="W57" s="6">
        <v>0</v>
      </c>
      <c r="Y57" s="6">
        <v>1.9800000190734863</v>
      </c>
      <c r="AA57">
        <v>0</v>
      </c>
      <c r="AB57">
        <v>0</v>
      </c>
      <c r="AC57">
        <v>0</v>
      </c>
      <c r="AD57">
        <v>0</v>
      </c>
      <c r="AI57" s="6">
        <v>9</v>
      </c>
      <c r="AK57" s="6">
        <v>1.6699999570846558</v>
      </c>
      <c r="AQ57" s="6">
        <v>1.7799999713897705</v>
      </c>
    </row>
    <row r="58" spans="1:68">
      <c r="A58" s="86">
        <v>63302</v>
      </c>
      <c r="B58" t="s">
        <v>2055</v>
      </c>
      <c r="C58" s="10" t="s">
        <v>2056</v>
      </c>
      <c r="D58" t="s">
        <v>70</v>
      </c>
      <c r="E58" s="48" t="s">
        <v>2057</v>
      </c>
      <c r="F58">
        <v>81200</v>
      </c>
      <c r="G58" s="9" t="s">
        <v>2058</v>
      </c>
      <c r="J58" s="9">
        <v>321</v>
      </c>
      <c r="K58" s="9"/>
      <c r="L58" s="9">
        <v>22</v>
      </c>
      <c r="M58" s="9">
        <v>0.5</v>
      </c>
      <c r="N58" s="9">
        <v>57.2</v>
      </c>
      <c r="O58" s="9">
        <v>5.3</v>
      </c>
      <c r="P58" s="9">
        <v>0.42</v>
      </c>
      <c r="Q58" s="9">
        <v>0.2</v>
      </c>
      <c r="R58" s="9">
        <v>1.5</v>
      </c>
      <c r="S58" s="9"/>
      <c r="T58" s="9"/>
      <c r="U58" s="9"/>
      <c r="V58" s="9"/>
      <c r="W58" s="9">
        <v>0</v>
      </c>
      <c r="X58" s="9"/>
      <c r="Y58" s="9"/>
      <c r="Z58" s="9"/>
      <c r="AA58" s="9"/>
      <c r="AB58" s="9"/>
      <c r="AC58" s="9"/>
      <c r="AD58" s="9">
        <v>71</v>
      </c>
      <c r="AE58" s="9"/>
      <c r="AF58" s="9"/>
      <c r="AG58" s="9"/>
      <c r="AH58" s="9"/>
      <c r="AI58" s="9">
        <v>287</v>
      </c>
      <c r="AJ58" s="9"/>
      <c r="AK58" s="9">
        <v>6.77</v>
      </c>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row>
    <row r="59" spans="1:68">
      <c r="A59" s="86">
        <v>63303</v>
      </c>
      <c r="B59" t="s">
        <v>2059</v>
      </c>
      <c r="C59" s="10" t="s">
        <v>2060</v>
      </c>
      <c r="D59" t="s">
        <v>70</v>
      </c>
      <c r="E59" s="48" t="s">
        <v>2061</v>
      </c>
      <c r="F59" s="87">
        <v>83600</v>
      </c>
      <c r="G59" s="87" t="s">
        <v>2062</v>
      </c>
      <c r="J59">
        <v>445.49</v>
      </c>
      <c r="L59">
        <v>15.13</v>
      </c>
      <c r="M59">
        <v>16.3</v>
      </c>
      <c r="N59">
        <v>59.48</v>
      </c>
      <c r="AR59">
        <v>6.92</v>
      </c>
    </row>
    <row r="60" spans="1:68">
      <c r="A60" s="86">
        <v>63501</v>
      </c>
      <c r="B60" t="s">
        <v>2063</v>
      </c>
      <c r="C60" s="10" t="s">
        <v>2064</v>
      </c>
      <c r="E60" s="48" t="s">
        <v>2065</v>
      </c>
      <c r="F60" s="87">
        <v>13001</v>
      </c>
      <c r="G60" s="87" t="s">
        <v>2066</v>
      </c>
      <c r="J60">
        <v>315</v>
      </c>
      <c r="L60">
        <v>21</v>
      </c>
      <c r="M60">
        <v>1</v>
      </c>
      <c r="N60">
        <v>56</v>
      </c>
      <c r="O60">
        <v>10</v>
      </c>
      <c r="AO60">
        <v>660</v>
      </c>
      <c r="AU60">
        <v>0</v>
      </c>
    </row>
    <row r="61" spans="1:68">
      <c r="A61" s="86">
        <v>62903</v>
      </c>
      <c r="B61" t="s">
        <v>2067</v>
      </c>
      <c r="C61" s="10" t="s">
        <v>2068</v>
      </c>
      <c r="D61" s="10"/>
      <c r="E61" s="225" t="s">
        <v>76</v>
      </c>
      <c r="F61" s="87">
        <v>10034</v>
      </c>
      <c r="G61" s="87" t="s">
        <v>2069</v>
      </c>
      <c r="J61" s="170">
        <v>344</v>
      </c>
      <c r="K61" s="170">
        <v>24.3</v>
      </c>
      <c r="L61" s="170">
        <v>5.82</v>
      </c>
      <c r="M61" s="170">
        <v>9.99</v>
      </c>
      <c r="N61" s="170">
        <v>56.7</v>
      </c>
      <c r="O61" s="170">
        <v>2.41</v>
      </c>
      <c r="P61" s="170">
        <v>0.05</v>
      </c>
      <c r="Q61" s="170">
        <v>0.03</v>
      </c>
      <c r="R61" s="170">
        <v>1</v>
      </c>
      <c r="S61" s="170" t="s">
        <v>1530</v>
      </c>
      <c r="T61" s="170">
        <v>0.05</v>
      </c>
      <c r="U61" s="170">
        <v>7.42</v>
      </c>
      <c r="V61" s="170" t="s">
        <v>1530</v>
      </c>
      <c r="W61" s="170">
        <v>0</v>
      </c>
      <c r="X61" s="170">
        <v>0</v>
      </c>
      <c r="Y61" s="170">
        <v>0.93</v>
      </c>
      <c r="Z61" s="170" t="s">
        <v>1530</v>
      </c>
      <c r="AA61" s="170">
        <v>0</v>
      </c>
      <c r="AB61" s="170">
        <v>0</v>
      </c>
      <c r="AC61" s="170">
        <v>0</v>
      </c>
      <c r="AD61" s="170">
        <v>0</v>
      </c>
      <c r="AE61" s="170" t="s">
        <v>1530</v>
      </c>
      <c r="AF61" s="170" t="s">
        <v>1530</v>
      </c>
      <c r="AG61" s="170" t="s">
        <v>1530</v>
      </c>
      <c r="AH61" s="170" t="s">
        <v>1530</v>
      </c>
      <c r="AI61" s="170">
        <v>83.2</v>
      </c>
      <c r="AJ61" s="170">
        <v>0.13</v>
      </c>
      <c r="AK61" s="170">
        <v>2.13</v>
      </c>
      <c r="AL61" s="170">
        <v>32.21</v>
      </c>
      <c r="AM61" s="170" t="s">
        <v>1530</v>
      </c>
      <c r="AN61" s="170">
        <v>131.29</v>
      </c>
      <c r="AO61" s="170">
        <v>116.03</v>
      </c>
      <c r="AP61" s="170" t="s">
        <v>1530</v>
      </c>
      <c r="AQ61" s="170">
        <v>0.87</v>
      </c>
      <c r="AR61" s="170" t="s">
        <v>1530</v>
      </c>
      <c r="AS61" s="170" t="s">
        <v>1530</v>
      </c>
      <c r="AT61" s="170" t="s">
        <v>1530</v>
      </c>
      <c r="AU61" s="170" t="s">
        <v>1530</v>
      </c>
      <c r="AV61" s="170" t="s">
        <v>1530</v>
      </c>
      <c r="AW61" s="170" t="s">
        <v>1530</v>
      </c>
      <c r="AX61" s="170" t="s">
        <v>1530</v>
      </c>
      <c r="AY61" s="170" t="s">
        <v>1530</v>
      </c>
      <c r="AZ61" s="170" t="s">
        <v>1530</v>
      </c>
      <c r="BA61" s="170" t="s">
        <v>1530</v>
      </c>
      <c r="BB61" s="170" t="s">
        <v>1530</v>
      </c>
      <c r="BC61" s="170" t="s">
        <v>1530</v>
      </c>
      <c r="BD61" s="170" t="s">
        <v>1530</v>
      </c>
      <c r="BE61" s="170" t="s">
        <v>1530</v>
      </c>
      <c r="BF61" s="170" t="s">
        <v>1530</v>
      </c>
      <c r="BG61" s="170" t="s">
        <v>1530</v>
      </c>
      <c r="BH61" s="170" t="s">
        <v>1530</v>
      </c>
      <c r="BI61" s="170" t="s">
        <v>1530</v>
      </c>
      <c r="BJ61" s="170" t="s">
        <v>1530</v>
      </c>
      <c r="BK61" s="170" t="s">
        <v>1530</v>
      </c>
      <c r="BL61" s="170" t="s">
        <v>1530</v>
      </c>
      <c r="BM61" s="170" t="s">
        <v>1530</v>
      </c>
      <c r="BN61" s="170" t="s">
        <v>1530</v>
      </c>
      <c r="BO61" s="170" t="s">
        <v>1530</v>
      </c>
      <c r="BP61" s="170" t="s">
        <v>1530</v>
      </c>
    </row>
    <row r="62" spans="1:68">
      <c r="A62" s="87">
        <v>63304</v>
      </c>
      <c r="B62" t="s">
        <v>2070</v>
      </c>
      <c r="C62" t="s">
        <v>2071</v>
      </c>
      <c r="D62" t="s">
        <v>498</v>
      </c>
      <c r="E62" s="87" t="s">
        <v>2015</v>
      </c>
      <c r="F62" s="48" t="s">
        <v>2072</v>
      </c>
      <c r="G62" t="s">
        <v>2073</v>
      </c>
      <c r="H62" s="87"/>
      <c r="J62" s="6">
        <v>324</v>
      </c>
      <c r="L62" s="6">
        <v>21.799999237060547</v>
      </c>
      <c r="M62" s="6">
        <v>1.8999999761581421</v>
      </c>
      <c r="N62" s="6">
        <v>58.599998474121094</v>
      </c>
      <c r="P62" s="6">
        <v>0.86000001430511475</v>
      </c>
      <c r="Q62" s="6">
        <v>0.12999999523162842</v>
      </c>
      <c r="R62" s="6">
        <v>2.2999999523162842</v>
      </c>
      <c r="T62" s="6">
        <v>0</v>
      </c>
      <c r="U62" s="6">
        <v>100</v>
      </c>
      <c r="V62" s="6">
        <v>30</v>
      </c>
      <c r="W62" s="6">
        <v>0</v>
      </c>
      <c r="AA62" s="6">
        <v>0</v>
      </c>
      <c r="AB62" s="6">
        <v>5</v>
      </c>
      <c r="AC62" s="6">
        <v>0</v>
      </c>
      <c r="AD62" s="6">
        <v>30</v>
      </c>
      <c r="AI62" s="6">
        <v>37</v>
      </c>
      <c r="AK62" s="6">
        <v>2.7999999523162842</v>
      </c>
      <c r="AQ62" s="6">
        <v>2.4000000953674316</v>
      </c>
    </row>
    <row r="63" spans="1:68">
      <c r="A63" s="87">
        <v>71101</v>
      </c>
      <c r="B63" s="87" t="s">
        <v>2074</v>
      </c>
      <c r="C63" s="87" t="s">
        <v>2075</v>
      </c>
      <c r="D63" t="s">
        <v>2076</v>
      </c>
      <c r="E63" s="225" t="s">
        <v>76</v>
      </c>
      <c r="F63" s="87">
        <v>140008</v>
      </c>
      <c r="G63" s="87" t="s">
        <v>2077</v>
      </c>
      <c r="H63" s="87"/>
      <c r="J63" s="170">
        <v>29</v>
      </c>
      <c r="K63" s="170">
        <v>92.43</v>
      </c>
      <c r="L63" s="170">
        <v>0.21</v>
      </c>
      <c r="M63" s="170">
        <v>0</v>
      </c>
      <c r="N63" s="170">
        <v>7.09</v>
      </c>
      <c r="O63" s="170">
        <v>0.09</v>
      </c>
      <c r="P63" s="170">
        <v>0</v>
      </c>
      <c r="Q63" s="170">
        <v>0.01</v>
      </c>
      <c r="R63" s="170">
        <v>0.11</v>
      </c>
      <c r="S63" s="170" t="s">
        <v>1530</v>
      </c>
      <c r="T63" s="170">
        <v>0</v>
      </c>
      <c r="U63" s="170">
        <v>1.0900000000000001</v>
      </c>
      <c r="V63" s="170">
        <v>0</v>
      </c>
      <c r="W63" s="170">
        <v>0</v>
      </c>
      <c r="X63" s="170">
        <v>0</v>
      </c>
      <c r="Y63" s="170" t="s">
        <v>1530</v>
      </c>
      <c r="Z63" s="170" t="s">
        <v>1530</v>
      </c>
      <c r="AA63" s="170">
        <v>0</v>
      </c>
      <c r="AB63" s="170">
        <v>0</v>
      </c>
      <c r="AC63" s="170">
        <v>0</v>
      </c>
      <c r="AD63" s="170">
        <v>0</v>
      </c>
      <c r="AE63" s="170" t="s">
        <v>1530</v>
      </c>
      <c r="AF63" s="170" t="s">
        <v>1530</v>
      </c>
      <c r="AG63" s="170" t="s">
        <v>1530</v>
      </c>
      <c r="AH63" s="170" t="s">
        <v>1530</v>
      </c>
      <c r="AI63" s="170">
        <v>5.0599999999999996</v>
      </c>
      <c r="AJ63" s="170">
        <v>0.01</v>
      </c>
      <c r="AK63" s="170">
        <v>0.14000000000000001</v>
      </c>
      <c r="AL63" s="170">
        <v>4.42</v>
      </c>
      <c r="AM63" s="170" t="s">
        <v>1530</v>
      </c>
      <c r="AN63" s="170">
        <v>2.62</v>
      </c>
      <c r="AO63" s="170">
        <v>64.34</v>
      </c>
      <c r="AP63" s="170" t="s">
        <v>1530</v>
      </c>
      <c r="AQ63" s="170">
        <v>0.03</v>
      </c>
      <c r="AR63" s="170" t="s">
        <v>1530</v>
      </c>
      <c r="AS63" s="170" t="s">
        <v>1530</v>
      </c>
      <c r="AT63" s="170" t="s">
        <v>1530</v>
      </c>
      <c r="AU63" s="170" t="s">
        <v>1530</v>
      </c>
      <c r="AV63" s="170" t="s">
        <v>1530</v>
      </c>
      <c r="AW63" s="170" t="s">
        <v>1530</v>
      </c>
      <c r="AX63" s="170" t="s">
        <v>1530</v>
      </c>
      <c r="AY63" s="170" t="s">
        <v>1530</v>
      </c>
      <c r="AZ63" s="170" t="s">
        <v>1530</v>
      </c>
      <c r="BA63" s="170" t="s">
        <v>1530</v>
      </c>
      <c r="BB63" s="170" t="s">
        <v>1530</v>
      </c>
      <c r="BC63" s="170" t="s">
        <v>1530</v>
      </c>
      <c r="BD63" s="170" t="s">
        <v>1530</v>
      </c>
      <c r="BE63" s="170" t="s">
        <v>1530</v>
      </c>
      <c r="BF63" s="170" t="s">
        <v>1530</v>
      </c>
      <c r="BG63" s="170" t="s">
        <v>1530</v>
      </c>
      <c r="BH63" s="170" t="s">
        <v>1530</v>
      </c>
      <c r="BI63" s="170" t="s">
        <v>1530</v>
      </c>
      <c r="BJ63" s="170" t="s">
        <v>1530</v>
      </c>
      <c r="BK63" s="170" t="s">
        <v>1530</v>
      </c>
      <c r="BL63" s="170" t="s">
        <v>1530</v>
      </c>
      <c r="BM63" s="170" t="s">
        <v>1530</v>
      </c>
      <c r="BN63" s="170" t="s">
        <v>1530</v>
      </c>
      <c r="BO63" s="170" t="s">
        <v>1530</v>
      </c>
      <c r="BP63" s="170" t="s">
        <v>1530</v>
      </c>
    </row>
    <row r="64" spans="1:68">
      <c r="A64" s="87">
        <v>71301</v>
      </c>
      <c r="B64" s="87" t="s">
        <v>2078</v>
      </c>
      <c r="C64" s="87" t="s">
        <v>2079</v>
      </c>
      <c r="D64" s="87"/>
      <c r="E64" s="225" t="s">
        <v>76</v>
      </c>
      <c r="F64" s="87">
        <v>140007</v>
      </c>
      <c r="G64" s="87" t="s">
        <v>2080</v>
      </c>
      <c r="J64" s="170">
        <v>41</v>
      </c>
      <c r="K64" s="170">
        <v>90.44</v>
      </c>
      <c r="L64" s="170">
        <v>0.73</v>
      </c>
      <c r="M64" s="170">
        <v>0.78</v>
      </c>
      <c r="N64" s="170">
        <v>7.59</v>
      </c>
      <c r="O64" s="170">
        <v>0.21</v>
      </c>
      <c r="P64" s="170">
        <v>0.01</v>
      </c>
      <c r="Q64" s="170">
        <v>0.04</v>
      </c>
      <c r="R64" s="170">
        <v>0.11</v>
      </c>
      <c r="S64" s="170" t="s">
        <v>1530</v>
      </c>
      <c r="T64" s="170">
        <v>0.01</v>
      </c>
      <c r="U64" s="170">
        <v>0.98</v>
      </c>
      <c r="V64" s="170">
        <v>0</v>
      </c>
      <c r="W64" s="170">
        <v>0.27</v>
      </c>
      <c r="X64" s="170">
        <v>0</v>
      </c>
      <c r="Y64" s="170" t="s">
        <v>1530</v>
      </c>
      <c r="Z64" s="170" t="s">
        <v>1530</v>
      </c>
      <c r="AA64" s="170">
        <v>5.87</v>
      </c>
      <c r="AB64" s="170">
        <v>6.13</v>
      </c>
      <c r="AC64" s="170">
        <v>0</v>
      </c>
      <c r="AD64" s="170">
        <v>5.28</v>
      </c>
      <c r="AE64" s="170" t="s">
        <v>1530</v>
      </c>
      <c r="AF64" s="170" t="s">
        <v>1530</v>
      </c>
      <c r="AG64" s="170" t="s">
        <v>1530</v>
      </c>
      <c r="AH64" s="170" t="s">
        <v>1530</v>
      </c>
      <c r="AI64" s="170">
        <v>28.3</v>
      </c>
      <c r="AJ64" s="170">
        <v>0.02</v>
      </c>
      <c r="AK64" s="170">
        <v>0.41</v>
      </c>
      <c r="AL64" s="170">
        <v>5.25</v>
      </c>
      <c r="AM64" s="170" t="s">
        <v>1530</v>
      </c>
      <c r="AN64" s="170">
        <v>23.28</v>
      </c>
      <c r="AO64" s="170">
        <v>48.38</v>
      </c>
      <c r="AP64" s="170" t="s">
        <v>1530</v>
      </c>
      <c r="AQ64" s="170">
        <v>0.11</v>
      </c>
      <c r="AR64" s="170" t="s">
        <v>1530</v>
      </c>
      <c r="AS64" s="170" t="s">
        <v>1530</v>
      </c>
      <c r="AT64" s="170" t="s">
        <v>1530</v>
      </c>
      <c r="AU64" s="170" t="s">
        <v>1530</v>
      </c>
      <c r="AV64" s="170" t="s">
        <v>1530</v>
      </c>
      <c r="AW64" s="170" t="s">
        <v>1530</v>
      </c>
      <c r="AX64" s="170" t="s">
        <v>1530</v>
      </c>
      <c r="AY64" s="170" t="s">
        <v>1530</v>
      </c>
      <c r="AZ64" s="170" t="s">
        <v>1530</v>
      </c>
      <c r="BA64" s="170" t="s">
        <v>1530</v>
      </c>
      <c r="BB64" s="170" t="s">
        <v>1530</v>
      </c>
      <c r="BC64" s="170" t="s">
        <v>1530</v>
      </c>
      <c r="BD64" s="170" t="s">
        <v>1530</v>
      </c>
      <c r="BE64" s="170" t="s">
        <v>1530</v>
      </c>
      <c r="BF64" s="170" t="s">
        <v>1530</v>
      </c>
      <c r="BG64" s="170" t="s">
        <v>1530</v>
      </c>
      <c r="BH64" s="170" t="s">
        <v>1530</v>
      </c>
      <c r="BI64" s="170" t="s">
        <v>1530</v>
      </c>
      <c r="BJ64" s="170" t="s">
        <v>1530</v>
      </c>
      <c r="BK64" s="170" t="s">
        <v>1530</v>
      </c>
      <c r="BL64" s="170" t="s">
        <v>1530</v>
      </c>
      <c r="BM64" s="170" t="s">
        <v>1530</v>
      </c>
      <c r="BN64" s="170" t="s">
        <v>1530</v>
      </c>
      <c r="BO64" s="170" t="s">
        <v>1530</v>
      </c>
      <c r="BP64" s="170" t="s">
        <v>1530</v>
      </c>
    </row>
    <row r="65" spans="1:80">
      <c r="A65" s="87">
        <v>71202</v>
      </c>
      <c r="B65" s="87" t="s">
        <v>2081</v>
      </c>
      <c r="C65" s="87" t="s">
        <v>2082</v>
      </c>
      <c r="D65" s="87"/>
      <c r="E65" s="87" t="s">
        <v>2015</v>
      </c>
      <c r="F65" t="s">
        <v>2083</v>
      </c>
      <c r="G65" t="s">
        <v>2084</v>
      </c>
      <c r="J65" s="6">
        <v>40.900001525878906</v>
      </c>
      <c r="L65" s="6">
        <v>0.13500000536441803</v>
      </c>
      <c r="M65" s="6">
        <v>2.4000000208616257E-2</v>
      </c>
      <c r="N65" s="6">
        <v>10.687999725341797</v>
      </c>
      <c r="O65" s="6">
        <v>2.9999999329447746E-2</v>
      </c>
      <c r="P65" s="6">
        <v>2.4000001139938831E-3</v>
      </c>
      <c r="Q65" s="6">
        <v>1.3399999588727951E-2</v>
      </c>
      <c r="R65" s="6">
        <v>9.100000374019146E-3</v>
      </c>
      <c r="T65" s="6">
        <v>4.6000001020729542E-3</v>
      </c>
      <c r="U65" s="6">
        <v>3</v>
      </c>
      <c r="V65" s="6">
        <v>0</v>
      </c>
      <c r="W65" s="6">
        <v>3.869999885559082</v>
      </c>
      <c r="Y65" s="6">
        <v>1.4999999664723873E-2</v>
      </c>
      <c r="AA65" s="6">
        <v>0</v>
      </c>
      <c r="AB65" s="6">
        <v>0</v>
      </c>
      <c r="AC65" s="6">
        <v>0</v>
      </c>
      <c r="AD65" s="6">
        <v>0.10000000149011612</v>
      </c>
      <c r="AI65" s="6">
        <v>0.69999998807907104</v>
      </c>
      <c r="AK65" s="6">
        <v>1.3000000268220901E-2</v>
      </c>
      <c r="AQ65" s="6">
        <v>6.0000000521540642E-3</v>
      </c>
    </row>
    <row r="66" spans="1:80">
      <c r="A66" s="87">
        <v>76101</v>
      </c>
      <c r="B66" s="87" t="s">
        <v>2085</v>
      </c>
      <c r="C66" s="87" t="s">
        <v>2086</v>
      </c>
      <c r="D66" t="s">
        <v>706</v>
      </c>
      <c r="E66" s="48" t="s">
        <v>2087</v>
      </c>
      <c r="F66" t="s">
        <v>2088</v>
      </c>
      <c r="G66" t="s">
        <v>2085</v>
      </c>
      <c r="J66" s="9">
        <v>9</v>
      </c>
      <c r="K66" s="9"/>
      <c r="L66" s="9">
        <v>0.52</v>
      </c>
      <c r="M66" s="9">
        <v>0.42</v>
      </c>
      <c r="N66" s="9">
        <v>0.5</v>
      </c>
      <c r="O66" s="9">
        <v>0</v>
      </c>
      <c r="P66" s="9">
        <v>0.01</v>
      </c>
      <c r="Q66" s="9">
        <v>0.11</v>
      </c>
      <c r="R66" s="9">
        <v>0.19</v>
      </c>
      <c r="S66" s="9"/>
      <c r="T66" s="9">
        <v>0.01</v>
      </c>
      <c r="U66" s="9">
        <v>5</v>
      </c>
      <c r="V66" s="9">
        <v>0</v>
      </c>
      <c r="W66" s="9">
        <v>0</v>
      </c>
      <c r="X66" s="9"/>
      <c r="Y66" s="9">
        <v>0.02</v>
      </c>
      <c r="Z66" s="9"/>
      <c r="AA66" s="9">
        <v>6</v>
      </c>
      <c r="AB66" s="9">
        <v>6</v>
      </c>
      <c r="AC66" s="9">
        <v>0</v>
      </c>
      <c r="AD66" s="9">
        <v>0</v>
      </c>
      <c r="AE66" s="9"/>
      <c r="AF66" s="9"/>
      <c r="AG66" s="9"/>
      <c r="AH66" s="9"/>
      <c r="AI66" s="9">
        <v>15</v>
      </c>
      <c r="AJ66" s="9"/>
      <c r="AK66" s="9">
        <v>0.01</v>
      </c>
      <c r="AL66" s="9"/>
      <c r="AM66" s="9"/>
      <c r="AN66" s="9"/>
      <c r="AO66" s="9"/>
      <c r="AP66" s="9"/>
      <c r="AQ66" s="9">
        <v>0.12</v>
      </c>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row>
    <row r="67" spans="1:80" ht="29.45">
      <c r="A67" s="86">
        <v>56201</v>
      </c>
      <c r="B67" s="168" t="s">
        <v>2089</v>
      </c>
      <c r="C67" s="223" t="s">
        <v>640</v>
      </c>
      <c r="D67" s="135" t="s">
        <v>604</v>
      </c>
      <c r="E67" t="s">
        <v>76</v>
      </c>
      <c r="F67" s="170">
        <v>110006</v>
      </c>
      <c r="G67" s="170" t="s">
        <v>2090</v>
      </c>
      <c r="J67" s="170">
        <v>179</v>
      </c>
      <c r="K67" s="170">
        <v>72.86</v>
      </c>
      <c r="L67" s="170">
        <v>15.11</v>
      </c>
      <c r="M67" s="170">
        <v>13.18</v>
      </c>
      <c r="N67" s="170">
        <v>0</v>
      </c>
      <c r="O67" s="170">
        <v>0</v>
      </c>
      <c r="P67" s="170">
        <v>0.17</v>
      </c>
      <c r="Q67" s="170">
        <v>0.36</v>
      </c>
      <c r="R67" s="170">
        <v>0.09</v>
      </c>
      <c r="S67" s="170" t="s">
        <v>1530</v>
      </c>
      <c r="T67" s="170">
        <v>0.14000000000000001</v>
      </c>
      <c r="U67" s="170">
        <v>45.45</v>
      </c>
      <c r="V67" s="170" t="s">
        <v>1530</v>
      </c>
      <c r="W67" s="170">
        <v>0</v>
      </c>
      <c r="X67" s="170">
        <v>2.63</v>
      </c>
      <c r="Y67" s="170">
        <v>1.36</v>
      </c>
      <c r="Z67" s="170" t="s">
        <v>1530</v>
      </c>
      <c r="AA67" s="170">
        <v>229.42</v>
      </c>
      <c r="AB67" s="170">
        <v>229.42</v>
      </c>
      <c r="AC67" s="170">
        <v>0</v>
      </c>
      <c r="AD67" s="170">
        <v>0</v>
      </c>
      <c r="AE67" s="170" t="s">
        <v>1530</v>
      </c>
      <c r="AF67" s="170" t="s">
        <v>1530</v>
      </c>
      <c r="AG67" s="170" t="s">
        <v>1530</v>
      </c>
      <c r="AH67" s="170" t="s">
        <v>1530</v>
      </c>
      <c r="AI67" s="170">
        <v>68.05</v>
      </c>
      <c r="AJ67" s="170">
        <v>0.33</v>
      </c>
      <c r="AK67" s="170">
        <v>1.9</v>
      </c>
      <c r="AL67" s="170">
        <v>12.94</v>
      </c>
      <c r="AM67" s="170" t="s">
        <v>1530</v>
      </c>
      <c r="AN67" s="170">
        <v>237.53</v>
      </c>
      <c r="AO67" s="170">
        <v>104.79</v>
      </c>
      <c r="AP67" s="170" t="s">
        <v>1530</v>
      </c>
      <c r="AQ67" s="170">
        <v>2.19</v>
      </c>
      <c r="AR67" s="170" t="s">
        <v>1530</v>
      </c>
      <c r="AS67" s="170" t="s">
        <v>1530</v>
      </c>
      <c r="AT67" s="170" t="s">
        <v>1530</v>
      </c>
      <c r="AU67" s="170" t="s">
        <v>1530</v>
      </c>
      <c r="AV67" s="170" t="s">
        <v>1530</v>
      </c>
      <c r="AW67" s="170" t="s">
        <v>1530</v>
      </c>
      <c r="AX67" s="170" t="s">
        <v>1530</v>
      </c>
      <c r="AY67" s="170" t="s">
        <v>1530</v>
      </c>
      <c r="AZ67" s="170" t="s">
        <v>1530</v>
      </c>
      <c r="BA67" s="170" t="s">
        <v>1530</v>
      </c>
      <c r="BB67" s="170" t="s">
        <v>1530</v>
      </c>
      <c r="BC67" s="170" t="s">
        <v>1530</v>
      </c>
      <c r="BD67" s="170" t="s">
        <v>1530</v>
      </c>
      <c r="BE67" s="170" t="s">
        <v>1530</v>
      </c>
      <c r="BF67" s="170" t="s">
        <v>1530</v>
      </c>
      <c r="BG67" s="170" t="s">
        <v>1530</v>
      </c>
      <c r="BH67" s="170" t="s">
        <v>1530</v>
      </c>
      <c r="BI67" s="170" t="s">
        <v>1530</v>
      </c>
      <c r="BJ67" s="170" t="s">
        <v>1530</v>
      </c>
      <c r="BK67" s="170" t="s">
        <v>1530</v>
      </c>
      <c r="BL67" s="170" t="s">
        <v>1530</v>
      </c>
      <c r="BM67" s="170" t="s">
        <v>1530</v>
      </c>
      <c r="BN67" s="170" t="s">
        <v>1530</v>
      </c>
      <c r="BO67" s="170" t="s">
        <v>1530</v>
      </c>
      <c r="BP67" s="170" t="s">
        <v>1530</v>
      </c>
    </row>
    <row r="68" spans="1:80" ht="29.45">
      <c r="A68" s="86">
        <v>56202</v>
      </c>
      <c r="B68" s="168" t="s">
        <v>2091</v>
      </c>
      <c r="C68" s="223" t="s">
        <v>644</v>
      </c>
      <c r="D68" t="s">
        <v>619</v>
      </c>
      <c r="E68" t="s">
        <v>76</v>
      </c>
      <c r="F68">
        <v>110007</v>
      </c>
      <c r="G68" t="s">
        <v>2092</v>
      </c>
      <c r="J68" s="170">
        <v>214</v>
      </c>
      <c r="K68" s="170">
        <v>65.56</v>
      </c>
      <c r="L68" s="170">
        <v>15.32</v>
      </c>
      <c r="M68" s="170">
        <v>16.239999999999998</v>
      </c>
      <c r="N68" s="170">
        <v>1.64</v>
      </c>
      <c r="O68" s="170">
        <v>0</v>
      </c>
      <c r="P68" s="170">
        <v>0.11</v>
      </c>
      <c r="Q68" s="170">
        <v>0.24</v>
      </c>
      <c r="R68" s="170">
        <v>0.18</v>
      </c>
      <c r="S68" s="170" t="s">
        <v>1530</v>
      </c>
      <c r="T68" s="170">
        <v>0.23</v>
      </c>
      <c r="U68" s="170">
        <v>72.73</v>
      </c>
      <c r="V68" s="170" t="s">
        <v>1530</v>
      </c>
      <c r="W68" s="170">
        <v>0</v>
      </c>
      <c r="X68" s="170">
        <v>1.9</v>
      </c>
      <c r="Y68" s="170">
        <v>1.58</v>
      </c>
      <c r="Z68" s="170" t="s">
        <v>1530</v>
      </c>
      <c r="AA68" s="170">
        <v>388.64</v>
      </c>
      <c r="AB68" s="170">
        <v>390.5</v>
      </c>
      <c r="AC68" s="170">
        <v>0</v>
      </c>
      <c r="AD68" s="170">
        <v>15.68</v>
      </c>
      <c r="AE68" s="170" t="s">
        <v>1530</v>
      </c>
      <c r="AF68" s="170" t="s">
        <v>1530</v>
      </c>
      <c r="AG68" s="170" t="s">
        <v>1530</v>
      </c>
      <c r="AH68" s="170" t="s">
        <v>1530</v>
      </c>
      <c r="AI68" s="170">
        <v>73.45</v>
      </c>
      <c r="AJ68" s="170">
        <v>7.0000000000000007E-2</v>
      </c>
      <c r="AK68" s="170">
        <v>2.72</v>
      </c>
      <c r="AL68" s="170">
        <v>13.04</v>
      </c>
      <c r="AM68" s="170" t="s">
        <v>1530</v>
      </c>
      <c r="AN68" s="170">
        <v>237.53</v>
      </c>
      <c r="AO68" s="170">
        <v>239.95</v>
      </c>
      <c r="AP68" s="170" t="s">
        <v>1530</v>
      </c>
      <c r="AQ68" s="170">
        <v>1.52</v>
      </c>
      <c r="AR68" s="170" t="s">
        <v>1530</v>
      </c>
      <c r="AS68" s="170" t="s">
        <v>1530</v>
      </c>
      <c r="AT68" s="170" t="s">
        <v>1530</v>
      </c>
      <c r="AU68" s="170" t="s">
        <v>1530</v>
      </c>
      <c r="AV68" s="170" t="s">
        <v>1530</v>
      </c>
      <c r="AW68" s="170" t="s">
        <v>1530</v>
      </c>
      <c r="AX68" s="170" t="s">
        <v>1530</v>
      </c>
      <c r="AY68" s="170" t="s">
        <v>1530</v>
      </c>
      <c r="AZ68" s="170" t="s">
        <v>1530</v>
      </c>
      <c r="BA68" s="170" t="s">
        <v>1530</v>
      </c>
      <c r="BB68" s="170" t="s">
        <v>1530</v>
      </c>
      <c r="BC68" s="170" t="s">
        <v>1530</v>
      </c>
      <c r="BD68" s="170" t="s">
        <v>1530</v>
      </c>
      <c r="BE68" s="170" t="s">
        <v>1530</v>
      </c>
      <c r="BF68" s="170" t="s">
        <v>1530</v>
      </c>
      <c r="BG68" s="170" t="s">
        <v>1530</v>
      </c>
      <c r="BH68" s="170" t="s">
        <v>1530</v>
      </c>
      <c r="BI68" s="170" t="s">
        <v>1530</v>
      </c>
      <c r="BJ68" s="170" t="s">
        <v>1530</v>
      </c>
      <c r="BK68" s="170" t="s">
        <v>1530</v>
      </c>
      <c r="BL68" s="170" t="s">
        <v>1530</v>
      </c>
      <c r="BM68" s="170" t="s">
        <v>1530</v>
      </c>
      <c r="BN68" s="170" t="s">
        <v>1530</v>
      </c>
      <c r="BO68" s="170" t="s">
        <v>1530</v>
      </c>
      <c r="BP68" s="170" t="s">
        <v>1530</v>
      </c>
    </row>
    <row r="69" spans="1:80" ht="17.25">
      <c r="A69" s="86">
        <v>63202</v>
      </c>
      <c r="B69" t="s">
        <v>2093</v>
      </c>
      <c r="C69" s="10" t="s">
        <v>2094</v>
      </c>
      <c r="D69" s="135" t="s">
        <v>70</v>
      </c>
      <c r="E69" t="s">
        <v>1994</v>
      </c>
      <c r="F69" s="140" t="s">
        <v>2095</v>
      </c>
      <c r="G69" t="s">
        <v>2096</v>
      </c>
      <c r="J69">
        <v>164</v>
      </c>
      <c r="K69" t="s">
        <v>2097</v>
      </c>
      <c r="L69" t="s">
        <v>2098</v>
      </c>
      <c r="M69" t="s">
        <v>2099</v>
      </c>
      <c r="N69">
        <v>27.4</v>
      </c>
      <c r="O69">
        <v>7.6</v>
      </c>
      <c r="P69">
        <v>0.11600000000000001</v>
      </c>
      <c r="Q69">
        <v>6.3E-2</v>
      </c>
      <c r="R69">
        <v>0.52600000000000002</v>
      </c>
      <c r="S69">
        <v>0.28599999999999998</v>
      </c>
      <c r="T69">
        <v>0.13900000000000001</v>
      </c>
      <c r="U69">
        <v>172</v>
      </c>
      <c r="V69">
        <v>0</v>
      </c>
      <c r="W69">
        <v>1.3</v>
      </c>
      <c r="X69">
        <v>0</v>
      </c>
      <c r="Y69">
        <v>0.35</v>
      </c>
      <c r="Z69">
        <v>4</v>
      </c>
      <c r="AA69">
        <v>0</v>
      </c>
      <c r="AB69">
        <v>1</v>
      </c>
      <c r="AC69">
        <v>0</v>
      </c>
      <c r="AD69">
        <v>16</v>
      </c>
      <c r="AE69" s="140">
        <v>0</v>
      </c>
      <c r="AF69">
        <v>0</v>
      </c>
      <c r="AG69">
        <v>0</v>
      </c>
      <c r="AH69" s="140">
        <v>0</v>
      </c>
      <c r="AI69">
        <v>49</v>
      </c>
      <c r="AJ69">
        <v>0.35199999999999998</v>
      </c>
      <c r="AK69">
        <v>2.89</v>
      </c>
      <c r="AL69">
        <v>48</v>
      </c>
      <c r="AM69">
        <v>1.03</v>
      </c>
      <c r="AN69">
        <v>168</v>
      </c>
      <c r="AO69">
        <v>291</v>
      </c>
      <c r="AP69">
        <v>3.7</v>
      </c>
      <c r="AQ69">
        <v>1.53</v>
      </c>
      <c r="AR69">
        <v>0.26900000000000002</v>
      </c>
      <c r="AS69" s="140">
        <v>0.58299999999999996</v>
      </c>
      <c r="AT69">
        <v>1.1599999999999999</v>
      </c>
      <c r="AU69">
        <v>0</v>
      </c>
      <c r="AV69">
        <v>0.24399999999999999</v>
      </c>
      <c r="AW69">
        <v>0.38</v>
      </c>
      <c r="AX69">
        <v>0.63100000000000001</v>
      </c>
      <c r="AY69">
        <v>0.59299999999999997</v>
      </c>
      <c r="AZ69">
        <v>0.11600000000000001</v>
      </c>
      <c r="BA69">
        <v>0.11899999999999999</v>
      </c>
      <c r="BB69">
        <v>0.47499999999999998</v>
      </c>
      <c r="BC69" s="140">
        <v>0.32900000000000001</v>
      </c>
      <c r="BD69">
        <v>8.5000000000000006E-2</v>
      </c>
      <c r="BE69">
        <v>0.372</v>
      </c>
      <c r="BF69">
        <v>0.38</v>
      </c>
      <c r="BG69">
        <v>0.83499999999999996</v>
      </c>
      <c r="BH69">
        <v>1.04</v>
      </c>
      <c r="BI69" s="140">
        <v>1.55</v>
      </c>
      <c r="BJ69">
        <v>0.36899999999999999</v>
      </c>
      <c r="BK69">
        <v>0.36599999999999999</v>
      </c>
      <c r="BL69">
        <v>0.44700000000000001</v>
      </c>
      <c r="BM69">
        <v>0.22</v>
      </c>
    </row>
    <row r="70" spans="1:80" s="58" customFormat="1">
      <c r="A70" s="58">
        <v>21028</v>
      </c>
      <c r="B70" s="58" t="s">
        <v>2100</v>
      </c>
      <c r="E70" s="58" t="s">
        <v>2101</v>
      </c>
      <c r="F70" s="58">
        <v>176</v>
      </c>
      <c r="G70" s="58" t="s">
        <v>2102</v>
      </c>
    </row>
  </sheetData>
  <autoFilter ref="E1:E69" xr:uid="{1A0BAFFC-8909-4973-996C-9FE65B5CF2AC}"/>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F3EF-FEB9-4B41-8A45-8319839C56BF}">
  <dimension ref="A1:CF133"/>
  <sheetViews>
    <sheetView workbookViewId="0">
      <selection activeCell="K28" sqref="K28"/>
    </sheetView>
  </sheetViews>
  <sheetFormatPr defaultRowHeight="14.85"/>
  <cols>
    <col min="1" max="1" width="9.140625" style="179"/>
    <col min="2" max="2" width="37.7109375" customWidth="1"/>
    <col min="5" max="5" width="19.42578125" customWidth="1"/>
    <col min="6" max="6" width="19.5703125" style="87" customWidth="1"/>
    <col min="7" max="7" width="19.42578125" customWidth="1"/>
    <col min="21" max="21" width="9.5703125" bestFit="1" customWidth="1"/>
    <col min="28" max="29" width="9.5703125" bestFit="1" customWidth="1"/>
    <col min="30" max="30" width="10.5703125" bestFit="1" customWidth="1"/>
    <col min="31" max="31" width="9.5703125" bestFit="1" customWidth="1"/>
    <col min="35" max="35" width="9.5703125" bestFit="1" customWidth="1"/>
    <col min="41" max="41" width="9.5703125" bestFit="1" customWidth="1"/>
    <col min="61" max="61" width="9.5703125" bestFit="1" customWidth="1"/>
  </cols>
  <sheetData>
    <row r="1" spans="1:84" ht="103.35">
      <c r="A1" s="178" t="s">
        <v>0</v>
      </c>
      <c r="B1" s="145" t="s">
        <v>1</v>
      </c>
      <c r="C1" s="145" t="s">
        <v>2</v>
      </c>
      <c r="D1" s="145" t="s">
        <v>3</v>
      </c>
      <c r="E1" s="145" t="s">
        <v>4</v>
      </c>
      <c r="F1" s="145" t="s">
        <v>5</v>
      </c>
      <c r="G1" s="145" t="s">
        <v>6</v>
      </c>
      <c r="H1" s="145" t="s">
        <v>7</v>
      </c>
      <c r="I1" s="145" t="s">
        <v>8</v>
      </c>
      <c r="J1" s="146" t="s">
        <v>9</v>
      </c>
      <c r="K1" s="146" t="s">
        <v>10</v>
      </c>
      <c r="L1" s="146" t="s">
        <v>11</v>
      </c>
      <c r="M1" s="146" t="s">
        <v>12</v>
      </c>
      <c r="N1" s="146" t="s">
        <v>13</v>
      </c>
      <c r="O1" s="146" t="s">
        <v>14</v>
      </c>
      <c r="P1" s="146" t="s">
        <v>15</v>
      </c>
      <c r="Q1" s="146" t="s">
        <v>16</v>
      </c>
      <c r="R1" s="146" t="s">
        <v>17</v>
      </c>
      <c r="S1" s="146" t="s">
        <v>18</v>
      </c>
      <c r="T1" s="146" t="s">
        <v>19</v>
      </c>
      <c r="U1" s="146" t="s">
        <v>20</v>
      </c>
      <c r="V1" s="146" t="s">
        <v>21</v>
      </c>
      <c r="W1" s="146" t="s">
        <v>22</v>
      </c>
      <c r="X1" s="146" t="s">
        <v>23</v>
      </c>
      <c r="Y1" s="147" t="s">
        <v>24</v>
      </c>
      <c r="Z1" s="147" t="s">
        <v>25</v>
      </c>
      <c r="AA1" s="146" t="s">
        <v>26</v>
      </c>
      <c r="AB1" s="146" t="s">
        <v>27</v>
      </c>
      <c r="AC1" s="146" t="s">
        <v>28</v>
      </c>
      <c r="AD1" s="146" t="s">
        <v>29</v>
      </c>
      <c r="AE1" s="146" t="s">
        <v>30</v>
      </c>
      <c r="AF1" s="146" t="s">
        <v>31</v>
      </c>
      <c r="AG1" s="146" t="s">
        <v>32</v>
      </c>
      <c r="AH1" s="146" t="s">
        <v>33</v>
      </c>
      <c r="AI1" s="146" t="s">
        <v>34</v>
      </c>
      <c r="AJ1" s="146" t="s">
        <v>35</v>
      </c>
      <c r="AK1" s="146" t="s">
        <v>36</v>
      </c>
      <c r="AL1" s="146" t="s">
        <v>37</v>
      </c>
      <c r="AM1" s="146" t="s">
        <v>38</v>
      </c>
      <c r="AN1" s="146" t="s">
        <v>39</v>
      </c>
      <c r="AO1" s="146" t="s">
        <v>40</v>
      </c>
      <c r="AP1" s="146" t="s">
        <v>41</v>
      </c>
      <c r="AQ1" s="146" t="s">
        <v>42</v>
      </c>
      <c r="AR1" s="146" t="s">
        <v>43</v>
      </c>
      <c r="AS1" s="146" t="s">
        <v>44</v>
      </c>
      <c r="AT1" s="146" t="s">
        <v>45</v>
      </c>
      <c r="AU1" s="146" t="s">
        <v>46</v>
      </c>
      <c r="AV1" s="148" t="s">
        <v>47</v>
      </c>
      <c r="AW1" s="148" t="s">
        <v>48</v>
      </c>
      <c r="AX1" s="148" t="s">
        <v>49</v>
      </c>
      <c r="AY1" s="148" t="s">
        <v>50</v>
      </c>
      <c r="AZ1" s="148" t="s">
        <v>51</v>
      </c>
      <c r="BA1" s="148" t="s">
        <v>52</v>
      </c>
      <c r="BB1" s="148" t="s">
        <v>53</v>
      </c>
      <c r="BC1" s="148" t="s">
        <v>54</v>
      </c>
      <c r="BD1" s="148" t="s">
        <v>55</v>
      </c>
      <c r="BE1" s="148" t="s">
        <v>56</v>
      </c>
      <c r="BF1" s="148" t="s">
        <v>57</v>
      </c>
      <c r="BG1" s="148" t="s">
        <v>58</v>
      </c>
      <c r="BH1" s="148" t="s">
        <v>59</v>
      </c>
      <c r="BI1" s="148" t="s">
        <v>60</v>
      </c>
      <c r="BJ1" s="148" t="s">
        <v>61</v>
      </c>
      <c r="BK1" s="148" t="s">
        <v>62</v>
      </c>
      <c r="BL1" s="148" t="s">
        <v>63</v>
      </c>
      <c r="BM1" s="148" t="s">
        <v>64</v>
      </c>
      <c r="BN1" s="146" t="s">
        <v>65</v>
      </c>
      <c r="BO1" s="146" t="s">
        <v>66</v>
      </c>
      <c r="BP1" s="146" t="s">
        <v>67</v>
      </c>
      <c r="BQ1" s="146"/>
      <c r="BR1" s="146"/>
      <c r="BS1" s="226"/>
      <c r="BT1" s="226"/>
      <c r="BU1" s="226"/>
      <c r="BV1" s="226"/>
      <c r="BW1" s="226"/>
      <c r="BX1" s="226"/>
      <c r="BY1" s="226"/>
      <c r="BZ1" s="226"/>
      <c r="CA1" s="226"/>
      <c r="CB1" s="226"/>
      <c r="CC1" s="226"/>
      <c r="CD1" s="226"/>
      <c r="CE1" s="226"/>
      <c r="CF1" s="226"/>
    </row>
    <row r="2" spans="1:84" ht="30.75" customHeight="1">
      <c r="A2" s="179">
        <v>11404</v>
      </c>
      <c r="B2" s="149" t="s">
        <v>1624</v>
      </c>
      <c r="C2" s="143"/>
      <c r="D2" s="143"/>
      <c r="E2" s="227" t="s">
        <v>1625</v>
      </c>
      <c r="F2" s="150">
        <v>2</v>
      </c>
      <c r="G2" s="149" t="s">
        <v>1624</v>
      </c>
      <c r="H2" s="143"/>
      <c r="I2" s="143"/>
      <c r="J2" s="151">
        <v>91.314461199999997</v>
      </c>
      <c r="K2" s="151">
        <v>86.240111499999998</v>
      </c>
      <c r="L2" s="151">
        <v>3.1846548600000002</v>
      </c>
      <c r="M2" s="151">
        <v>4.3251404000000004</v>
      </c>
      <c r="N2" s="151">
        <v>9.2245573099999998</v>
      </c>
      <c r="O2" s="151">
        <v>1.9732346700000001</v>
      </c>
      <c r="P2" s="151">
        <v>4.2568259999999997E-2</v>
      </c>
      <c r="Q2" s="151">
        <v>1.9043629999999999E-2</v>
      </c>
      <c r="R2" s="151">
        <v>0.364454</v>
      </c>
      <c r="S2" s="151">
        <v>0.17643041000000001</v>
      </c>
      <c r="T2" s="151">
        <v>4.6301479999999999E-2</v>
      </c>
      <c r="U2" s="151">
        <v>3.3344164699999999</v>
      </c>
      <c r="V2" s="151">
        <v>0</v>
      </c>
      <c r="W2" s="151">
        <v>2.8998132299999999</v>
      </c>
      <c r="X2" s="151">
        <v>0.35642151999999999</v>
      </c>
      <c r="Y2" s="151">
        <v>0.15546786000000001</v>
      </c>
      <c r="Z2" s="151">
        <v>14.5517258</v>
      </c>
      <c r="AA2" s="151">
        <v>0</v>
      </c>
      <c r="AB2" s="151">
        <v>4.6008249299999999</v>
      </c>
      <c r="AC2" s="151">
        <v>0.97506683999999999</v>
      </c>
      <c r="AD2" s="151">
        <v>50.472963</v>
      </c>
      <c r="AE2" s="151">
        <v>127.364116</v>
      </c>
      <c r="AF2" s="151">
        <v>7.2672360000000005E-2</v>
      </c>
      <c r="AG2" s="151">
        <v>3.2829059799999998</v>
      </c>
      <c r="AH2" s="151">
        <v>6.3871222400000001</v>
      </c>
      <c r="AI2" s="151">
        <v>12.948420199999999</v>
      </c>
      <c r="AJ2" s="151">
        <v>0.10118654000000001</v>
      </c>
      <c r="AK2" s="151">
        <v>0.78301595000000002</v>
      </c>
      <c r="AL2" s="151">
        <v>14.0421917</v>
      </c>
      <c r="AM2" s="151">
        <v>0.59478255000000002</v>
      </c>
      <c r="AN2" s="151">
        <v>34.5773437</v>
      </c>
      <c r="AO2" s="151">
        <v>92.675965599999998</v>
      </c>
      <c r="AP2" s="151">
        <v>0.67634408999999995</v>
      </c>
      <c r="AQ2" s="151">
        <v>0.46550825000000001</v>
      </c>
      <c r="AR2" s="151">
        <v>0.68362975999999998</v>
      </c>
      <c r="AS2" s="151">
        <v>0.98211835000000003</v>
      </c>
      <c r="AT2" s="151">
        <v>2.4580932199999999</v>
      </c>
      <c r="AU2" s="151">
        <v>0</v>
      </c>
      <c r="AV2" s="151">
        <v>7.1156540000000004E-2</v>
      </c>
      <c r="AW2" s="151">
        <v>0.11998105000000001</v>
      </c>
      <c r="AX2" s="151">
        <v>0.21565471</v>
      </c>
      <c r="AY2" s="151">
        <v>0.21323199000000001</v>
      </c>
      <c r="AZ2" s="151">
        <v>2.122452E-2</v>
      </c>
      <c r="BA2" s="151">
        <v>2.561109E-2</v>
      </c>
      <c r="BB2" s="151">
        <v>0.14995849999999999</v>
      </c>
      <c r="BC2" s="151">
        <v>0.11413568</v>
      </c>
      <c r="BD2" s="151">
        <v>2.9557070000000001E-2</v>
      </c>
      <c r="BE2" s="151">
        <v>0.15415350999999999</v>
      </c>
      <c r="BF2" s="151">
        <v>0.19071099</v>
      </c>
      <c r="BG2" s="151">
        <v>0.26036653999999998</v>
      </c>
      <c r="BH2" s="151">
        <v>0.36685208000000002</v>
      </c>
      <c r="BI2" s="151">
        <v>0.58503656000000004</v>
      </c>
      <c r="BJ2" s="151">
        <v>0.13937975</v>
      </c>
      <c r="BK2" s="151">
        <v>0.12401126</v>
      </c>
      <c r="BL2" s="151">
        <v>0.16312209</v>
      </c>
      <c r="BM2" s="151">
        <v>9.0914010000000003E-2</v>
      </c>
      <c r="BN2" s="151">
        <v>6.9040712299999996</v>
      </c>
      <c r="BO2" s="151">
        <v>24.138629600000002</v>
      </c>
      <c r="BP2" s="151">
        <v>3.3663461539999999</v>
      </c>
      <c r="BQ2" s="152"/>
      <c r="BR2" s="144"/>
      <c r="BS2" s="228"/>
      <c r="BT2" s="228"/>
      <c r="BU2" s="228"/>
      <c r="BV2" s="228"/>
      <c r="BW2" s="228"/>
      <c r="BX2" s="228"/>
      <c r="BY2" s="228"/>
      <c r="BZ2" s="228"/>
      <c r="CA2" s="228"/>
      <c r="CB2" s="228"/>
      <c r="CC2" s="228"/>
      <c r="CD2" s="228"/>
      <c r="CE2" s="228"/>
      <c r="CF2" s="228"/>
    </row>
    <row r="3" spans="1:84">
      <c r="A3" s="179">
        <v>12302</v>
      </c>
      <c r="B3" s="149" t="s">
        <v>1626</v>
      </c>
      <c r="E3" s="227" t="s">
        <v>1625</v>
      </c>
      <c r="F3" s="150">
        <v>3</v>
      </c>
      <c r="G3" s="149" t="s">
        <v>1626</v>
      </c>
      <c r="J3" s="151">
        <v>233.504425</v>
      </c>
      <c r="K3" s="151">
        <v>65.1364071</v>
      </c>
      <c r="L3" s="151">
        <v>7.8930088500000002</v>
      </c>
      <c r="M3" s="151">
        <v>1.4611504399999999</v>
      </c>
      <c r="N3" s="151">
        <v>43.470973499999999</v>
      </c>
      <c r="O3" s="151">
        <v>7.4805309700000002</v>
      </c>
      <c r="P3" s="151">
        <v>0.19269358</v>
      </c>
      <c r="Q3" s="151">
        <v>0.10726173</v>
      </c>
      <c r="R3" s="151">
        <v>2.3976150399999998</v>
      </c>
      <c r="S3" s="151">
        <v>0.60823008999999995</v>
      </c>
      <c r="T3" s="151">
        <v>0.23217610999999999</v>
      </c>
      <c r="U3" s="151">
        <v>5.06858407</v>
      </c>
      <c r="V3" s="151">
        <v>0</v>
      </c>
      <c r="W3" s="151">
        <v>0</v>
      </c>
      <c r="X3" s="151">
        <v>12.150619499999999</v>
      </c>
      <c r="Y3" s="151">
        <v>0.50336283000000004</v>
      </c>
      <c r="Z3" s="151">
        <v>1.2234513300000001</v>
      </c>
      <c r="AA3" s="151">
        <v>0</v>
      </c>
      <c r="AB3" s="151">
        <v>0.23783894</v>
      </c>
      <c r="AC3" s="151">
        <v>0</v>
      </c>
      <c r="AD3" s="151">
        <v>2.8314159299999999</v>
      </c>
      <c r="AE3" s="151">
        <v>23.851847800000002</v>
      </c>
      <c r="AF3" s="151">
        <v>0</v>
      </c>
      <c r="AG3" s="151">
        <v>0</v>
      </c>
      <c r="AH3" s="151">
        <v>0.74183096999999998</v>
      </c>
      <c r="AI3" s="151">
        <v>36.810530999999997</v>
      </c>
      <c r="AJ3" s="151">
        <v>0.37053097000000002</v>
      </c>
      <c r="AK3" s="151">
        <v>3.4256637200000002</v>
      </c>
      <c r="AL3" s="151">
        <v>105.54539800000001</v>
      </c>
      <c r="AM3" s="151">
        <v>2.23037522</v>
      </c>
      <c r="AN3" s="151">
        <v>213.929204</v>
      </c>
      <c r="AO3" s="151">
        <v>198.56106199999999</v>
      </c>
      <c r="AP3" s="151">
        <v>33.389734500000003</v>
      </c>
      <c r="AQ3" s="151">
        <v>2.1113274299999998</v>
      </c>
      <c r="AR3" s="151">
        <v>0.14681416</v>
      </c>
      <c r="AS3" s="151">
        <v>0.10486726</v>
      </c>
      <c r="AT3" s="151">
        <v>0.51734513000000004</v>
      </c>
      <c r="AU3" s="151">
        <v>0</v>
      </c>
      <c r="AV3" s="151">
        <v>0.18876106000000001</v>
      </c>
      <c r="AW3" s="151">
        <v>0.27964602</v>
      </c>
      <c r="AX3" s="151">
        <v>0.45442477999999997</v>
      </c>
      <c r="AY3" s="151">
        <v>0.18176991000000001</v>
      </c>
      <c r="AZ3" s="151">
        <v>0.13283186</v>
      </c>
      <c r="BA3" s="151">
        <v>0.16778761</v>
      </c>
      <c r="BB3" s="151">
        <v>0.37053097000000002</v>
      </c>
      <c r="BC3" s="151">
        <v>0.18876106000000001</v>
      </c>
      <c r="BD3" s="151">
        <v>6.9911500000000001E-2</v>
      </c>
      <c r="BE3" s="151">
        <v>0.37752212000000002</v>
      </c>
      <c r="BF3" s="151">
        <v>0.28663717</v>
      </c>
      <c r="BG3" s="151">
        <v>0.34955752000000001</v>
      </c>
      <c r="BH3" s="151">
        <v>0.37053097000000002</v>
      </c>
      <c r="BI3" s="151">
        <v>2.1882300899999998</v>
      </c>
      <c r="BJ3" s="151">
        <v>0.27964602</v>
      </c>
      <c r="BK3" s="151">
        <v>0.76203540000000003</v>
      </c>
      <c r="BL3" s="151">
        <v>0.34955752000000001</v>
      </c>
      <c r="BM3" s="151">
        <v>0</v>
      </c>
      <c r="BN3" s="151">
        <v>10.018318600000001</v>
      </c>
      <c r="BO3" s="151">
        <v>441.84070800000001</v>
      </c>
      <c r="BP3" s="151">
        <v>5.5929203540000003</v>
      </c>
      <c r="BQ3" s="6"/>
    </row>
    <row r="4" spans="1:84">
      <c r="A4" s="179">
        <v>13102</v>
      </c>
      <c r="B4" s="149" t="s">
        <v>1627</v>
      </c>
      <c r="E4" s="227" t="s">
        <v>1625</v>
      </c>
      <c r="F4" s="150">
        <v>4</v>
      </c>
      <c r="G4" s="149" t="s">
        <v>1627</v>
      </c>
      <c r="J4" s="151">
        <v>139.76714999999999</v>
      </c>
      <c r="K4" s="151">
        <v>119.948573</v>
      </c>
      <c r="L4" s="151">
        <v>5.1783452299999997</v>
      </c>
      <c r="M4" s="151">
        <v>6.5753211399999998</v>
      </c>
      <c r="N4" s="151">
        <v>12.9510705</v>
      </c>
      <c r="O4" s="151">
        <v>4.9013380900000003</v>
      </c>
      <c r="P4" s="151">
        <v>4.1430729999999999E-2</v>
      </c>
      <c r="Q4" s="151">
        <v>5.352142E-2</v>
      </c>
      <c r="R4" s="151">
        <v>0.41567281</v>
      </c>
      <c r="S4" s="151">
        <v>0.59871658999999999</v>
      </c>
      <c r="T4" s="151">
        <v>0.11729045</v>
      </c>
      <c r="U4" s="151">
        <v>13.770004500000001</v>
      </c>
      <c r="V4" s="151">
        <v>0</v>
      </c>
      <c r="W4" s="151">
        <v>4.55704391</v>
      </c>
      <c r="X4" s="151">
        <v>0.43235504000000002</v>
      </c>
      <c r="Y4" s="151">
        <v>0.70674040999999999</v>
      </c>
      <c r="Z4" s="151">
        <v>18.461301599999999</v>
      </c>
      <c r="AA4" s="151">
        <v>0</v>
      </c>
      <c r="AB4" s="151">
        <v>7.3620380499999998</v>
      </c>
      <c r="AC4" s="151">
        <v>0.99623103999999996</v>
      </c>
      <c r="AD4" s="151">
        <v>81.544672899999995</v>
      </c>
      <c r="AE4" s="151">
        <v>183.37091899999999</v>
      </c>
      <c r="AF4" s="151">
        <v>0.11377342</v>
      </c>
      <c r="AG4" s="151">
        <v>5.1396074900000004</v>
      </c>
      <c r="AH4" s="151">
        <v>10.0405666</v>
      </c>
      <c r="AI4" s="151">
        <v>50.196655</v>
      </c>
      <c r="AJ4" s="151">
        <v>0.19665806999999999</v>
      </c>
      <c r="AK4" s="151">
        <v>2.20411409</v>
      </c>
      <c r="AL4" s="151">
        <v>30.9006021</v>
      </c>
      <c r="AM4" s="151">
        <v>1.27049331</v>
      </c>
      <c r="AN4" s="151">
        <v>78.819603299999997</v>
      </c>
      <c r="AO4" s="151">
        <v>169.94228899999999</v>
      </c>
      <c r="AP4" s="151">
        <v>10.1065343</v>
      </c>
      <c r="AQ4" s="151">
        <v>0.66808723999999997</v>
      </c>
      <c r="AR4" s="151">
        <v>0.93995094000000001</v>
      </c>
      <c r="AS4" s="151">
        <v>1.4104875100000001</v>
      </c>
      <c r="AT4" s="151">
        <v>3.5029322000000001</v>
      </c>
      <c r="AU4" s="151">
        <v>0</v>
      </c>
      <c r="AV4" s="151">
        <v>0.13954148</v>
      </c>
      <c r="AW4" s="151">
        <v>0.21838937999999999</v>
      </c>
      <c r="AX4" s="151">
        <v>0.36825602000000002</v>
      </c>
      <c r="AY4" s="151">
        <v>0.33051338000000002</v>
      </c>
      <c r="AZ4" s="151">
        <v>6.7313109999999995E-2</v>
      </c>
      <c r="BA4" s="151">
        <v>6.9709629999999995E-2</v>
      </c>
      <c r="BB4" s="151">
        <v>0.27295271999999998</v>
      </c>
      <c r="BC4" s="151">
        <v>0.19429349000000001</v>
      </c>
      <c r="BD4" s="151">
        <v>5.2362180000000001E-2</v>
      </c>
      <c r="BE4" s="151">
        <v>0.21949108000000001</v>
      </c>
      <c r="BF4" s="151">
        <v>0.23392640000000001</v>
      </c>
      <c r="BG4" s="151">
        <v>0.49723416999999998</v>
      </c>
      <c r="BH4" s="151">
        <v>0.64113112999999999</v>
      </c>
      <c r="BI4" s="151">
        <v>0.92939251000000001</v>
      </c>
      <c r="BJ4" s="151">
        <v>0.22910749</v>
      </c>
      <c r="BK4" s="151">
        <v>0.21895049</v>
      </c>
      <c r="BL4" s="151">
        <v>0.26146253000000003</v>
      </c>
      <c r="BM4" s="151">
        <v>0.13339562999999999</v>
      </c>
      <c r="BN4" s="151">
        <v>25.159977699999999</v>
      </c>
      <c r="BO4" s="151">
        <v>161.12656999999999</v>
      </c>
      <c r="BP4" s="151">
        <v>2.6400535239999998</v>
      </c>
      <c r="BQ4" s="6"/>
    </row>
    <row r="5" spans="1:84">
      <c r="A5" s="179">
        <v>13101</v>
      </c>
      <c r="B5" s="149" t="s">
        <v>1628</v>
      </c>
      <c r="E5" s="227" t="s">
        <v>1625</v>
      </c>
      <c r="F5" s="150">
        <v>5</v>
      </c>
      <c r="G5" s="149" t="s">
        <v>1628</v>
      </c>
      <c r="J5" s="151">
        <v>55.046071699999999</v>
      </c>
      <c r="K5" s="151">
        <v>113.83678500000001</v>
      </c>
      <c r="L5" s="151">
        <v>2.8563501100000002</v>
      </c>
      <c r="M5" s="151">
        <v>2.2697330299999998</v>
      </c>
      <c r="N5" s="151">
        <v>5.1837414199999996</v>
      </c>
      <c r="O5" s="151">
        <v>1.5440579699999999</v>
      </c>
      <c r="P5" s="151">
        <v>3.4843810000000003E-2</v>
      </c>
      <c r="Q5" s="151">
        <v>1.3075949999999999E-2</v>
      </c>
      <c r="R5" s="151">
        <v>0.16218724000000001</v>
      </c>
      <c r="S5" s="151">
        <v>0.17506957000000001</v>
      </c>
      <c r="T5" s="151">
        <v>3.7858620000000003E-2</v>
      </c>
      <c r="U5" s="151">
        <v>1.5139206700000001</v>
      </c>
      <c r="V5" s="151">
        <v>0</v>
      </c>
      <c r="W5" s="151">
        <v>0.99889088000000004</v>
      </c>
      <c r="X5" s="151">
        <v>0.23396262000000001</v>
      </c>
      <c r="Y5" s="151">
        <v>3.992967E-2</v>
      </c>
      <c r="Z5" s="151">
        <v>4.2758289100000004</v>
      </c>
      <c r="AA5" s="151">
        <v>0</v>
      </c>
      <c r="AB5" s="151">
        <v>0.57763123999999999</v>
      </c>
      <c r="AC5" s="151">
        <v>0</v>
      </c>
      <c r="AD5" s="151">
        <v>6.8524496199999998</v>
      </c>
      <c r="AE5" s="151">
        <v>2.9304386</v>
      </c>
      <c r="AF5" s="151">
        <v>0</v>
      </c>
      <c r="AG5" s="151">
        <v>0</v>
      </c>
      <c r="AH5" s="151">
        <v>0.50095197999999996</v>
      </c>
      <c r="AI5" s="151">
        <v>6.1126210900000002</v>
      </c>
      <c r="AJ5" s="151">
        <v>6.0222009999999999E-2</v>
      </c>
      <c r="AK5" s="151">
        <v>0.63609163000000002</v>
      </c>
      <c r="AL5" s="151">
        <v>8.3969222000000006</v>
      </c>
      <c r="AM5" s="151">
        <v>0.36743478000000002</v>
      </c>
      <c r="AN5" s="151">
        <v>25.091102200000002</v>
      </c>
      <c r="AO5" s="151">
        <v>59.922605799999999</v>
      </c>
      <c r="AP5" s="151">
        <v>0.37321892000000001</v>
      </c>
      <c r="AQ5" s="151">
        <v>0.37417845</v>
      </c>
      <c r="AR5" s="151">
        <v>0.36136918000000001</v>
      </c>
      <c r="AS5" s="151">
        <v>0.52912166000000005</v>
      </c>
      <c r="AT5" s="151">
        <v>1.3010019100000001</v>
      </c>
      <c r="AU5" s="151">
        <v>0</v>
      </c>
      <c r="AV5" s="151">
        <v>6.4918000000000003E-2</v>
      </c>
      <c r="AW5" s="151">
        <v>0.10791915000000001</v>
      </c>
      <c r="AX5" s="151">
        <v>0.20487718999999999</v>
      </c>
      <c r="AY5" s="151">
        <v>0.21170708999999999</v>
      </c>
      <c r="AZ5" s="151">
        <v>1.6544240000000002E-2</v>
      </c>
      <c r="BA5" s="151">
        <v>2.379939E-2</v>
      </c>
      <c r="BB5" s="151">
        <v>0.14547635</v>
      </c>
      <c r="BC5" s="151">
        <v>0.10586651</v>
      </c>
      <c r="BD5" s="151">
        <v>2.7108699999999999E-2</v>
      </c>
      <c r="BE5" s="151">
        <v>0.14006789</v>
      </c>
      <c r="BF5" s="151">
        <v>0.19243402000000001</v>
      </c>
      <c r="BG5" s="151">
        <v>0.23814415999999999</v>
      </c>
      <c r="BH5" s="151">
        <v>0.33536651000000001</v>
      </c>
      <c r="BI5" s="151">
        <v>0.56192562999999995</v>
      </c>
      <c r="BJ5" s="151">
        <v>0.12054424</v>
      </c>
      <c r="BK5" s="151">
        <v>0.11177993999999999</v>
      </c>
      <c r="BL5" s="151">
        <v>0.15284821000000001</v>
      </c>
      <c r="BM5" s="151">
        <v>8.613577E-2</v>
      </c>
      <c r="BN5" s="151">
        <v>4.0604691099999997</v>
      </c>
      <c r="BO5" s="151">
        <v>15.032063300000001</v>
      </c>
      <c r="BP5" s="151">
        <v>0.316170862</v>
      </c>
      <c r="BQ5" s="6"/>
    </row>
    <row r="6" spans="1:84">
      <c r="A6" s="179">
        <v>24601</v>
      </c>
      <c r="B6" s="149" t="s">
        <v>1629</v>
      </c>
      <c r="E6" s="227" t="s">
        <v>1625</v>
      </c>
      <c r="F6" s="150">
        <v>6</v>
      </c>
      <c r="G6" s="149" t="s">
        <v>1629</v>
      </c>
      <c r="J6" s="151">
        <v>110.958716</v>
      </c>
      <c r="K6" s="151">
        <v>97.875596299999998</v>
      </c>
      <c r="L6" s="151">
        <v>1.66422018</v>
      </c>
      <c r="M6" s="151">
        <v>3.47477064</v>
      </c>
      <c r="N6" s="151">
        <v>16.946972500000001</v>
      </c>
      <c r="O6" s="151">
        <v>2.8158715600000002</v>
      </c>
      <c r="P6" s="151">
        <v>6.8598439999999997E-2</v>
      </c>
      <c r="Q6" s="151">
        <v>9.8139009999999999E-2</v>
      </c>
      <c r="R6" s="151">
        <v>0.36195069000000002</v>
      </c>
      <c r="S6" s="151">
        <v>0.47974816999999997</v>
      </c>
      <c r="T6" s="151">
        <v>0.21687385000000001</v>
      </c>
      <c r="U6" s="151">
        <v>10.8669083</v>
      </c>
      <c r="V6" s="151">
        <v>0</v>
      </c>
      <c r="W6" s="151">
        <v>10.895399100000001</v>
      </c>
      <c r="X6" s="151">
        <v>0.27018349000000003</v>
      </c>
      <c r="Y6" s="151">
        <v>0.29509173999999999</v>
      </c>
      <c r="Z6" s="151">
        <v>5.9101834899999997</v>
      </c>
      <c r="AA6" s="151">
        <v>0</v>
      </c>
      <c r="AB6" s="151">
        <v>10.7390404</v>
      </c>
      <c r="AC6" s="151">
        <v>0</v>
      </c>
      <c r="AD6" s="151">
        <v>116.384591</v>
      </c>
      <c r="AE6" s="151">
        <v>29.353860099999999</v>
      </c>
      <c r="AF6" s="151">
        <v>0.40618899000000003</v>
      </c>
      <c r="AG6" s="151">
        <v>17.8237156</v>
      </c>
      <c r="AH6" s="151">
        <v>147.90314100000001</v>
      </c>
      <c r="AI6" s="151">
        <v>17.329860100000001</v>
      </c>
      <c r="AJ6" s="151">
        <v>0.42210550000000002</v>
      </c>
      <c r="AK6" s="151">
        <v>0.62638885</v>
      </c>
      <c r="AL6" s="151">
        <v>22.981321099999999</v>
      </c>
      <c r="AM6" s="151">
        <v>0.20127523</v>
      </c>
      <c r="AN6" s="151">
        <v>44.523302800000003</v>
      </c>
      <c r="AO6" s="151">
        <v>249.86658700000001</v>
      </c>
      <c r="AP6" s="151">
        <v>1.09857798</v>
      </c>
      <c r="AQ6" s="151">
        <v>0.76567430999999997</v>
      </c>
      <c r="AR6" s="151">
        <v>0.24137615000000001</v>
      </c>
      <c r="AS6" s="151">
        <v>2.1204128400000002</v>
      </c>
      <c r="AT6" s="151">
        <v>0.66536238999999997</v>
      </c>
      <c r="AU6" s="151">
        <v>0</v>
      </c>
      <c r="AV6" s="151">
        <v>2.2174309999999999E-2</v>
      </c>
      <c r="AW6" s="151">
        <v>5.0357800000000001E-2</v>
      </c>
      <c r="AX6" s="151">
        <v>9.0275229999999998E-2</v>
      </c>
      <c r="AY6" s="151">
        <v>7.4477059999999998E-2</v>
      </c>
      <c r="AZ6" s="151">
        <v>1.6972480000000002E-2</v>
      </c>
      <c r="BA6" s="151">
        <v>1.4096330000000001E-2</v>
      </c>
      <c r="BB6" s="151">
        <v>6.8431190000000003E-2</v>
      </c>
      <c r="BC6" s="151">
        <v>5.5798170000000001E-2</v>
      </c>
      <c r="BD6" s="151">
        <v>1.6472480000000001E-2</v>
      </c>
      <c r="BE6" s="151">
        <v>5.819266E-2</v>
      </c>
      <c r="BF6" s="151">
        <v>8.7224769999999993E-2</v>
      </c>
      <c r="BG6" s="151">
        <v>7.6866970000000007E-2</v>
      </c>
      <c r="BH6" s="151">
        <v>0.18063761</v>
      </c>
      <c r="BI6" s="151">
        <v>0.29680733999999998</v>
      </c>
      <c r="BJ6" s="151">
        <v>5.3499999999999999E-2</v>
      </c>
      <c r="BK6" s="151">
        <v>5.316514E-2</v>
      </c>
      <c r="BL6" s="151">
        <v>6.1486239999999998E-2</v>
      </c>
      <c r="BM6" s="151">
        <v>4.6082570000000003E-2</v>
      </c>
      <c r="BN6" s="151">
        <v>33.701376099999997</v>
      </c>
      <c r="BO6" s="151">
        <v>67.786697200000006</v>
      </c>
      <c r="BP6" s="151">
        <v>13.99541284</v>
      </c>
      <c r="BQ6" s="6"/>
    </row>
    <row r="7" spans="1:84">
      <c r="A7" s="179">
        <v>21301</v>
      </c>
      <c r="B7" s="149" t="s">
        <v>2103</v>
      </c>
      <c r="E7" s="227" t="s">
        <v>1625</v>
      </c>
      <c r="F7" s="150">
        <v>7</v>
      </c>
      <c r="G7" s="149" t="s">
        <v>2103</v>
      </c>
      <c r="J7" s="151">
        <v>165.73563200000001</v>
      </c>
      <c r="K7" s="151">
        <v>182.07666699999999</v>
      </c>
      <c r="L7" s="151">
        <v>5.6868582400000003</v>
      </c>
      <c r="M7" s="151">
        <v>10.7028736</v>
      </c>
      <c r="N7" s="151">
        <v>9.1822988500000005</v>
      </c>
      <c r="O7" s="151">
        <v>5.6276245200000004</v>
      </c>
      <c r="P7" s="151">
        <v>3.5514179999999999E-2</v>
      </c>
      <c r="Q7" s="151">
        <v>0.43251102000000002</v>
      </c>
      <c r="R7" s="151">
        <v>1.07338065</v>
      </c>
      <c r="S7" s="151">
        <v>0.59153257000000004</v>
      </c>
      <c r="T7" s="151">
        <v>0.34062221999999998</v>
      </c>
      <c r="U7" s="151">
        <v>67.792988500000007</v>
      </c>
      <c r="V7" s="151">
        <v>0</v>
      </c>
      <c r="W7" s="151">
        <v>49.215136600000001</v>
      </c>
      <c r="X7" s="151">
        <v>23.462835200000001</v>
      </c>
      <c r="Y7" s="151">
        <v>0.76177930999999999</v>
      </c>
      <c r="Z7" s="151">
        <v>467.54132299999998</v>
      </c>
      <c r="AA7" s="151">
        <v>0</v>
      </c>
      <c r="AB7" s="151">
        <v>940.93626600000005</v>
      </c>
      <c r="AC7" s="151">
        <v>242.768483</v>
      </c>
      <c r="AD7" s="151">
        <v>11114.070299999999</v>
      </c>
      <c r="AE7" s="151">
        <v>9779.6336200000005</v>
      </c>
      <c r="AF7" s="151">
        <v>0</v>
      </c>
      <c r="AG7" s="151">
        <v>0</v>
      </c>
      <c r="AH7" s="151">
        <v>157.33356000000001</v>
      </c>
      <c r="AI7" s="151">
        <v>385.71137900000002</v>
      </c>
      <c r="AJ7" s="151">
        <v>0.35942529000000001</v>
      </c>
      <c r="AK7" s="151">
        <v>3.0053256699999999</v>
      </c>
      <c r="AL7" s="151">
        <v>223.68578500000001</v>
      </c>
      <c r="AM7" s="151">
        <v>3.3977471299999999</v>
      </c>
      <c r="AN7" s="151">
        <v>134.59578500000001</v>
      </c>
      <c r="AO7" s="151">
        <v>408.32118800000001</v>
      </c>
      <c r="AP7" s="151">
        <v>34.3706897</v>
      </c>
      <c r="AQ7" s="151">
        <v>2.1779693500000001</v>
      </c>
      <c r="AR7" s="151">
        <v>1.96409962</v>
      </c>
      <c r="AS7" s="151">
        <v>2.45015326</v>
      </c>
      <c r="AT7" s="151">
        <v>6.5159003799999997</v>
      </c>
      <c r="AU7" s="151">
        <v>0</v>
      </c>
      <c r="AV7" s="151">
        <v>0.13694253000000001</v>
      </c>
      <c r="AW7" s="151">
        <v>0.28764368000000001</v>
      </c>
      <c r="AX7" s="151">
        <v>0.53423372000000002</v>
      </c>
      <c r="AY7" s="151">
        <v>0.36790038000000003</v>
      </c>
      <c r="AZ7" s="151">
        <v>0.11044828</v>
      </c>
      <c r="BA7" s="151">
        <v>7.1567049999999993E-2</v>
      </c>
      <c r="BB7" s="151">
        <v>0.32256705000000002</v>
      </c>
      <c r="BC7" s="151">
        <v>0.27349042000000001</v>
      </c>
      <c r="BD7" s="151">
        <v>8.104981E-2</v>
      </c>
      <c r="BE7" s="151">
        <v>0.34959003999999999</v>
      </c>
      <c r="BF7" s="151">
        <v>0.43982758999999999</v>
      </c>
      <c r="BG7" s="151">
        <v>0.47752106999999999</v>
      </c>
      <c r="BH7" s="151">
        <v>0.65896169000000004</v>
      </c>
      <c r="BI7" s="151">
        <v>1.0017279699999999</v>
      </c>
      <c r="BJ7" s="151">
        <v>0.35566667000000002</v>
      </c>
      <c r="BK7" s="151">
        <v>0.27431418000000002</v>
      </c>
      <c r="BL7" s="151">
        <v>0.30248276000000002</v>
      </c>
      <c r="BM7" s="151">
        <v>0.20460919999999999</v>
      </c>
      <c r="BN7" s="151">
        <v>63.845057500000003</v>
      </c>
      <c r="BO7" s="151">
        <v>21.944329499999998</v>
      </c>
      <c r="BP7" s="151">
        <v>3.233716475</v>
      </c>
      <c r="BQ7" s="6"/>
    </row>
    <row r="8" spans="1:84">
      <c r="A8" s="179">
        <v>25317</v>
      </c>
      <c r="B8" s="149" t="s">
        <v>1631</v>
      </c>
      <c r="D8" s="10"/>
      <c r="E8" s="227" t="s">
        <v>1625</v>
      </c>
      <c r="F8" s="150">
        <v>8</v>
      </c>
      <c r="G8" s="149" t="s">
        <v>1631</v>
      </c>
      <c r="J8" s="151">
        <v>69.366799700000001</v>
      </c>
      <c r="K8" s="151">
        <v>98.364568500000004</v>
      </c>
      <c r="L8" s="151">
        <v>1.8445137599999999</v>
      </c>
      <c r="M8" s="151">
        <v>3.9592495900000002</v>
      </c>
      <c r="N8" s="151">
        <v>5.8674616100000003</v>
      </c>
      <c r="O8" s="151">
        <v>2.7541966200000001</v>
      </c>
      <c r="P8" s="151">
        <v>4.7710330000000002E-2</v>
      </c>
      <c r="Q8" s="151">
        <v>5.555061E-2</v>
      </c>
      <c r="R8" s="151">
        <v>0.53216936000000004</v>
      </c>
      <c r="S8" s="151">
        <v>0.27690764000000001</v>
      </c>
      <c r="T8" s="151">
        <v>0.10486023</v>
      </c>
      <c r="U8" s="151">
        <v>15.610947400000001</v>
      </c>
      <c r="V8" s="151">
        <v>0</v>
      </c>
      <c r="W8" s="151">
        <v>18.623864300000001</v>
      </c>
      <c r="X8" s="151">
        <v>2.1835771899999998</v>
      </c>
      <c r="Y8" s="151">
        <v>0.44958646000000002</v>
      </c>
      <c r="Z8" s="151">
        <v>45.793182899999998</v>
      </c>
      <c r="AA8" s="151">
        <v>0</v>
      </c>
      <c r="AB8" s="151">
        <v>116.095812</v>
      </c>
      <c r="AC8" s="151">
        <v>375.47630299999997</v>
      </c>
      <c r="AD8" s="151">
        <v>1020.33521</v>
      </c>
      <c r="AE8" s="151">
        <v>314.200401</v>
      </c>
      <c r="AF8" s="151">
        <v>6.0165110000000001E-2</v>
      </c>
      <c r="AG8" s="151">
        <v>2.6400660399999998</v>
      </c>
      <c r="AH8" s="151">
        <v>20.098536800000002</v>
      </c>
      <c r="AI8" s="151">
        <v>38.311829899999999</v>
      </c>
      <c r="AJ8" s="151">
        <v>0.16029513000000001</v>
      </c>
      <c r="AK8" s="151">
        <v>1.09535636</v>
      </c>
      <c r="AL8" s="151">
        <v>28.329916799999999</v>
      </c>
      <c r="AM8" s="151">
        <v>0.51497744000000001</v>
      </c>
      <c r="AN8" s="151">
        <v>35.474037799999998</v>
      </c>
      <c r="AO8" s="151">
        <v>264.68502799999999</v>
      </c>
      <c r="AP8" s="151">
        <v>0.79737685999999997</v>
      </c>
      <c r="AQ8" s="151">
        <v>0.35281796999999998</v>
      </c>
      <c r="AR8" s="151">
        <v>0.67043697999999996</v>
      </c>
      <c r="AS8" s="151">
        <v>0.88156177999999996</v>
      </c>
      <c r="AT8" s="151">
        <v>2.2745326100000001</v>
      </c>
      <c r="AU8" s="151">
        <v>0</v>
      </c>
      <c r="AV8" s="151">
        <v>3.4330189999999997E-2</v>
      </c>
      <c r="AW8" s="151">
        <v>6.8442009999999998E-2</v>
      </c>
      <c r="AX8" s="151">
        <v>0.10623304</v>
      </c>
      <c r="AY8" s="151">
        <v>8.0812040000000002E-2</v>
      </c>
      <c r="AZ8" s="151">
        <v>1.7909990000000001E-2</v>
      </c>
      <c r="BA8" s="151">
        <v>1.8010169999999999E-2</v>
      </c>
      <c r="BB8" s="151">
        <v>7.266098E-2</v>
      </c>
      <c r="BC8" s="151">
        <v>6.863532E-2</v>
      </c>
      <c r="BD8" s="151">
        <v>1.880546E-2</v>
      </c>
      <c r="BE8" s="151">
        <v>9.0426270000000003E-2</v>
      </c>
      <c r="BF8" s="151">
        <v>0.10744140000000001</v>
      </c>
      <c r="BG8" s="151">
        <v>0.10379084</v>
      </c>
      <c r="BH8" s="151">
        <v>0.22564206000000001</v>
      </c>
      <c r="BI8" s="151">
        <v>0.32164439</v>
      </c>
      <c r="BJ8" s="151">
        <v>8.2922889999999999E-2</v>
      </c>
      <c r="BK8" s="151">
        <v>6.9730500000000001E-2</v>
      </c>
      <c r="BL8" s="151">
        <v>8.5337150000000001E-2</v>
      </c>
      <c r="BM8" s="151">
        <v>5.0532290000000001E-2</v>
      </c>
      <c r="BN8" s="151">
        <v>24.9260512</v>
      </c>
      <c r="BO8" s="151">
        <v>26.171340099999998</v>
      </c>
      <c r="BP8" s="151">
        <v>4.5459548710000002</v>
      </c>
      <c r="BQ8" s="6"/>
    </row>
    <row r="9" spans="1:84">
      <c r="A9" s="179">
        <v>51101</v>
      </c>
      <c r="B9" s="149" t="s">
        <v>1632</v>
      </c>
      <c r="E9" s="227" t="s">
        <v>1625</v>
      </c>
      <c r="F9" s="150">
        <v>9</v>
      </c>
      <c r="G9" s="149" t="s">
        <v>1632</v>
      </c>
      <c r="J9" s="151">
        <v>248.39490000000001</v>
      </c>
      <c r="K9" s="151">
        <v>88.279621800000001</v>
      </c>
      <c r="L9" s="151">
        <v>15.673978099999999</v>
      </c>
      <c r="M9" s="151">
        <v>18.800404799999999</v>
      </c>
      <c r="N9" s="151">
        <v>3.9899203700000001</v>
      </c>
      <c r="O9" s="151">
        <v>1.0469807600000001</v>
      </c>
      <c r="P9" s="151">
        <v>5.115654E-2</v>
      </c>
      <c r="Q9" s="151">
        <v>8.9726009999999995E-2</v>
      </c>
      <c r="R9" s="151">
        <v>1.2158723300000001</v>
      </c>
      <c r="S9" s="151">
        <v>0.30400173000000003</v>
      </c>
      <c r="T9" s="151">
        <v>0.20677172999999999</v>
      </c>
      <c r="U9" s="151">
        <v>5.1318530200000003</v>
      </c>
      <c r="V9" s="151">
        <v>0</v>
      </c>
      <c r="W9" s="151">
        <v>1.5689366300000001</v>
      </c>
      <c r="X9" s="151">
        <v>0.83486861000000001</v>
      </c>
      <c r="Y9" s="151">
        <v>0.39632422</v>
      </c>
      <c r="Z9" s="151">
        <v>21.044834099999999</v>
      </c>
      <c r="AA9" s="151">
        <v>5.6859360299999997</v>
      </c>
      <c r="AB9" s="151">
        <v>6.7457664199999998</v>
      </c>
      <c r="AC9" s="151">
        <v>2.7571330000000002E-2</v>
      </c>
      <c r="AD9" s="151">
        <v>72.429754500000001</v>
      </c>
      <c r="AE9" s="151">
        <v>19.027116800000002</v>
      </c>
      <c r="AF9" s="151">
        <v>0.27807565000000001</v>
      </c>
      <c r="AG9" s="151">
        <v>12.4757797</v>
      </c>
      <c r="AH9" s="151">
        <v>21.840859300000002</v>
      </c>
      <c r="AI9" s="151">
        <v>32.929458199999999</v>
      </c>
      <c r="AJ9" s="151">
        <v>0.27045785999999999</v>
      </c>
      <c r="AK9" s="151">
        <v>1.3541935</v>
      </c>
      <c r="AL9" s="151">
        <v>21.402916399999999</v>
      </c>
      <c r="AM9" s="151">
        <v>0.42328799</v>
      </c>
      <c r="AN9" s="151">
        <v>107.059162</v>
      </c>
      <c r="AO9" s="151">
        <v>162.84372099999999</v>
      </c>
      <c r="AP9" s="151">
        <v>16.190232200000001</v>
      </c>
      <c r="AQ9" s="151">
        <v>1.61521234</v>
      </c>
      <c r="AR9" s="151">
        <v>1.93293962</v>
      </c>
      <c r="AS9" s="151">
        <v>2.7527670899999999</v>
      </c>
      <c r="AT9" s="151">
        <v>5.80649602</v>
      </c>
      <c r="AU9" s="151">
        <v>59.110749800000001</v>
      </c>
      <c r="AV9" s="151">
        <v>0.72078931999999996</v>
      </c>
      <c r="AW9" s="151">
        <v>0.49842468000000001</v>
      </c>
      <c r="AX9" s="151">
        <v>1.2091950899999999</v>
      </c>
      <c r="AY9" s="151">
        <v>1.3577790300000001</v>
      </c>
      <c r="AZ9" s="151">
        <v>0.93761346999999995</v>
      </c>
      <c r="BA9" s="151">
        <v>1.37525315</v>
      </c>
      <c r="BB9" s="151">
        <v>1.11524121</v>
      </c>
      <c r="BC9" s="151">
        <v>0.82159455999999997</v>
      </c>
      <c r="BD9" s="151">
        <v>0.21225016999999999</v>
      </c>
      <c r="BE9" s="151">
        <v>0.81044393000000003</v>
      </c>
      <c r="BF9" s="151">
        <v>0.43683743000000003</v>
      </c>
      <c r="BG9" s="151">
        <v>2.4210587299999999</v>
      </c>
      <c r="BH9" s="151">
        <v>0.76589748000000002</v>
      </c>
      <c r="BI9" s="151">
        <v>0.35811015000000002</v>
      </c>
      <c r="BJ9" s="151">
        <v>0.72954081000000004</v>
      </c>
      <c r="BK9" s="151">
        <v>0.77569111000000002</v>
      </c>
      <c r="BL9" s="151">
        <v>0.75128799000000002</v>
      </c>
      <c r="BM9" s="151">
        <v>0.61817319000000004</v>
      </c>
      <c r="BN9" s="151">
        <v>20.331214299999999</v>
      </c>
      <c r="BO9" s="151">
        <v>12.719243499999999</v>
      </c>
      <c r="BP9" s="151">
        <v>1.622428666</v>
      </c>
      <c r="BQ9" s="6"/>
    </row>
    <row r="10" spans="1:84">
      <c r="A10" s="179">
        <v>41100</v>
      </c>
      <c r="B10" s="149" t="s">
        <v>1633</v>
      </c>
      <c r="E10" s="227" t="s">
        <v>1625</v>
      </c>
      <c r="F10" s="150">
        <v>10</v>
      </c>
      <c r="G10" s="149" t="s">
        <v>1633</v>
      </c>
      <c r="J10" s="151">
        <v>211.57220699999999</v>
      </c>
      <c r="K10" s="151">
        <v>136.87148500000001</v>
      </c>
      <c r="L10" s="151">
        <v>11.4341689</v>
      </c>
      <c r="M10" s="151">
        <v>15.366062700000001</v>
      </c>
      <c r="N10" s="151">
        <v>6.5276294300000002</v>
      </c>
      <c r="O10" s="151">
        <v>1.8152861</v>
      </c>
      <c r="P10" s="151">
        <v>2.670368E-2</v>
      </c>
      <c r="Q10" s="151">
        <v>6.7431909999999998E-2</v>
      </c>
      <c r="R10" s="151">
        <v>0.23206873</v>
      </c>
      <c r="S10" s="151">
        <v>0.13620135999999999</v>
      </c>
      <c r="T10" s="151">
        <v>9.9940459999999995E-2</v>
      </c>
      <c r="U10" s="151">
        <v>8.7248501399999991</v>
      </c>
      <c r="V10" s="151">
        <v>4.7836512300000003</v>
      </c>
      <c r="W10" s="151">
        <v>13.7867841</v>
      </c>
      <c r="X10" s="151">
        <v>0.77441417000000001</v>
      </c>
      <c r="Y10" s="151">
        <v>0.2595673</v>
      </c>
      <c r="Z10" s="151">
        <v>43.376331100000002</v>
      </c>
      <c r="AA10" s="151">
        <v>0</v>
      </c>
      <c r="AB10" s="151">
        <v>1311.2359100000001</v>
      </c>
      <c r="AC10" s="151">
        <v>2.2070844699999999</v>
      </c>
      <c r="AD10" s="151">
        <v>112.173051</v>
      </c>
      <c r="AE10" s="151">
        <v>412.51344699999999</v>
      </c>
      <c r="AF10" s="151">
        <v>0</v>
      </c>
      <c r="AG10" s="151">
        <v>0</v>
      </c>
      <c r="AH10" s="151">
        <v>4.8080865099999999</v>
      </c>
      <c r="AI10" s="151">
        <v>489.36084499999998</v>
      </c>
      <c r="AJ10" s="151">
        <v>0.25734468999999999</v>
      </c>
      <c r="AK10" s="151">
        <v>2.7564741100000001</v>
      </c>
      <c r="AL10" s="151">
        <v>34.088792900000001</v>
      </c>
      <c r="AM10" s="151">
        <v>0.25212806999999998</v>
      </c>
      <c r="AN10" s="151">
        <v>234.91559899999999</v>
      </c>
      <c r="AO10" s="151">
        <v>243.997232</v>
      </c>
      <c r="AP10" s="151">
        <v>0.24303815000000001</v>
      </c>
      <c r="AQ10" s="151">
        <v>2.3343733000000002</v>
      </c>
      <c r="AR10" s="151">
        <v>2.0188555899999998</v>
      </c>
      <c r="AS10" s="151">
        <v>2.9447139</v>
      </c>
      <c r="AT10" s="151">
        <v>7.39527248</v>
      </c>
      <c r="AU10" s="151">
        <v>0</v>
      </c>
      <c r="AV10" s="151">
        <v>2.0441419999999998E-2</v>
      </c>
      <c r="AW10" s="151">
        <v>3.9294280000000001E-2</v>
      </c>
      <c r="AX10" s="151">
        <v>5.9430520000000001E-2</v>
      </c>
      <c r="AY10" s="151">
        <v>4.0301089999999998E-2</v>
      </c>
      <c r="AZ10" s="151">
        <v>1.4346050000000001E-2</v>
      </c>
      <c r="BA10" s="151">
        <v>1.3177110000000001E-2</v>
      </c>
      <c r="BB10" s="151">
        <v>4.5629429999999999E-2</v>
      </c>
      <c r="BC10" s="151">
        <v>3.9260219999999998E-2</v>
      </c>
      <c r="BD10" s="151">
        <v>1.3291549999999999E-2</v>
      </c>
      <c r="BE10" s="151">
        <v>4.4325610000000001E-2</v>
      </c>
      <c r="BF10" s="151">
        <v>5.7892369999999999E-2</v>
      </c>
      <c r="BG10" s="151">
        <v>0.11956131</v>
      </c>
      <c r="BH10" s="151">
        <v>0.14360218</v>
      </c>
      <c r="BI10" s="151">
        <v>0.26028065</v>
      </c>
      <c r="BJ10" s="151">
        <v>6.1235690000000002E-2</v>
      </c>
      <c r="BK10" s="151">
        <v>3.6783379999999997E-2</v>
      </c>
      <c r="BL10" s="151">
        <v>4.0982289999999998E-2</v>
      </c>
      <c r="BM10" s="151">
        <v>3.0076289999999999E-2</v>
      </c>
      <c r="BN10" s="151">
        <v>29.989891</v>
      </c>
      <c r="BO10" s="151">
        <v>10.6952452</v>
      </c>
      <c r="BP10" s="151">
        <v>6.8147138959999998</v>
      </c>
      <c r="BQ10" s="6"/>
    </row>
    <row r="11" spans="1:84">
      <c r="A11" s="179">
        <v>43101</v>
      </c>
      <c r="B11" s="149" t="s">
        <v>1634</v>
      </c>
      <c r="E11" s="227" t="s">
        <v>1625</v>
      </c>
      <c r="F11" s="150">
        <v>11</v>
      </c>
      <c r="G11" s="149" t="s">
        <v>1634</v>
      </c>
      <c r="J11" s="151">
        <v>139.99643399999999</v>
      </c>
      <c r="K11" s="151">
        <v>121.918452</v>
      </c>
      <c r="L11" s="151">
        <v>11.290584900000001</v>
      </c>
      <c r="M11" s="151">
        <v>9.3031883000000004</v>
      </c>
      <c r="N11" s="151">
        <v>2.8521397999999998</v>
      </c>
      <c r="O11" s="151">
        <v>0.84545649</v>
      </c>
      <c r="P11" s="151">
        <v>3.3844289999999999E-2</v>
      </c>
      <c r="Q11" s="151">
        <v>6.4169509999999999E-2</v>
      </c>
      <c r="R11" s="151">
        <v>0.52070477999999998</v>
      </c>
      <c r="S11" s="151">
        <v>0.82091241000000004</v>
      </c>
      <c r="T11" s="151">
        <v>9.1740009999999997E-2</v>
      </c>
      <c r="U11" s="151">
        <v>4.0178815999999999</v>
      </c>
      <c r="V11" s="151">
        <v>3.2310984299999999</v>
      </c>
      <c r="W11" s="151">
        <v>6.0182806299999996</v>
      </c>
      <c r="X11" s="151">
        <v>0.76835407</v>
      </c>
      <c r="Y11" s="151">
        <v>0.16405049999999999</v>
      </c>
      <c r="Z11" s="151">
        <v>23.706330399999999</v>
      </c>
      <c r="AA11" s="151">
        <v>0</v>
      </c>
      <c r="AB11" s="151">
        <v>6.0252744700000003</v>
      </c>
      <c r="AC11" s="151">
        <v>1.1298145500000001</v>
      </c>
      <c r="AD11" s="151">
        <v>67.044836799999999</v>
      </c>
      <c r="AE11" s="151">
        <v>210.30873800000001</v>
      </c>
      <c r="AF11" s="151">
        <v>5.1982880000000002E-2</v>
      </c>
      <c r="AG11" s="151">
        <v>2.2810271000000002</v>
      </c>
      <c r="AH11" s="151">
        <v>5.8628964300000002</v>
      </c>
      <c r="AI11" s="151">
        <v>435.14671199999998</v>
      </c>
      <c r="AJ11" s="151">
        <v>0.30429225999999998</v>
      </c>
      <c r="AK11" s="151">
        <v>1.1311875899999999</v>
      </c>
      <c r="AL11" s="151">
        <v>15.608388</v>
      </c>
      <c r="AM11" s="151">
        <v>0.26204707999999999</v>
      </c>
      <c r="AN11" s="151">
        <v>101.98877299999999</v>
      </c>
      <c r="AO11" s="151">
        <v>212.96213299999999</v>
      </c>
      <c r="AP11" s="151">
        <v>33.618537799999999</v>
      </c>
      <c r="AQ11" s="151">
        <v>0.91656919000000003</v>
      </c>
      <c r="AR11" s="151">
        <v>1.33370185</v>
      </c>
      <c r="AS11" s="151">
        <v>1.8474643399999999</v>
      </c>
      <c r="AT11" s="151">
        <v>4.5370977200000002</v>
      </c>
      <c r="AU11" s="151">
        <v>34.191483599999998</v>
      </c>
      <c r="AV11" s="151">
        <v>0.61671469000000001</v>
      </c>
      <c r="AW11" s="151">
        <v>0.53865834999999995</v>
      </c>
      <c r="AX11" s="151">
        <v>0.82610698999999999</v>
      </c>
      <c r="AY11" s="151">
        <v>1.0407746099999999</v>
      </c>
      <c r="AZ11" s="151">
        <v>0.71561198000000004</v>
      </c>
      <c r="BA11" s="151">
        <v>1.9327703300000001</v>
      </c>
      <c r="BB11" s="151">
        <v>0.69035521</v>
      </c>
      <c r="BC11" s="151">
        <v>0.38732381999999999</v>
      </c>
      <c r="BD11" s="151">
        <v>0.13872467999999999</v>
      </c>
      <c r="BE11" s="151">
        <v>0.70650356999999997</v>
      </c>
      <c r="BF11" s="151">
        <v>0.33721468999999998</v>
      </c>
      <c r="BG11" s="151">
        <v>0.51803993999999998</v>
      </c>
      <c r="BH11" s="151">
        <v>0.25044864</v>
      </c>
      <c r="BI11" s="151">
        <v>1.0222788899999999</v>
      </c>
      <c r="BJ11" s="151">
        <v>1.2497582</v>
      </c>
      <c r="BK11" s="151">
        <v>0.83336233999999998</v>
      </c>
      <c r="BL11" s="151">
        <v>0.60821897000000003</v>
      </c>
      <c r="BM11" s="151">
        <v>0.44670327999999998</v>
      </c>
      <c r="BN11" s="151">
        <v>12.394293899999999</v>
      </c>
      <c r="BO11" s="151">
        <v>4.9790370900000003</v>
      </c>
      <c r="BP11" s="151">
        <v>2.987874465</v>
      </c>
      <c r="BQ11" s="6"/>
    </row>
    <row r="12" spans="1:84">
      <c r="A12" s="179">
        <v>81203</v>
      </c>
      <c r="B12" s="149" t="s">
        <v>1635</v>
      </c>
      <c r="E12" s="227" t="s">
        <v>1625</v>
      </c>
      <c r="F12" s="150">
        <v>12</v>
      </c>
      <c r="G12" s="149" t="s">
        <v>1635</v>
      </c>
      <c r="J12" s="151">
        <v>155.119686</v>
      </c>
      <c r="K12" s="151">
        <v>103.97312599999999</v>
      </c>
      <c r="L12" s="151">
        <v>3.0725754900000002</v>
      </c>
      <c r="M12" s="151">
        <v>3.67242918</v>
      </c>
      <c r="N12" s="151">
        <v>27.001633200000001</v>
      </c>
      <c r="O12" s="151">
        <v>1.60194656</v>
      </c>
      <c r="P12" s="151">
        <v>4.299733E-2</v>
      </c>
      <c r="Q12" s="151">
        <v>0.22770457999999999</v>
      </c>
      <c r="R12" s="151">
        <v>0.27601102999999999</v>
      </c>
      <c r="S12" s="151">
        <v>0.30629347000000001</v>
      </c>
      <c r="T12" s="151">
        <v>3.7834710000000001E-2</v>
      </c>
      <c r="U12" s="151">
        <v>4.0173971599999998</v>
      </c>
      <c r="V12" s="151">
        <v>0.22073791000000001</v>
      </c>
      <c r="W12" s="151">
        <v>0.91020780000000001</v>
      </c>
      <c r="X12" s="151">
        <v>1.0389058499999999</v>
      </c>
      <c r="Y12" s="151">
        <v>0.22826124</v>
      </c>
      <c r="Z12" s="151">
        <v>0.20989822</v>
      </c>
      <c r="AA12" s="151">
        <v>26.647480900000001</v>
      </c>
      <c r="AB12" s="151">
        <v>28.0187451</v>
      </c>
      <c r="AC12" s="151">
        <v>0</v>
      </c>
      <c r="AD12" s="151">
        <v>14.190585199999999</v>
      </c>
      <c r="AE12" s="151">
        <v>8.7222731099999997</v>
      </c>
      <c r="AF12" s="151">
        <v>0</v>
      </c>
      <c r="AG12" s="151">
        <v>0</v>
      </c>
      <c r="AH12" s="151">
        <v>4.4882866799999999</v>
      </c>
      <c r="AI12" s="151">
        <v>114.173367</v>
      </c>
      <c r="AJ12" s="151">
        <v>6.1359629999999998E-2</v>
      </c>
      <c r="AK12" s="151">
        <v>0.47782018999999998</v>
      </c>
      <c r="AL12" s="151">
        <v>15.356030499999999</v>
      </c>
      <c r="AM12" s="151">
        <v>0.13385963000000001</v>
      </c>
      <c r="AN12" s="151">
        <v>86.840534399999996</v>
      </c>
      <c r="AO12" s="151">
        <v>357.79390999999998</v>
      </c>
      <c r="AP12" s="151">
        <v>0.99306192000000004</v>
      </c>
      <c r="AQ12" s="151">
        <v>0.46470314000000001</v>
      </c>
      <c r="AR12" s="151">
        <v>1.7420610700000001</v>
      </c>
      <c r="AS12" s="151">
        <v>1.0615012699999999</v>
      </c>
      <c r="AT12" s="151">
        <v>0.21246819</v>
      </c>
      <c r="AU12" s="151">
        <v>13.2089567</v>
      </c>
      <c r="AV12" s="151">
        <v>7.0738759999999998E-2</v>
      </c>
      <c r="AW12" s="151">
        <v>0.11855130999999999</v>
      </c>
      <c r="AX12" s="151">
        <v>0.24092451000000001</v>
      </c>
      <c r="AY12" s="151">
        <v>0.20158439</v>
      </c>
      <c r="AZ12" s="151">
        <v>6.2410519999999997E-2</v>
      </c>
      <c r="BA12" s="151">
        <v>1.957337E-2</v>
      </c>
      <c r="BB12" s="151">
        <v>0.12665478999999999</v>
      </c>
      <c r="BC12" s="151">
        <v>0.11301442</v>
      </c>
      <c r="BD12" s="151">
        <v>3.0236639999999999E-2</v>
      </c>
      <c r="BE12" s="151">
        <v>0.17037574</v>
      </c>
      <c r="BF12" s="151">
        <v>0.14412976999999999</v>
      </c>
      <c r="BG12" s="151">
        <v>0.10637574</v>
      </c>
      <c r="BH12" s="151">
        <v>0.20057675999999999</v>
      </c>
      <c r="BI12" s="151">
        <v>0.66216708999999996</v>
      </c>
      <c r="BJ12" s="151">
        <v>6.1977949999999997E-2</v>
      </c>
      <c r="BK12" s="151">
        <v>0.23847583</v>
      </c>
      <c r="BL12" s="151">
        <v>0.14755471000000001</v>
      </c>
      <c r="BM12" s="151">
        <v>0.12759541999999999</v>
      </c>
      <c r="BN12" s="151">
        <v>3.3693469</v>
      </c>
      <c r="BO12" s="151">
        <v>6.2711874500000002</v>
      </c>
      <c r="BP12" s="151">
        <v>0</v>
      </c>
      <c r="BQ12" s="6"/>
    </row>
    <row r="13" spans="1:84">
      <c r="A13" s="179">
        <v>53101</v>
      </c>
      <c r="B13" s="149" t="s">
        <v>1636</v>
      </c>
      <c r="E13" s="227" t="s">
        <v>1625</v>
      </c>
      <c r="F13" s="150">
        <v>13</v>
      </c>
      <c r="G13" s="149" t="s">
        <v>1636</v>
      </c>
      <c r="J13" s="151">
        <v>208.91763599999999</v>
      </c>
      <c r="K13" s="151">
        <v>166.62653599999999</v>
      </c>
      <c r="L13" s="151">
        <v>19.182199799999999</v>
      </c>
      <c r="M13" s="151">
        <v>10.4393429</v>
      </c>
      <c r="N13" s="151">
        <v>7.6513351500000004</v>
      </c>
      <c r="O13" s="151">
        <v>1.85696594</v>
      </c>
      <c r="P13" s="151">
        <v>4.2955680000000003E-2</v>
      </c>
      <c r="Q13" s="151">
        <v>9.765443E-2</v>
      </c>
      <c r="R13" s="151">
        <v>2.2692558300000001</v>
      </c>
      <c r="S13" s="151">
        <v>0.69508367000000004</v>
      </c>
      <c r="T13" s="151">
        <v>0.23566034</v>
      </c>
      <c r="U13" s="151">
        <v>7.9453382599999998</v>
      </c>
      <c r="V13" s="151">
        <v>1.0716018700000001</v>
      </c>
      <c r="W13" s="151">
        <v>3.5178110399999998</v>
      </c>
      <c r="X13" s="151">
        <v>1.0147740300000001</v>
      </c>
      <c r="Y13" s="151">
        <v>0.44049284999999999</v>
      </c>
      <c r="Z13" s="151">
        <v>18.714494599999998</v>
      </c>
      <c r="AA13" s="151">
        <v>9.1329704500000002</v>
      </c>
      <c r="AB13" s="151">
        <v>17.677330000000001</v>
      </c>
      <c r="AC13" s="151">
        <v>2.4212290000000001E-2</v>
      </c>
      <c r="AD13" s="151">
        <v>92.449016599999993</v>
      </c>
      <c r="AE13" s="151">
        <v>22.9488305</v>
      </c>
      <c r="AF13" s="151">
        <v>0.34003109999999998</v>
      </c>
      <c r="AG13" s="151">
        <v>15.0669518</v>
      </c>
      <c r="AH13" s="151">
        <v>26.495915199999999</v>
      </c>
      <c r="AI13" s="151">
        <v>32.423786900000003</v>
      </c>
      <c r="AJ13" s="151">
        <v>0.27989439999999999</v>
      </c>
      <c r="AK13" s="151">
        <v>3.0179214600000002</v>
      </c>
      <c r="AL13" s="151">
        <v>25.5707722</v>
      </c>
      <c r="AM13" s="151">
        <v>0.66822099999999995</v>
      </c>
      <c r="AN13" s="151">
        <v>118.843558</v>
      </c>
      <c r="AO13" s="151">
        <v>261.22393</v>
      </c>
      <c r="AP13" s="151">
        <v>10.911108199999999</v>
      </c>
      <c r="AQ13" s="151">
        <v>3.3492082399999998</v>
      </c>
      <c r="AR13" s="151">
        <v>2.0872645400000001</v>
      </c>
      <c r="AS13" s="151">
        <v>2.7092471200000001</v>
      </c>
      <c r="AT13" s="151">
        <v>4.9842872500000004</v>
      </c>
      <c r="AU13" s="151">
        <v>92.953343700000005</v>
      </c>
      <c r="AV13" s="151">
        <v>0.68108690999999999</v>
      </c>
      <c r="AW13" s="151">
        <v>0.90596275000000004</v>
      </c>
      <c r="AX13" s="151">
        <v>1.5453715699999999</v>
      </c>
      <c r="AY13" s="151">
        <v>1.60642241</v>
      </c>
      <c r="AZ13" s="151">
        <v>0.49960241</v>
      </c>
      <c r="BA13" s="151">
        <v>0.14951703</v>
      </c>
      <c r="BB13" s="151">
        <v>0.80942654999999997</v>
      </c>
      <c r="BC13" s="151">
        <v>0.86196636000000004</v>
      </c>
      <c r="BD13" s="151">
        <v>0.21323473000000001</v>
      </c>
      <c r="BE13" s="151">
        <v>1.0045686300000001</v>
      </c>
      <c r="BF13" s="151">
        <v>1.19735171</v>
      </c>
      <c r="BG13" s="151">
        <v>1.2989906099999999</v>
      </c>
      <c r="BH13" s="151">
        <v>1.8263210999999999</v>
      </c>
      <c r="BI13" s="151">
        <v>2.98669283</v>
      </c>
      <c r="BJ13" s="151">
        <v>1.02194093</v>
      </c>
      <c r="BK13" s="151">
        <v>0.80883212000000004</v>
      </c>
      <c r="BL13" s="151">
        <v>0.81200156999999995</v>
      </c>
      <c r="BM13" s="151">
        <v>0.67200002999999997</v>
      </c>
      <c r="BN13" s="151">
        <v>35.320466600000003</v>
      </c>
      <c r="BO13" s="151">
        <v>18.075038899999999</v>
      </c>
      <c r="BP13" s="151">
        <v>2.3172628300000002</v>
      </c>
      <c r="BQ13" s="6"/>
    </row>
    <row r="14" spans="1:84">
      <c r="A14" s="179">
        <v>42100</v>
      </c>
      <c r="B14" s="149" t="s">
        <v>1637</v>
      </c>
      <c r="E14" s="227" t="s">
        <v>1625</v>
      </c>
      <c r="F14" s="150">
        <v>14</v>
      </c>
      <c r="G14" s="149" t="s">
        <v>1637</v>
      </c>
      <c r="J14" s="151">
        <v>264.48648600000001</v>
      </c>
      <c r="K14" s="151">
        <v>168.38201699999999</v>
      </c>
      <c r="L14" s="151">
        <v>13.6767775</v>
      </c>
      <c r="M14" s="151">
        <v>21.3082536</v>
      </c>
      <c r="N14" s="151">
        <v>4.9093139299999997</v>
      </c>
      <c r="O14" s="151">
        <v>0.99983367999999995</v>
      </c>
      <c r="P14" s="151">
        <v>5.9660909999999998E-2</v>
      </c>
      <c r="Q14" s="151">
        <v>0.11187604</v>
      </c>
      <c r="R14" s="151">
        <v>1.2282337800000001</v>
      </c>
      <c r="S14" s="151">
        <v>6.534761E-2</v>
      </c>
      <c r="T14" s="151">
        <v>0.21370457000000001</v>
      </c>
      <c r="U14" s="151">
        <v>3.6933471899999999</v>
      </c>
      <c r="V14" s="151">
        <v>0</v>
      </c>
      <c r="W14" s="151">
        <v>2.6928914800000001</v>
      </c>
      <c r="X14" s="151">
        <v>0.32322244999999999</v>
      </c>
      <c r="Y14" s="151">
        <v>0.13698046</v>
      </c>
      <c r="Z14" s="151">
        <v>33.914124299999997</v>
      </c>
      <c r="AA14" s="151">
        <v>0</v>
      </c>
      <c r="AB14" s="151">
        <v>2.5014110199999999</v>
      </c>
      <c r="AC14" s="151">
        <v>0</v>
      </c>
      <c r="AD14" s="151">
        <v>27.9332335</v>
      </c>
      <c r="AE14" s="151">
        <v>12.1262162</v>
      </c>
      <c r="AF14" s="151">
        <v>7.5758839999999994E-2</v>
      </c>
      <c r="AG14" s="151">
        <v>3.3243243200000001</v>
      </c>
      <c r="AH14" s="151">
        <v>6.8255253600000003</v>
      </c>
      <c r="AI14" s="151">
        <v>417.56293099999999</v>
      </c>
      <c r="AJ14" s="151">
        <v>0.27256345999999998</v>
      </c>
      <c r="AK14" s="151">
        <v>1.49830208</v>
      </c>
      <c r="AL14" s="151">
        <v>33.059474000000002</v>
      </c>
      <c r="AM14" s="151">
        <v>0.14775052</v>
      </c>
      <c r="AN14" s="151">
        <v>146.08108100000001</v>
      </c>
      <c r="AO14" s="151">
        <v>219.53431499999999</v>
      </c>
      <c r="AP14" s="151">
        <v>0.20962578000000001</v>
      </c>
      <c r="AQ14" s="151">
        <v>0.98989605000000003</v>
      </c>
      <c r="AR14" s="151">
        <v>2.7272349299999998</v>
      </c>
      <c r="AS14" s="151">
        <v>3.9902286899999999</v>
      </c>
      <c r="AT14" s="151">
        <v>10.079340999999999</v>
      </c>
      <c r="AU14" s="151">
        <v>0</v>
      </c>
      <c r="AV14" s="151">
        <v>1.1374220000000001E-2</v>
      </c>
      <c r="AW14" s="151">
        <v>2.1484409999999999E-2</v>
      </c>
      <c r="AX14" s="151">
        <v>3.1311850000000002E-2</v>
      </c>
      <c r="AY14" s="151">
        <v>2.1833680000000001E-2</v>
      </c>
      <c r="AZ14" s="151">
        <v>9.1205799999999997E-3</v>
      </c>
      <c r="BA14" s="151">
        <v>7.9022899999999993E-3</v>
      </c>
      <c r="BB14" s="151">
        <v>2.5498960000000001E-2</v>
      </c>
      <c r="BC14" s="151">
        <v>2.0804570000000001E-2</v>
      </c>
      <c r="BD14" s="151">
        <v>6.9625800000000003E-3</v>
      </c>
      <c r="BE14" s="151">
        <v>2.451559E-2</v>
      </c>
      <c r="BF14" s="151">
        <v>3.0625779999999998E-2</v>
      </c>
      <c r="BG14" s="151">
        <v>7.6968809999999999E-2</v>
      </c>
      <c r="BH14" s="151">
        <v>7.0912680000000006E-2</v>
      </c>
      <c r="BI14" s="151">
        <v>0.16004366</v>
      </c>
      <c r="BJ14" s="151">
        <v>3.4525989999999999E-2</v>
      </c>
      <c r="BK14" s="151">
        <v>1.9577959999999998E-2</v>
      </c>
      <c r="BL14" s="151">
        <v>2.1284819999999999E-2</v>
      </c>
      <c r="BM14" s="151">
        <v>1.53659E-2</v>
      </c>
      <c r="BN14" s="151">
        <v>19.117380499999999</v>
      </c>
      <c r="BO14" s="151">
        <v>6.7766735999999996</v>
      </c>
      <c r="BP14" s="151">
        <v>1.8004157999999999</v>
      </c>
      <c r="BQ14" s="6"/>
    </row>
    <row r="15" spans="1:84">
      <c r="A15" s="179">
        <v>67201</v>
      </c>
      <c r="B15" s="149" t="s">
        <v>1638</v>
      </c>
      <c r="E15" s="227" t="s">
        <v>1625</v>
      </c>
      <c r="F15" s="150">
        <v>15</v>
      </c>
      <c r="G15" s="149" t="s">
        <v>1638</v>
      </c>
      <c r="J15" s="151">
        <v>347.316058</v>
      </c>
      <c r="K15" s="151">
        <v>51.131131400000001</v>
      </c>
      <c r="L15" s="151">
        <v>4.3153503600000001</v>
      </c>
      <c r="M15" s="151">
        <v>9.4202627700000008</v>
      </c>
      <c r="N15" s="151">
        <v>61.304715299999998</v>
      </c>
      <c r="O15" s="151">
        <v>0.67801460000000002</v>
      </c>
      <c r="P15" s="151">
        <v>2.6158259999999999E-2</v>
      </c>
      <c r="Q15" s="151">
        <v>3.8667779999999999E-2</v>
      </c>
      <c r="R15" s="151">
        <v>0.88381021999999998</v>
      </c>
      <c r="S15" s="151">
        <v>0.21806949</v>
      </c>
      <c r="T15" s="151">
        <v>1.2002189999999999E-2</v>
      </c>
      <c r="U15" s="151">
        <v>1.85270073</v>
      </c>
      <c r="V15" s="151">
        <v>8.1751820000000003E-2</v>
      </c>
      <c r="W15" s="151">
        <v>0</v>
      </c>
      <c r="X15" s="151">
        <v>0.74730057999999999</v>
      </c>
      <c r="Y15" s="151">
        <v>9.5435179999999994E-2</v>
      </c>
      <c r="Z15" s="151">
        <v>15.4713139</v>
      </c>
      <c r="AA15" s="151">
        <v>12.664843100000001</v>
      </c>
      <c r="AB15" s="151">
        <v>12.664843100000001</v>
      </c>
      <c r="AC15" s="151">
        <v>0</v>
      </c>
      <c r="AD15" s="151">
        <v>0.18785495999999999</v>
      </c>
      <c r="AE15" s="151">
        <v>0</v>
      </c>
      <c r="AF15" s="151">
        <v>0</v>
      </c>
      <c r="AG15" s="151">
        <v>0</v>
      </c>
      <c r="AH15" s="151">
        <v>0</v>
      </c>
      <c r="AI15" s="151">
        <v>13.8795693</v>
      </c>
      <c r="AJ15" s="151">
        <v>6.00365E-2</v>
      </c>
      <c r="AK15" s="151">
        <v>0.88095619999999997</v>
      </c>
      <c r="AL15" s="151">
        <v>7.1322554699999996</v>
      </c>
      <c r="AM15" s="151">
        <v>0.50343503999999994</v>
      </c>
      <c r="AN15" s="151">
        <v>43.530656899999997</v>
      </c>
      <c r="AO15" s="151">
        <v>39.533729899999997</v>
      </c>
      <c r="AP15" s="151">
        <v>11.2148029</v>
      </c>
      <c r="AQ15" s="151">
        <v>0.25800000000000001</v>
      </c>
      <c r="AR15" s="151">
        <v>1.4754452600000001</v>
      </c>
      <c r="AS15" s="151">
        <v>2.0699635000000001</v>
      </c>
      <c r="AT15" s="151">
        <v>4.9562992699999997</v>
      </c>
      <c r="AU15" s="151">
        <v>12.6461898</v>
      </c>
      <c r="AV15" s="151">
        <v>2.798467E-2</v>
      </c>
      <c r="AW15" s="151">
        <v>6.3986130000000002E-2</v>
      </c>
      <c r="AX15" s="151">
        <v>0.10294088</v>
      </c>
      <c r="AY15" s="151">
        <v>4.9316789999999999E-2</v>
      </c>
      <c r="AZ15" s="151">
        <v>3.7708029999999997E-2</v>
      </c>
      <c r="BA15" s="151">
        <v>3.4550360000000002E-2</v>
      </c>
      <c r="BB15" s="151">
        <v>9.1659119999999997E-2</v>
      </c>
      <c r="BC15" s="151">
        <v>4.4125549999999999E-2</v>
      </c>
      <c r="BD15" s="151">
        <v>1.97635E-2</v>
      </c>
      <c r="BE15" s="151">
        <v>7.6366420000000004E-2</v>
      </c>
      <c r="BF15" s="151">
        <v>0.10122920000000001</v>
      </c>
      <c r="BG15" s="151">
        <v>6.4543069999999994E-2</v>
      </c>
      <c r="BH15" s="151">
        <v>0.10832628</v>
      </c>
      <c r="BI15" s="151">
        <v>0.38996131000000001</v>
      </c>
      <c r="BJ15" s="151">
        <v>6.0394160000000002E-2</v>
      </c>
      <c r="BK15" s="151">
        <v>0.11314964</v>
      </c>
      <c r="BL15" s="151">
        <v>8.8951089999999997E-2</v>
      </c>
      <c r="BM15" s="151">
        <v>3.7105109999999997E-2</v>
      </c>
      <c r="BN15" s="151">
        <v>0</v>
      </c>
      <c r="BO15" s="151">
        <v>19.804379600000001</v>
      </c>
      <c r="BP15" s="151">
        <v>0</v>
      </c>
      <c r="BQ15" s="6"/>
    </row>
    <row r="16" spans="1:84">
      <c r="A16" s="179">
        <v>13108</v>
      </c>
      <c r="B16" s="149" t="s">
        <v>1639</v>
      </c>
      <c r="E16" s="227" t="s">
        <v>1625</v>
      </c>
      <c r="F16" s="150">
        <v>16</v>
      </c>
      <c r="G16" s="149" t="s">
        <v>1639</v>
      </c>
      <c r="J16" s="151">
        <v>76.317002900000006</v>
      </c>
      <c r="K16" s="151">
        <v>133.99949599999999</v>
      </c>
      <c r="L16" s="151">
        <v>2.4414985599999999</v>
      </c>
      <c r="M16" s="151">
        <v>4.0018155599999998</v>
      </c>
      <c r="N16" s="151">
        <v>6.6027377500000002</v>
      </c>
      <c r="O16" s="151">
        <v>2.50870317</v>
      </c>
      <c r="P16" s="151">
        <v>5.3898130000000002E-2</v>
      </c>
      <c r="Q16" s="151">
        <v>4.7869809999999999E-2</v>
      </c>
      <c r="R16" s="151">
        <v>0.41012031999999998</v>
      </c>
      <c r="S16" s="151">
        <v>0.42083256000000002</v>
      </c>
      <c r="T16" s="151">
        <v>8.3649570000000006E-2</v>
      </c>
      <c r="U16" s="151">
        <v>13.117966600000001</v>
      </c>
      <c r="V16" s="151">
        <v>0</v>
      </c>
      <c r="W16" s="151">
        <v>8.9702392399999997</v>
      </c>
      <c r="X16" s="151">
        <v>1.5179827100000001</v>
      </c>
      <c r="Y16" s="151">
        <v>0.17091816000000001</v>
      </c>
      <c r="Z16" s="151">
        <v>11.619980399999999</v>
      </c>
      <c r="AA16" s="151">
        <v>0</v>
      </c>
      <c r="AB16" s="151">
        <v>1.5793708900000001</v>
      </c>
      <c r="AC16" s="151">
        <v>0</v>
      </c>
      <c r="AD16" s="151">
        <v>18.705915600000001</v>
      </c>
      <c r="AE16" s="151">
        <v>47.658642700000001</v>
      </c>
      <c r="AF16" s="151">
        <v>0</v>
      </c>
      <c r="AG16" s="151">
        <v>0</v>
      </c>
      <c r="AH16" s="151">
        <v>18.763485299999999</v>
      </c>
      <c r="AI16" s="151">
        <v>24.4700144</v>
      </c>
      <c r="AJ16" s="151">
        <v>0.25557205</v>
      </c>
      <c r="AK16" s="151">
        <v>1.0367867399999999</v>
      </c>
      <c r="AL16" s="151">
        <v>24.0434582</v>
      </c>
      <c r="AM16" s="151">
        <v>0.17739481000000001</v>
      </c>
      <c r="AN16" s="151">
        <v>42.303746400000001</v>
      </c>
      <c r="AO16" s="151">
        <v>203.352565</v>
      </c>
      <c r="AP16" s="151">
        <v>0.67217579000000005</v>
      </c>
      <c r="AQ16" s="151">
        <v>0.46870317</v>
      </c>
      <c r="AR16" s="151">
        <v>0.65139769000000003</v>
      </c>
      <c r="AS16" s="151">
        <v>0.89681555999999996</v>
      </c>
      <c r="AT16" s="151">
        <v>2.30785303</v>
      </c>
      <c r="AU16" s="151">
        <v>0</v>
      </c>
      <c r="AV16" s="151">
        <v>5.5063399999999998E-2</v>
      </c>
      <c r="AW16" s="151">
        <v>7.9195970000000004E-2</v>
      </c>
      <c r="AX16" s="151">
        <v>0.15794523999999999</v>
      </c>
      <c r="AY16" s="151">
        <v>0.12833718</v>
      </c>
      <c r="AZ16" s="151">
        <v>2.579395E-2</v>
      </c>
      <c r="BA16" s="151">
        <v>1.4713260000000001E-2</v>
      </c>
      <c r="BB16" s="151">
        <v>0.11895965</v>
      </c>
      <c r="BC16" s="151">
        <v>7.0234870000000005E-2</v>
      </c>
      <c r="BD16" s="151">
        <v>2.159078E-2</v>
      </c>
      <c r="BE16" s="151">
        <v>9.8315559999999996E-2</v>
      </c>
      <c r="BF16" s="151">
        <v>0.11734725999999999</v>
      </c>
      <c r="BG16" s="151">
        <v>0.13280691999999999</v>
      </c>
      <c r="BH16" s="151">
        <v>0.28434725999999999</v>
      </c>
      <c r="BI16" s="151">
        <v>0.43824206999999998</v>
      </c>
      <c r="BJ16" s="151">
        <v>9.0695970000000001E-2</v>
      </c>
      <c r="BK16" s="151">
        <v>8.8011530000000004E-2</v>
      </c>
      <c r="BL16" s="151">
        <v>0.11154467</v>
      </c>
      <c r="BM16" s="151">
        <v>6.7151299999999997E-2</v>
      </c>
      <c r="BN16" s="151">
        <v>13.3819885</v>
      </c>
      <c r="BO16" s="151">
        <v>61.1718732</v>
      </c>
      <c r="BP16" s="151">
        <v>2.3054755039999999</v>
      </c>
      <c r="BQ16" s="6"/>
    </row>
    <row r="17" spans="1:69">
      <c r="A17" s="179">
        <v>82502</v>
      </c>
      <c r="B17" s="149" t="s">
        <v>2104</v>
      </c>
      <c r="E17" s="227" t="s">
        <v>1625</v>
      </c>
      <c r="F17" s="150">
        <v>17</v>
      </c>
      <c r="G17" s="149" t="s">
        <v>2104</v>
      </c>
      <c r="J17" s="151">
        <v>641.22471900000005</v>
      </c>
      <c r="K17" s="151">
        <v>20.5678652</v>
      </c>
      <c r="L17" s="151">
        <v>10.1574157</v>
      </c>
      <c r="M17" s="151">
        <v>31.3715169</v>
      </c>
      <c r="N17" s="151">
        <v>79.295505599999998</v>
      </c>
      <c r="O17" s="151">
        <v>2.86011236</v>
      </c>
      <c r="P17" s="151">
        <v>0.12631671999999999</v>
      </c>
      <c r="Q17" s="151">
        <v>7.2752250000000004E-2</v>
      </c>
      <c r="R17" s="151">
        <v>1.2588662900000001</v>
      </c>
      <c r="S17" s="151">
        <v>0.57267235999999999</v>
      </c>
      <c r="T17" s="151">
        <v>7.4783929999999998E-2</v>
      </c>
      <c r="U17" s="151">
        <v>25.8736517</v>
      </c>
      <c r="V17" s="151">
        <v>0.31460674</v>
      </c>
      <c r="W17" s="151">
        <v>0</v>
      </c>
      <c r="X17" s="151">
        <v>6.3792747199999997</v>
      </c>
      <c r="Y17" s="151">
        <v>0.29204999999999998</v>
      </c>
      <c r="Z17" s="151">
        <v>54.180898900000003</v>
      </c>
      <c r="AA17" s="151">
        <v>23.459929800000001</v>
      </c>
      <c r="AB17" s="151">
        <v>23.478131999999999</v>
      </c>
      <c r="AC17" s="151">
        <v>0</v>
      </c>
      <c r="AD17" s="151">
        <v>1.1376404499999999</v>
      </c>
      <c r="AE17" s="151">
        <v>17.0304775</v>
      </c>
      <c r="AF17" s="151">
        <v>0</v>
      </c>
      <c r="AG17" s="151">
        <v>0</v>
      </c>
      <c r="AH17" s="151">
        <v>0.73946628999999997</v>
      </c>
      <c r="AI17" s="151">
        <v>20.462078699999999</v>
      </c>
      <c r="AJ17" s="151">
        <v>0.26805617999999998</v>
      </c>
      <c r="AK17" s="151">
        <v>1.1094662900000001</v>
      </c>
      <c r="AL17" s="151">
        <v>33.472696599999999</v>
      </c>
      <c r="AM17" s="151">
        <v>1.4127415699999999</v>
      </c>
      <c r="AN17" s="151">
        <v>111.997191</v>
      </c>
      <c r="AO17" s="151">
        <v>139.06061800000001</v>
      </c>
      <c r="AP17" s="151">
        <v>17.748820200000001</v>
      </c>
      <c r="AQ17" s="151">
        <v>1.96581461</v>
      </c>
      <c r="AR17" s="151">
        <v>5.1273370800000002</v>
      </c>
      <c r="AS17" s="151">
        <v>7.3044943800000004</v>
      </c>
      <c r="AT17" s="151">
        <v>17.339269699999999</v>
      </c>
      <c r="AU17" s="151">
        <v>48.666516899999998</v>
      </c>
      <c r="AV17" s="151">
        <v>0.22145506000000001</v>
      </c>
      <c r="AW17" s="151">
        <v>0.41749438</v>
      </c>
      <c r="AX17" s="151">
        <v>0.70168538999999996</v>
      </c>
      <c r="AY17" s="151">
        <v>0.30047752999999999</v>
      </c>
      <c r="AZ17" s="151">
        <v>0.19727528</v>
      </c>
      <c r="BA17" s="151">
        <v>0.20334831</v>
      </c>
      <c r="BB17" s="151">
        <v>0.57527528000000006</v>
      </c>
      <c r="BC17" s="151">
        <v>0.28582022000000001</v>
      </c>
      <c r="BD17" s="151">
        <v>0.11747191</v>
      </c>
      <c r="BE17" s="151">
        <v>0.50090449000000004</v>
      </c>
      <c r="BF17" s="151">
        <v>0.48039325999999999</v>
      </c>
      <c r="BG17" s="151">
        <v>0.44821348</v>
      </c>
      <c r="BH17" s="151">
        <v>0.64273033999999996</v>
      </c>
      <c r="BI17" s="151">
        <v>2.7994213499999998</v>
      </c>
      <c r="BJ17" s="151">
        <v>0.37419100999999999</v>
      </c>
      <c r="BK17" s="151">
        <v>0.83786517000000005</v>
      </c>
      <c r="BL17" s="151">
        <v>0.52814044999999998</v>
      </c>
      <c r="BM17" s="151">
        <v>0.29200562000000002</v>
      </c>
      <c r="BN17" s="151">
        <v>4.5646067400000003</v>
      </c>
      <c r="BO17" s="151">
        <v>257.72471899999999</v>
      </c>
      <c r="BP17" s="151">
        <v>0</v>
      </c>
      <c r="BQ17" s="6"/>
    </row>
    <row r="18" spans="1:69">
      <c r="A18" s="179">
        <v>25301</v>
      </c>
      <c r="B18" s="149" t="s">
        <v>1641</v>
      </c>
      <c r="E18" s="227" t="s">
        <v>1625</v>
      </c>
      <c r="F18" s="150">
        <v>18</v>
      </c>
      <c r="G18" s="149" t="s">
        <v>1641</v>
      </c>
      <c r="J18" s="151">
        <v>318.61309499999999</v>
      </c>
      <c r="K18" s="151">
        <v>135.53386900000001</v>
      </c>
      <c r="L18" s="151">
        <v>2.8298809500000002</v>
      </c>
      <c r="M18" s="151">
        <v>31.096904800000001</v>
      </c>
      <c r="N18" s="151">
        <v>5.2072618999999998</v>
      </c>
      <c r="O18" s="151">
        <v>5.8580952399999999</v>
      </c>
      <c r="P18" s="151">
        <v>3.9878570000000002E-2</v>
      </c>
      <c r="Q18" s="151">
        <v>0.10641101</v>
      </c>
      <c r="R18" s="151">
        <v>1.0029434500000001</v>
      </c>
      <c r="S18" s="151">
        <v>0.35836488</v>
      </c>
      <c r="T18" s="151">
        <v>0.11555268</v>
      </c>
      <c r="U18" s="151">
        <v>23.4896429</v>
      </c>
      <c r="V18" s="151">
        <v>0</v>
      </c>
      <c r="W18" s="151">
        <v>3.9796660699999999</v>
      </c>
      <c r="X18" s="151">
        <v>1.44714286</v>
      </c>
      <c r="Y18" s="151">
        <v>0.26222856999999999</v>
      </c>
      <c r="Z18" s="151">
        <v>72.477521400000001</v>
      </c>
      <c r="AA18" s="151">
        <v>0</v>
      </c>
      <c r="AB18" s="151">
        <v>4.5690988099999998</v>
      </c>
      <c r="AC18" s="151">
        <v>0</v>
      </c>
      <c r="AD18" s="151">
        <v>55.040215500000002</v>
      </c>
      <c r="AE18" s="151">
        <v>159.63333299999999</v>
      </c>
      <c r="AF18" s="151">
        <v>0</v>
      </c>
      <c r="AG18" s="151">
        <v>0</v>
      </c>
      <c r="AH18" s="151">
        <v>4.5870583299999996</v>
      </c>
      <c r="AI18" s="151">
        <v>34.397440500000002</v>
      </c>
      <c r="AJ18" s="151">
        <v>0.97440475999999998</v>
      </c>
      <c r="AK18" s="151">
        <v>0.90255951999999995</v>
      </c>
      <c r="AL18" s="151">
        <v>37.556666700000001</v>
      </c>
      <c r="AM18" s="151">
        <v>0.32034523999999998</v>
      </c>
      <c r="AN18" s="151">
        <v>68.339285700000005</v>
      </c>
      <c r="AO18" s="151">
        <v>292.21416699999997</v>
      </c>
      <c r="AP18" s="151">
        <v>0.10065476</v>
      </c>
      <c r="AQ18" s="151">
        <v>0.90202380999999998</v>
      </c>
      <c r="AR18" s="151">
        <v>4.9418452400000001</v>
      </c>
      <c r="AS18" s="151">
        <v>7.1032738100000001</v>
      </c>
      <c r="AT18" s="151">
        <v>18.156726200000001</v>
      </c>
      <c r="AU18" s="151">
        <v>0</v>
      </c>
      <c r="AV18" s="151">
        <v>4.4428570000000001E-2</v>
      </c>
      <c r="AW18" s="151">
        <v>8.3071430000000002E-2</v>
      </c>
      <c r="AX18" s="151">
        <v>0.12705952000000001</v>
      </c>
      <c r="AY18" s="151">
        <v>8.5892860000000001E-2</v>
      </c>
      <c r="AZ18" s="151">
        <v>2.098214E-2</v>
      </c>
      <c r="BA18" s="151">
        <v>1.9065479999999999E-2</v>
      </c>
      <c r="BB18" s="151">
        <v>0.10667857</v>
      </c>
      <c r="BC18" s="151">
        <v>7.0065479999999999E-2</v>
      </c>
      <c r="BD18" s="151">
        <v>1.9869049999999999E-2</v>
      </c>
      <c r="BE18" s="151">
        <v>0.10329167</v>
      </c>
      <c r="BF18" s="151">
        <v>0.12077976</v>
      </c>
      <c r="BG18" s="151">
        <v>0.13947619</v>
      </c>
      <c r="BH18" s="151">
        <v>0.35325594999999999</v>
      </c>
      <c r="BI18" s="151">
        <v>0.48820237999999999</v>
      </c>
      <c r="BJ18" s="151">
        <v>9.9601190000000006E-2</v>
      </c>
      <c r="BK18" s="151">
        <v>7.9940479999999994E-2</v>
      </c>
      <c r="BL18" s="151">
        <v>8.7428569999999997E-2</v>
      </c>
      <c r="BM18" s="151">
        <v>6.3886899999999996E-2</v>
      </c>
      <c r="BN18" s="151">
        <v>30.584523799999999</v>
      </c>
      <c r="BO18" s="151">
        <v>20.377738099999998</v>
      </c>
      <c r="BP18" s="151">
        <v>1.571428571</v>
      </c>
      <c r="BQ18" s="6"/>
    </row>
    <row r="19" spans="1:69">
      <c r="A19" s="179">
        <v>25308</v>
      </c>
      <c r="B19" s="149" t="s">
        <v>1642</v>
      </c>
      <c r="E19" s="227" t="s">
        <v>1625</v>
      </c>
      <c r="F19" s="150">
        <v>19</v>
      </c>
      <c r="G19" s="149" t="s">
        <v>1642</v>
      </c>
      <c r="J19" s="151">
        <v>266.18115899999998</v>
      </c>
      <c r="K19" s="151">
        <v>189.723986</v>
      </c>
      <c r="L19" s="151">
        <v>4.1572463800000001</v>
      </c>
      <c r="M19" s="151">
        <v>23.8465217</v>
      </c>
      <c r="N19" s="151">
        <v>7.4404347800000004</v>
      </c>
      <c r="O19" s="151">
        <v>4.7584058000000002</v>
      </c>
      <c r="P19" s="151">
        <v>0.25856087</v>
      </c>
      <c r="Q19" s="151">
        <v>8.1148910000000005E-2</v>
      </c>
      <c r="R19" s="151">
        <v>1.3899644900000001</v>
      </c>
      <c r="S19" s="151">
        <v>0.40946086999999998</v>
      </c>
      <c r="T19" s="151">
        <v>0.10413514</v>
      </c>
      <c r="U19" s="151">
        <v>16.963913000000002</v>
      </c>
      <c r="V19" s="151">
        <v>0</v>
      </c>
      <c r="W19" s="151">
        <v>25.970005799999999</v>
      </c>
      <c r="X19" s="151">
        <v>1.59927536</v>
      </c>
      <c r="Y19" s="151">
        <v>0.18746667</v>
      </c>
      <c r="Z19" s="151">
        <v>56.662176799999997</v>
      </c>
      <c r="AA19" s="151">
        <v>0</v>
      </c>
      <c r="AB19" s="151">
        <v>8.6162652200000007</v>
      </c>
      <c r="AC19" s="151">
        <v>0</v>
      </c>
      <c r="AD19" s="151">
        <v>103.687955</v>
      </c>
      <c r="AE19" s="151">
        <v>480.61289900000003</v>
      </c>
      <c r="AF19" s="151">
        <v>0</v>
      </c>
      <c r="AG19" s="151">
        <v>0</v>
      </c>
      <c r="AH19" s="151">
        <v>17.2172594</v>
      </c>
      <c r="AI19" s="151">
        <v>37.012101399999999</v>
      </c>
      <c r="AJ19" s="151">
        <v>0.43260870000000001</v>
      </c>
      <c r="AK19" s="151">
        <v>3.59673913</v>
      </c>
      <c r="AL19" s="151">
        <v>35.822029000000001</v>
      </c>
      <c r="AM19" s="151">
        <v>0.36053623000000001</v>
      </c>
      <c r="AN19" s="151">
        <v>41.697681199999998</v>
      </c>
      <c r="AO19" s="151">
        <v>346.39971000000003</v>
      </c>
      <c r="AP19" s="151">
        <v>4.29688406</v>
      </c>
      <c r="AQ19" s="151">
        <v>0.92927535999999999</v>
      </c>
      <c r="AR19" s="151">
        <v>3.8261594200000002</v>
      </c>
      <c r="AS19" s="151">
        <v>5.3302173899999996</v>
      </c>
      <c r="AT19" s="151">
        <v>13.705</v>
      </c>
      <c r="AU19" s="151">
        <v>0</v>
      </c>
      <c r="AV19" s="151">
        <v>5.4014489999999998E-2</v>
      </c>
      <c r="AW19" s="151">
        <v>0.12875362000000001</v>
      </c>
      <c r="AX19" s="151">
        <v>0.20727535999999999</v>
      </c>
      <c r="AY19" s="151">
        <v>0.16501449000000001</v>
      </c>
      <c r="AZ19" s="151">
        <v>4.1239129999999999E-2</v>
      </c>
      <c r="BA19" s="151">
        <v>2.783333E-2</v>
      </c>
      <c r="BB19" s="151">
        <v>0.11817390999999999</v>
      </c>
      <c r="BC19" s="151">
        <v>0.11235507</v>
      </c>
      <c r="BD19" s="151">
        <v>2.0014489999999999E-2</v>
      </c>
      <c r="BE19" s="151">
        <v>0.16926811999999999</v>
      </c>
      <c r="BF19" s="151">
        <v>0.19160145000000001</v>
      </c>
      <c r="BG19" s="151">
        <v>0.20799999999999999</v>
      </c>
      <c r="BH19" s="151">
        <v>0.30212318999999999</v>
      </c>
      <c r="BI19" s="151">
        <v>0.61182608999999999</v>
      </c>
      <c r="BJ19" s="151">
        <v>0.18336957000000001</v>
      </c>
      <c r="BK19" s="151">
        <v>0.14801449</v>
      </c>
      <c r="BL19" s="151">
        <v>0.13830434999999999</v>
      </c>
      <c r="BM19" s="151">
        <v>8.6224640000000005E-2</v>
      </c>
      <c r="BN19" s="151">
        <v>39.54</v>
      </c>
      <c r="BO19" s="151">
        <v>58.043188399999998</v>
      </c>
      <c r="BP19" s="151">
        <v>1.956521739</v>
      </c>
      <c r="BQ19" s="6"/>
    </row>
    <row r="20" spans="1:69">
      <c r="A20" s="179">
        <v>67301</v>
      </c>
      <c r="B20" s="149" t="s">
        <v>1643</v>
      </c>
      <c r="E20" s="227" t="s">
        <v>1625</v>
      </c>
      <c r="F20" s="150">
        <v>20</v>
      </c>
      <c r="G20" s="149" t="s">
        <v>1643</v>
      </c>
      <c r="J20" s="151">
        <v>320.59670699999998</v>
      </c>
      <c r="K20" s="151">
        <v>129.07904199999999</v>
      </c>
      <c r="L20" s="151">
        <v>8.0622455100000003</v>
      </c>
      <c r="M20" s="151">
        <v>23.730598799999999</v>
      </c>
      <c r="N20" s="151">
        <v>18.329095800000001</v>
      </c>
      <c r="O20" s="151">
        <v>4.8738383199999999</v>
      </c>
      <c r="P20" s="151">
        <v>0.13181856</v>
      </c>
      <c r="Q20" s="151">
        <v>4.1075149999999998E-2</v>
      </c>
      <c r="R20" s="151">
        <v>0.73422754000000001</v>
      </c>
      <c r="S20" s="151">
        <v>0.39896587</v>
      </c>
      <c r="T20" s="151">
        <v>0.17291886000000001</v>
      </c>
      <c r="U20" s="151">
        <v>79.863592800000006</v>
      </c>
      <c r="V20" s="151">
        <v>0</v>
      </c>
      <c r="W20" s="151">
        <v>26.203604800000001</v>
      </c>
      <c r="X20" s="151">
        <v>0.74299400999999998</v>
      </c>
      <c r="Y20" s="151">
        <v>0.33619580999999998</v>
      </c>
      <c r="Z20" s="151">
        <v>48.954408399999998</v>
      </c>
      <c r="AA20" s="151">
        <v>0</v>
      </c>
      <c r="AB20" s="151">
        <v>1.16458383</v>
      </c>
      <c r="AC20" s="151">
        <v>0</v>
      </c>
      <c r="AD20" s="151">
        <v>12.0577994</v>
      </c>
      <c r="AE20" s="151">
        <v>14.8542623</v>
      </c>
      <c r="AF20" s="151">
        <v>1.091018E-2</v>
      </c>
      <c r="AG20" s="151">
        <v>0.47874251000000001</v>
      </c>
      <c r="AH20" s="151">
        <v>3.4426814399999999</v>
      </c>
      <c r="AI20" s="151">
        <v>33.592814400000002</v>
      </c>
      <c r="AJ20" s="151">
        <v>0.2900509</v>
      </c>
      <c r="AK20" s="151">
        <v>2.1982934099999998</v>
      </c>
      <c r="AL20" s="151">
        <v>60.440718599999997</v>
      </c>
      <c r="AM20" s="151">
        <v>0.60997005999999998</v>
      </c>
      <c r="AN20" s="151">
        <v>121.75239500000001</v>
      </c>
      <c r="AO20" s="151">
        <v>439.14071899999999</v>
      </c>
      <c r="AP20" s="151">
        <v>2.7556886199999999</v>
      </c>
      <c r="AQ20" s="151">
        <v>1.0749940099999999</v>
      </c>
      <c r="AR20" s="151">
        <v>3.6720179599999998</v>
      </c>
      <c r="AS20" s="151">
        <v>5.3755449100000003</v>
      </c>
      <c r="AT20" s="151">
        <v>13.4553482</v>
      </c>
      <c r="AU20" s="151">
        <v>0</v>
      </c>
      <c r="AV20" s="151">
        <v>2.2032340000000001E-2</v>
      </c>
      <c r="AW20" s="151">
        <v>4.6861079999999999E-2</v>
      </c>
      <c r="AX20" s="151">
        <v>7.2853290000000001E-2</v>
      </c>
      <c r="AY20" s="151">
        <v>5.0255090000000002E-2</v>
      </c>
      <c r="AZ20" s="151">
        <v>1.243114E-2</v>
      </c>
      <c r="BA20" s="151">
        <v>6.8206600000000001E-3</v>
      </c>
      <c r="BB20" s="151">
        <v>4.6911979999999999E-2</v>
      </c>
      <c r="BC20" s="151">
        <v>4.8562279999999999E-2</v>
      </c>
      <c r="BD20" s="151">
        <v>1.298114E-2</v>
      </c>
      <c r="BE20" s="151">
        <v>7.0542510000000003E-2</v>
      </c>
      <c r="BF20" s="151">
        <v>9.6432630000000005E-2</v>
      </c>
      <c r="BG20" s="151">
        <v>5.0284130000000003E-2</v>
      </c>
      <c r="BH20" s="151">
        <v>0.12886916000000001</v>
      </c>
      <c r="BI20" s="151">
        <v>0.25113712999999999</v>
      </c>
      <c r="BJ20" s="151">
        <v>5.0290719999999997E-2</v>
      </c>
      <c r="BK20" s="151">
        <v>4.1868259999999997E-2</v>
      </c>
      <c r="BL20" s="151">
        <v>6.2643110000000002E-2</v>
      </c>
      <c r="BM20" s="151">
        <v>3.5015570000000003E-2</v>
      </c>
      <c r="BN20" s="151">
        <v>18.2427545</v>
      </c>
      <c r="BO20" s="151">
        <v>10.4809581</v>
      </c>
      <c r="BP20" s="151">
        <v>2.0059879999999999E-2</v>
      </c>
      <c r="BQ20" s="6"/>
    </row>
    <row r="21" spans="1:69">
      <c r="A21" s="179">
        <v>62401</v>
      </c>
      <c r="B21" s="149" t="s">
        <v>1644</v>
      </c>
      <c r="E21" s="227" t="s">
        <v>1625</v>
      </c>
      <c r="F21" s="150">
        <v>21</v>
      </c>
      <c r="G21" s="149" t="s">
        <v>1644</v>
      </c>
      <c r="J21" s="151">
        <v>299.46067399999998</v>
      </c>
      <c r="K21" s="151">
        <v>175.481742</v>
      </c>
      <c r="L21" s="151">
        <v>6.9154494399999997</v>
      </c>
      <c r="M21" s="151">
        <v>20.7560112</v>
      </c>
      <c r="N21" s="151">
        <v>22.2850562</v>
      </c>
      <c r="O21" s="151">
        <v>1.30202247</v>
      </c>
      <c r="P21" s="151">
        <v>3.1201690000000001E-2</v>
      </c>
      <c r="Q21" s="151">
        <v>7.5822050000000002E-2</v>
      </c>
      <c r="R21" s="151">
        <v>4.836994E-2</v>
      </c>
      <c r="S21" s="151">
        <v>0.28673596000000001</v>
      </c>
      <c r="T21" s="151">
        <v>5.8565730000000003E-2</v>
      </c>
      <c r="U21" s="151">
        <v>8.3079775300000005</v>
      </c>
      <c r="V21" s="151">
        <v>0.48674157000000001</v>
      </c>
      <c r="W21" s="151">
        <v>0.95220674000000005</v>
      </c>
      <c r="X21" s="151">
        <v>1.1140426999999999</v>
      </c>
      <c r="Y21" s="151">
        <v>0.22695955000000001</v>
      </c>
      <c r="Z21" s="151">
        <v>23.637841600000002</v>
      </c>
      <c r="AA21" s="151">
        <v>36.095056200000002</v>
      </c>
      <c r="AB21" s="151">
        <v>36.480178100000003</v>
      </c>
      <c r="AC21" s="151">
        <v>0</v>
      </c>
      <c r="AD21" s="151">
        <v>4.61782191</v>
      </c>
      <c r="AE21" s="151">
        <v>2.7211797799999999</v>
      </c>
      <c r="AF21" s="151">
        <v>0</v>
      </c>
      <c r="AG21" s="151">
        <v>0</v>
      </c>
      <c r="AH21" s="151">
        <v>0.45781292000000001</v>
      </c>
      <c r="AI21" s="151">
        <v>12.2532584</v>
      </c>
      <c r="AJ21" s="151">
        <v>0.15050562000000001</v>
      </c>
      <c r="AK21" s="151">
        <v>0.59971909999999995</v>
      </c>
      <c r="AL21" s="151">
        <v>10.210280900000001</v>
      </c>
      <c r="AM21" s="151">
        <v>5.0112360000000002E-2</v>
      </c>
      <c r="AN21" s="151">
        <v>64.707865200000001</v>
      </c>
      <c r="AO21" s="151">
        <v>94.201939300000006</v>
      </c>
      <c r="AP21" s="151">
        <v>16.871011200000002</v>
      </c>
      <c r="AQ21" s="151">
        <v>0.72241573000000003</v>
      </c>
      <c r="AR21" s="151">
        <v>5.8681460699999999</v>
      </c>
      <c r="AS21" s="151">
        <v>3.7673595500000001</v>
      </c>
      <c r="AT21" s="151">
        <v>7.4672471900000001</v>
      </c>
      <c r="AU21" s="151">
        <v>83.428314599999993</v>
      </c>
      <c r="AV21" s="151">
        <v>5.847753E-2</v>
      </c>
      <c r="AW21" s="151">
        <v>0.25560674</v>
      </c>
      <c r="AX21" s="151">
        <v>0.29621910000000001</v>
      </c>
      <c r="AY21" s="151">
        <v>0.17684269999999999</v>
      </c>
      <c r="AZ21" s="151">
        <v>0.12697753000000001</v>
      </c>
      <c r="BA21" s="151">
        <v>0.10661236</v>
      </c>
      <c r="BB21" s="151">
        <v>0.34336517</v>
      </c>
      <c r="BC21" s="151">
        <v>0.1281236</v>
      </c>
      <c r="BD21" s="151">
        <v>6.2303369999999997E-2</v>
      </c>
      <c r="BE21" s="151">
        <v>0.25635393000000001</v>
      </c>
      <c r="BF21" s="151">
        <v>0.36334270000000002</v>
      </c>
      <c r="BG21" s="151">
        <v>0.21241011000000001</v>
      </c>
      <c r="BH21" s="151">
        <v>0.45505055999999999</v>
      </c>
      <c r="BI21" s="151">
        <v>0.62350000000000005</v>
      </c>
      <c r="BJ21" s="151">
        <v>0.17838763999999999</v>
      </c>
      <c r="BK21" s="151">
        <v>0.14482584000000001</v>
      </c>
      <c r="BL21" s="151">
        <v>0.30647191000000001</v>
      </c>
      <c r="BM21" s="151">
        <v>9.6707870000000001E-2</v>
      </c>
      <c r="BN21" s="151">
        <v>6.6264044899999996</v>
      </c>
      <c r="BO21" s="151">
        <v>2.0688764000000002</v>
      </c>
      <c r="BP21" s="151">
        <v>0.70224719099999999</v>
      </c>
      <c r="BQ21" s="6"/>
    </row>
    <row r="22" spans="1:69">
      <c r="A22" s="179">
        <v>67502</v>
      </c>
      <c r="B22" s="149" t="s">
        <v>1645</v>
      </c>
      <c r="E22" s="227" t="s">
        <v>1625</v>
      </c>
      <c r="F22" s="150">
        <v>22</v>
      </c>
      <c r="G22" s="149" t="s">
        <v>1645</v>
      </c>
      <c r="J22" s="151">
        <v>457.496263</v>
      </c>
      <c r="K22" s="151">
        <v>70.159898999999996</v>
      </c>
      <c r="L22" s="151">
        <v>13.8108586</v>
      </c>
      <c r="M22" s="151">
        <v>21.365656600000001</v>
      </c>
      <c r="N22" s="151">
        <v>49.0228283</v>
      </c>
      <c r="O22" s="151">
        <v>8.5307575799999995</v>
      </c>
      <c r="P22" s="151">
        <v>0.30404039999999999</v>
      </c>
      <c r="Q22" s="151">
        <v>9.3274750000000003E-2</v>
      </c>
      <c r="R22" s="151">
        <v>1.6348949500000001</v>
      </c>
      <c r="S22" s="151">
        <v>0.71219595999999996</v>
      </c>
      <c r="T22" s="151">
        <v>0.20128687000000001</v>
      </c>
      <c r="U22" s="151">
        <v>15.699191900000001</v>
      </c>
      <c r="V22" s="151">
        <v>0</v>
      </c>
      <c r="W22" s="151">
        <v>60.767978200000002</v>
      </c>
      <c r="X22" s="151">
        <v>0.78797980000000001</v>
      </c>
      <c r="Y22" s="151">
        <v>0.47069696999999999</v>
      </c>
      <c r="Z22" s="151">
        <v>39.517171699999999</v>
      </c>
      <c r="AA22" s="151">
        <v>6.3</v>
      </c>
      <c r="AB22" s="151">
        <v>18.922878799999999</v>
      </c>
      <c r="AC22" s="151">
        <v>0</v>
      </c>
      <c r="AD22" s="151">
        <v>134.41399000000001</v>
      </c>
      <c r="AE22" s="151">
        <v>30.470303000000001</v>
      </c>
      <c r="AF22" s="151">
        <v>0.55212121000000003</v>
      </c>
      <c r="AG22" s="151">
        <v>24.2272727</v>
      </c>
      <c r="AH22" s="151">
        <v>41.356969700000001</v>
      </c>
      <c r="AI22" s="151">
        <v>87.542878799999997</v>
      </c>
      <c r="AJ22" s="151">
        <v>0.34065656999999999</v>
      </c>
      <c r="AK22" s="151">
        <v>4.33929293</v>
      </c>
      <c r="AL22" s="151">
        <v>33.582727300000002</v>
      </c>
      <c r="AM22" s="151">
        <v>1.21087879</v>
      </c>
      <c r="AN22" s="151">
        <v>125.666667</v>
      </c>
      <c r="AO22" s="151">
        <v>601.63924199999997</v>
      </c>
      <c r="AP22" s="151">
        <v>5.7870201999999997</v>
      </c>
      <c r="AQ22" s="151">
        <v>1.5218181799999999</v>
      </c>
      <c r="AR22" s="151">
        <v>3.2490404000000002</v>
      </c>
      <c r="AS22" s="151">
        <v>4.7163131299999996</v>
      </c>
      <c r="AT22" s="151">
        <v>12.069489900000001</v>
      </c>
      <c r="AU22" s="151">
        <v>0</v>
      </c>
      <c r="AV22" s="151">
        <v>0.23330302999999999</v>
      </c>
      <c r="AW22" s="151">
        <v>0.38905051000000002</v>
      </c>
      <c r="AX22" s="151">
        <v>0.74332323</v>
      </c>
      <c r="AY22" s="151">
        <v>0.76739394000000005</v>
      </c>
      <c r="AZ22" s="151">
        <v>5.8500000000000003E-2</v>
      </c>
      <c r="BA22" s="151">
        <v>8.2909090000000005E-2</v>
      </c>
      <c r="BB22" s="151">
        <v>0.52906061000000004</v>
      </c>
      <c r="BC22" s="151">
        <v>0.38356061000000002</v>
      </c>
      <c r="BD22" s="151">
        <v>9.6964649999999999E-2</v>
      </c>
      <c r="BE22" s="151">
        <v>0.50561111000000003</v>
      </c>
      <c r="BF22" s="151">
        <v>0.70033332999999998</v>
      </c>
      <c r="BG22" s="151">
        <v>0.84219697000000004</v>
      </c>
      <c r="BH22" s="151">
        <v>1.2037878799999999</v>
      </c>
      <c r="BI22" s="151">
        <v>2.03742424</v>
      </c>
      <c r="BJ22" s="151">
        <v>0.43211111000000002</v>
      </c>
      <c r="BK22" s="151">
        <v>0.39956565999999999</v>
      </c>
      <c r="BL22" s="151">
        <v>0.55478788000000001</v>
      </c>
      <c r="BM22" s="151">
        <v>0.30935858999999999</v>
      </c>
      <c r="BN22" s="151">
        <v>20.228939400000002</v>
      </c>
      <c r="BO22" s="151">
        <v>57.788686900000002</v>
      </c>
      <c r="BP22" s="151">
        <v>1.3787878790000001</v>
      </c>
      <c r="BQ22" s="6"/>
    </row>
    <row r="23" spans="1:69">
      <c r="A23" s="179">
        <v>13109</v>
      </c>
      <c r="B23" s="149" t="s">
        <v>1646</v>
      </c>
      <c r="E23" s="227" t="s">
        <v>1625</v>
      </c>
      <c r="F23" s="150">
        <v>23</v>
      </c>
      <c r="G23" s="149" t="s">
        <v>1646</v>
      </c>
      <c r="J23" s="151">
        <v>267.835669</v>
      </c>
      <c r="K23" s="151">
        <v>78.083612599999995</v>
      </c>
      <c r="L23" s="151">
        <v>11.2987378</v>
      </c>
      <c r="M23" s="151">
        <v>11.2840588</v>
      </c>
      <c r="N23" s="151">
        <v>25.6627203</v>
      </c>
      <c r="O23" s="151">
        <v>9.8312296000000003</v>
      </c>
      <c r="P23" s="151">
        <v>7.427127E-2</v>
      </c>
      <c r="Q23" s="151">
        <v>9.5128539999999998E-2</v>
      </c>
      <c r="R23" s="151">
        <v>0.47579569999999999</v>
      </c>
      <c r="S23" s="151">
        <v>1.31509053</v>
      </c>
      <c r="T23" s="151">
        <v>0.1630123</v>
      </c>
      <c r="U23" s="151">
        <v>26.3245702</v>
      </c>
      <c r="V23" s="151">
        <v>0</v>
      </c>
      <c r="W23" s="151">
        <v>1.7954393900000001</v>
      </c>
      <c r="X23" s="151">
        <v>0.15121872</v>
      </c>
      <c r="Y23" s="151">
        <v>1.3101802</v>
      </c>
      <c r="Z23" s="151">
        <v>16.836835499999999</v>
      </c>
      <c r="AA23" s="151">
        <v>0</v>
      </c>
      <c r="AB23" s="151">
        <v>2.17154048</v>
      </c>
      <c r="AC23" s="151">
        <v>0</v>
      </c>
      <c r="AD23" s="151">
        <v>26.125286500000001</v>
      </c>
      <c r="AE23" s="151">
        <v>6.0520239399999998</v>
      </c>
      <c r="AF23" s="151">
        <v>0</v>
      </c>
      <c r="AG23" s="151">
        <v>0</v>
      </c>
      <c r="AH23" s="151">
        <v>0.83140881</v>
      </c>
      <c r="AI23" s="151">
        <v>84.784287300000003</v>
      </c>
      <c r="AJ23" s="151">
        <v>0.38248095999999998</v>
      </c>
      <c r="AK23" s="151">
        <v>3.67930359</v>
      </c>
      <c r="AL23" s="151">
        <v>55.362296000000001</v>
      </c>
      <c r="AM23" s="151">
        <v>1.51985854</v>
      </c>
      <c r="AN23" s="151">
        <v>166.358161</v>
      </c>
      <c r="AO23" s="151">
        <v>250.88082399999999</v>
      </c>
      <c r="AP23" s="151">
        <v>22.478161</v>
      </c>
      <c r="AQ23" s="151">
        <v>1.2760174099999999</v>
      </c>
      <c r="AR23" s="151">
        <v>1.49445049</v>
      </c>
      <c r="AS23" s="151">
        <v>2.3194124</v>
      </c>
      <c r="AT23" s="151">
        <v>5.89379761</v>
      </c>
      <c r="AU23" s="151">
        <v>0</v>
      </c>
      <c r="AV23" s="151">
        <v>0.31436888000000002</v>
      </c>
      <c r="AW23" s="151">
        <v>0.49157998000000003</v>
      </c>
      <c r="AX23" s="151">
        <v>0.81187485999999998</v>
      </c>
      <c r="AY23" s="151">
        <v>0.75829597000000004</v>
      </c>
      <c r="AZ23" s="151">
        <v>0.15067791</v>
      </c>
      <c r="BA23" s="151">
        <v>0.15322306999999999</v>
      </c>
      <c r="BB23" s="151">
        <v>0.61124809999999996</v>
      </c>
      <c r="BC23" s="151">
        <v>0.42570946999999998</v>
      </c>
      <c r="BD23" s="151">
        <v>0.11013711</v>
      </c>
      <c r="BE23" s="151">
        <v>0.48324265999999999</v>
      </c>
      <c r="BF23" s="151">
        <v>0.49634602999999999</v>
      </c>
      <c r="BG23" s="151">
        <v>1.0803949900000001</v>
      </c>
      <c r="BH23" s="151">
        <v>1.3463873799999999</v>
      </c>
      <c r="BI23" s="151">
        <v>2.0301991300000002</v>
      </c>
      <c r="BJ23" s="151">
        <v>0.48680305000000001</v>
      </c>
      <c r="BK23" s="151">
        <v>0.47273884999999999</v>
      </c>
      <c r="BL23" s="151">
        <v>0.57663330000000002</v>
      </c>
      <c r="BM23" s="151">
        <v>0.28659520999999999</v>
      </c>
      <c r="BN23" s="151">
        <v>40.736082699999997</v>
      </c>
      <c r="BO23" s="151">
        <v>376.40498400000001</v>
      </c>
      <c r="BP23" s="151">
        <v>2.7018498370000001</v>
      </c>
      <c r="BQ23" s="6"/>
    </row>
    <row r="24" spans="1:69">
      <c r="A24" s="179">
        <v>25119</v>
      </c>
      <c r="B24" s="149" t="s">
        <v>1647</v>
      </c>
      <c r="E24" s="227" t="s">
        <v>1625</v>
      </c>
      <c r="F24" s="150">
        <v>24</v>
      </c>
      <c r="G24" s="149" t="s">
        <v>1647</v>
      </c>
      <c r="J24" s="151">
        <v>62.908959500000002</v>
      </c>
      <c r="K24" s="151">
        <v>134.83145999999999</v>
      </c>
      <c r="L24" s="151">
        <v>1.2821820799999999</v>
      </c>
      <c r="M24" s="151">
        <v>4.6588583799999999</v>
      </c>
      <c r="N24" s="151">
        <v>3.2650144499999998</v>
      </c>
      <c r="O24" s="151">
        <v>1.91273121</v>
      </c>
      <c r="P24" s="151">
        <v>5.8100430000000002E-2</v>
      </c>
      <c r="Q24" s="151">
        <v>3.5905270000000003E-2</v>
      </c>
      <c r="R24" s="151">
        <v>0.43903272999999998</v>
      </c>
      <c r="S24" s="151">
        <v>0.15872312</v>
      </c>
      <c r="T24" s="151">
        <v>5.8466619999999997E-2</v>
      </c>
      <c r="U24" s="151">
        <v>7.2938059199999996</v>
      </c>
      <c r="V24" s="151">
        <v>0</v>
      </c>
      <c r="W24" s="151">
        <v>6.9880112299999997</v>
      </c>
      <c r="X24" s="151">
        <v>0.51367052000000002</v>
      </c>
      <c r="Y24" s="151">
        <v>6.4426590000000006E-2</v>
      </c>
      <c r="Z24" s="151">
        <v>14.2489384</v>
      </c>
      <c r="AA24" s="151">
        <v>0</v>
      </c>
      <c r="AB24" s="151">
        <v>2.5037311400000002</v>
      </c>
      <c r="AC24" s="151">
        <v>0</v>
      </c>
      <c r="AD24" s="151">
        <v>30.091318699999999</v>
      </c>
      <c r="AE24" s="151">
        <v>110.501231</v>
      </c>
      <c r="AF24" s="151">
        <v>0</v>
      </c>
      <c r="AG24" s="151">
        <v>0</v>
      </c>
      <c r="AH24" s="151">
        <v>15.242949400000001</v>
      </c>
      <c r="AI24" s="151">
        <v>13.9447543</v>
      </c>
      <c r="AJ24" s="151">
        <v>0.2638974</v>
      </c>
      <c r="AK24" s="151">
        <v>0.87572254000000005</v>
      </c>
      <c r="AL24" s="151">
        <v>14.0897688</v>
      </c>
      <c r="AM24" s="151">
        <v>0.12056069</v>
      </c>
      <c r="AN24" s="151">
        <v>21.7075</v>
      </c>
      <c r="AO24" s="151">
        <v>131.16410400000001</v>
      </c>
      <c r="AP24" s="151">
        <v>0.84210982999999995</v>
      </c>
      <c r="AQ24" s="151">
        <v>0.38528901999999998</v>
      </c>
      <c r="AR24" s="151">
        <v>0.75729769000000002</v>
      </c>
      <c r="AS24" s="151">
        <v>1.05488439</v>
      </c>
      <c r="AT24" s="151">
        <v>2.6963439299999998</v>
      </c>
      <c r="AU24" s="151">
        <v>0</v>
      </c>
      <c r="AV24" s="151">
        <v>1.7076589999999999E-2</v>
      </c>
      <c r="AW24" s="151">
        <v>3.7663290000000002E-2</v>
      </c>
      <c r="AX24" s="151">
        <v>6.0871389999999997E-2</v>
      </c>
      <c r="AY24" s="151">
        <v>4.6819359999999997E-2</v>
      </c>
      <c r="AZ24" s="151">
        <v>1.1027459999999999E-2</v>
      </c>
      <c r="BA24" s="151">
        <v>8.2384399999999997E-3</v>
      </c>
      <c r="BB24" s="151">
        <v>4.078035E-2</v>
      </c>
      <c r="BC24" s="151">
        <v>3.3471099999999997E-2</v>
      </c>
      <c r="BD24" s="151">
        <v>7.3179200000000003E-3</v>
      </c>
      <c r="BE24" s="151">
        <v>4.829046E-2</v>
      </c>
      <c r="BF24" s="151">
        <v>5.7122829999999999E-2</v>
      </c>
      <c r="BG24" s="151">
        <v>5.6109829999999999E-2</v>
      </c>
      <c r="BH24" s="151">
        <v>0.11723554999999999</v>
      </c>
      <c r="BI24" s="151">
        <v>0.19228613</v>
      </c>
      <c r="BJ24" s="151">
        <v>4.8567920000000001E-2</v>
      </c>
      <c r="BK24" s="151">
        <v>4.0758669999999997E-2</v>
      </c>
      <c r="BL24" s="151">
        <v>4.1290460000000001E-2</v>
      </c>
      <c r="BM24" s="151">
        <v>2.7583819999999998E-2</v>
      </c>
      <c r="BN24" s="151">
        <v>12.7565896</v>
      </c>
      <c r="BO24" s="151">
        <v>18.9128902</v>
      </c>
      <c r="BP24" s="151">
        <v>1.897398844</v>
      </c>
      <c r="BQ24" s="6"/>
    </row>
    <row r="25" spans="1:69">
      <c r="A25" s="179">
        <v>25124</v>
      </c>
      <c r="B25" s="149" t="s">
        <v>2105</v>
      </c>
      <c r="E25" s="227" t="s">
        <v>1625</v>
      </c>
      <c r="F25" s="150">
        <v>25</v>
      </c>
      <c r="G25" s="149" t="s">
        <v>2105</v>
      </c>
      <c r="J25" s="151">
        <v>83.674917500000006</v>
      </c>
      <c r="K25" s="151">
        <v>159.83462</v>
      </c>
      <c r="L25" s="151">
        <v>1.01231023</v>
      </c>
      <c r="M25" s="151">
        <v>5.7256105599999998</v>
      </c>
      <c r="N25" s="151">
        <v>6.5021782200000002</v>
      </c>
      <c r="O25" s="151">
        <v>1.7609405899999999</v>
      </c>
      <c r="P25" s="151">
        <v>3.6828050000000001E-2</v>
      </c>
      <c r="Q25" s="151">
        <v>5.4449919999999999E-2</v>
      </c>
      <c r="R25" s="151">
        <v>0.55230407999999998</v>
      </c>
      <c r="S25" s="151">
        <v>0.18451023</v>
      </c>
      <c r="T25" s="151">
        <v>8.4620299999999996E-2</v>
      </c>
      <c r="U25" s="151">
        <v>8.6714541300000008</v>
      </c>
      <c r="V25" s="151">
        <v>0</v>
      </c>
      <c r="W25" s="151">
        <v>9.5588074600000006</v>
      </c>
      <c r="X25" s="151">
        <v>1.5835808600000001</v>
      </c>
      <c r="Y25" s="151">
        <v>8.8609900000000005E-2</v>
      </c>
      <c r="Z25" s="151">
        <v>16.734434</v>
      </c>
      <c r="AA25" s="151">
        <v>0</v>
      </c>
      <c r="AB25" s="151">
        <v>1.45480644</v>
      </c>
      <c r="AC25" s="151">
        <v>0</v>
      </c>
      <c r="AD25" s="151">
        <v>37.942464899999997</v>
      </c>
      <c r="AE25" s="151">
        <v>38.445490599999999</v>
      </c>
      <c r="AF25" s="151">
        <v>0</v>
      </c>
      <c r="AG25" s="151">
        <v>0</v>
      </c>
      <c r="AH25" s="151">
        <v>20.386715800000001</v>
      </c>
      <c r="AI25" s="151">
        <v>26.013547899999999</v>
      </c>
      <c r="AJ25" s="151">
        <v>0.30541913999999998</v>
      </c>
      <c r="AK25" s="151">
        <v>0.74425743</v>
      </c>
      <c r="AL25" s="151">
        <v>20.0716997</v>
      </c>
      <c r="AM25" s="151">
        <v>0.18858416</v>
      </c>
      <c r="AN25" s="151">
        <v>34.330297000000002</v>
      </c>
      <c r="AO25" s="151">
        <v>197.22519800000001</v>
      </c>
      <c r="AP25" s="151">
        <v>0.18773927000000001</v>
      </c>
      <c r="AQ25" s="151">
        <v>0.46372936999999997</v>
      </c>
      <c r="AR25" s="151">
        <v>0.92660065999999996</v>
      </c>
      <c r="AS25" s="151">
        <v>1.3032013200000001</v>
      </c>
      <c r="AT25" s="151">
        <v>3.3004042899999999</v>
      </c>
      <c r="AU25" s="151">
        <v>0</v>
      </c>
      <c r="AV25" s="151">
        <v>1.8496700000000001E-2</v>
      </c>
      <c r="AW25" s="151">
        <v>3.923927E-2</v>
      </c>
      <c r="AX25" s="151">
        <v>6.1909239999999997E-2</v>
      </c>
      <c r="AY25" s="151">
        <v>4.6952149999999998E-2</v>
      </c>
      <c r="AZ25" s="151">
        <v>1.019142E-2</v>
      </c>
      <c r="BA25" s="151">
        <v>9.4389399999999998E-3</v>
      </c>
      <c r="BB25" s="151">
        <v>4.8638609999999999E-2</v>
      </c>
      <c r="BC25" s="151">
        <v>3.6409240000000002E-2</v>
      </c>
      <c r="BD25" s="151">
        <v>9.6039599999999999E-3</v>
      </c>
      <c r="BE25" s="151">
        <v>5.1435639999999998E-2</v>
      </c>
      <c r="BF25" s="151">
        <v>5.0897690000000002E-2</v>
      </c>
      <c r="BG25" s="151">
        <v>4.7457100000000002E-2</v>
      </c>
      <c r="BH25" s="151">
        <v>0.11006270999999999</v>
      </c>
      <c r="BI25" s="151">
        <v>0.17714521</v>
      </c>
      <c r="BJ25" s="151">
        <v>3.6810229999999999E-2</v>
      </c>
      <c r="BK25" s="151">
        <v>3.1173269999999999E-2</v>
      </c>
      <c r="BL25" s="151">
        <v>3.7321779999999999E-2</v>
      </c>
      <c r="BM25" s="151">
        <v>3.2580860000000003E-2</v>
      </c>
      <c r="BN25" s="151">
        <v>18.0950165</v>
      </c>
      <c r="BO25" s="151">
        <v>19.519207900000001</v>
      </c>
      <c r="BP25" s="151">
        <v>2.732673267</v>
      </c>
      <c r="BQ25" s="6"/>
    </row>
    <row r="26" spans="1:69">
      <c r="A26" s="179">
        <v>25125</v>
      </c>
      <c r="B26" s="149" t="s">
        <v>1649</v>
      </c>
      <c r="E26" s="227" t="s">
        <v>1625</v>
      </c>
      <c r="F26" s="150">
        <v>26</v>
      </c>
      <c r="G26" s="149" t="s">
        <v>1649</v>
      </c>
      <c r="J26" s="151">
        <v>80.424471299999993</v>
      </c>
      <c r="K26" s="151">
        <v>229.10575499999999</v>
      </c>
      <c r="L26" s="151">
        <v>1.2517975800000001</v>
      </c>
      <c r="M26" s="151">
        <v>5.7988972800000003</v>
      </c>
      <c r="N26" s="151">
        <v>5.1135498500000001</v>
      </c>
      <c r="O26" s="151">
        <v>2.09575529</v>
      </c>
      <c r="P26" s="151">
        <v>2.331888E-2</v>
      </c>
      <c r="Q26" s="151">
        <v>3.6309550000000003E-2</v>
      </c>
      <c r="R26" s="151">
        <v>0.21130958999999999</v>
      </c>
      <c r="S26" s="151">
        <v>0.37212402</v>
      </c>
      <c r="T26" s="151">
        <v>7.2356190000000001E-2</v>
      </c>
      <c r="U26" s="151">
        <v>17.4227937</v>
      </c>
      <c r="V26" s="151">
        <v>0</v>
      </c>
      <c r="W26" s="151">
        <v>7.8376729799999998</v>
      </c>
      <c r="X26" s="151">
        <v>0.73851964000000003</v>
      </c>
      <c r="Y26" s="151">
        <v>6.769849E-2</v>
      </c>
      <c r="Z26" s="151">
        <v>12.719505699999999</v>
      </c>
      <c r="AA26" s="151">
        <v>0</v>
      </c>
      <c r="AB26" s="151">
        <v>3.0965902600000001</v>
      </c>
      <c r="AC26" s="151">
        <v>0</v>
      </c>
      <c r="AD26" s="151">
        <v>35.822512000000003</v>
      </c>
      <c r="AE26" s="151">
        <v>7.1862422199999996</v>
      </c>
      <c r="AF26" s="151">
        <v>0</v>
      </c>
      <c r="AG26" s="151">
        <v>0</v>
      </c>
      <c r="AH26" s="151">
        <v>22.059286199999999</v>
      </c>
      <c r="AI26" s="151">
        <v>26.461480399999999</v>
      </c>
      <c r="AJ26" s="151">
        <v>0.16578701000000001</v>
      </c>
      <c r="AK26" s="151">
        <v>1.0463142000000001</v>
      </c>
      <c r="AL26" s="151">
        <v>16.243685800000002</v>
      </c>
      <c r="AM26" s="151">
        <v>0.17033233</v>
      </c>
      <c r="AN26" s="151">
        <v>26.019637500000002</v>
      </c>
      <c r="AO26" s="151">
        <v>178.03157100000001</v>
      </c>
      <c r="AP26" s="151">
        <v>1.37108761</v>
      </c>
      <c r="AQ26" s="151">
        <v>0.62114804000000001</v>
      </c>
      <c r="AR26" s="151">
        <v>1.1675377600000001</v>
      </c>
      <c r="AS26" s="151">
        <v>1.3488670700000001</v>
      </c>
      <c r="AT26" s="151">
        <v>3.3579607299999998</v>
      </c>
      <c r="AU26" s="151">
        <v>0</v>
      </c>
      <c r="AV26" s="151">
        <v>1.127644E-2</v>
      </c>
      <c r="AW26" s="151">
        <v>2.7663139999999999E-2</v>
      </c>
      <c r="AX26" s="151">
        <v>4.5004530000000001E-2</v>
      </c>
      <c r="AY26" s="151">
        <v>3.1377639999999998E-2</v>
      </c>
      <c r="AZ26" s="151">
        <v>7.34441E-3</v>
      </c>
      <c r="BA26" s="151">
        <v>5.3519600000000002E-3</v>
      </c>
      <c r="BB26" s="151">
        <v>2.7835349999999998E-2</v>
      </c>
      <c r="BC26" s="151">
        <v>2.6114800000000001E-2</v>
      </c>
      <c r="BD26" s="151">
        <v>9.2205399999999993E-3</v>
      </c>
      <c r="BE26" s="151">
        <v>3.4930509999999998E-2</v>
      </c>
      <c r="BF26" s="151">
        <v>4.1959209999999997E-2</v>
      </c>
      <c r="BG26" s="151">
        <v>3.9818729999999997E-2</v>
      </c>
      <c r="BH26" s="151">
        <v>7.3764350000000006E-2</v>
      </c>
      <c r="BI26" s="151">
        <v>0.12509819</v>
      </c>
      <c r="BJ26" s="151">
        <v>2.927341E-2</v>
      </c>
      <c r="BK26" s="151">
        <v>2.554532E-2</v>
      </c>
      <c r="BL26" s="151">
        <v>2.949245E-2</v>
      </c>
      <c r="BM26" s="151">
        <v>2.0231119999999998E-2</v>
      </c>
      <c r="BN26" s="151">
        <v>33.588746200000003</v>
      </c>
      <c r="BO26" s="151">
        <v>35.178323300000002</v>
      </c>
      <c r="BP26" s="151">
        <v>3.1389728099999998</v>
      </c>
      <c r="BQ26" s="6"/>
    </row>
    <row r="27" spans="1:69">
      <c r="A27" s="179">
        <v>87201</v>
      </c>
      <c r="B27" s="149" t="s">
        <v>1650</v>
      </c>
      <c r="E27" s="227" t="s">
        <v>1625</v>
      </c>
      <c r="F27" s="150">
        <v>27</v>
      </c>
      <c r="G27" s="149" t="s">
        <v>1650</v>
      </c>
      <c r="J27" s="151">
        <v>215.293204</v>
      </c>
      <c r="K27" s="151">
        <v>261.60976699999998</v>
      </c>
      <c r="L27" s="151">
        <v>3.8474563100000001</v>
      </c>
      <c r="M27" s="151">
        <v>3.94139806</v>
      </c>
      <c r="N27" s="151">
        <v>39.892524299999998</v>
      </c>
      <c r="O27" s="151">
        <v>2.5037281600000001</v>
      </c>
      <c r="P27" s="151">
        <v>6.0179900000000001E-2</v>
      </c>
      <c r="Q27" s="151">
        <v>0.28274427000000002</v>
      </c>
      <c r="R27" s="151">
        <v>0.29279903000000002</v>
      </c>
      <c r="S27" s="151">
        <v>0.59823300999999995</v>
      </c>
      <c r="T27" s="151">
        <v>9.5821500000000004E-2</v>
      </c>
      <c r="U27" s="151">
        <v>8.0821529099999996</v>
      </c>
      <c r="V27" s="151">
        <v>0.24417475999999999</v>
      </c>
      <c r="W27" s="151">
        <v>1.2588396100000001</v>
      </c>
      <c r="X27" s="151">
        <v>2.0758058300000002</v>
      </c>
      <c r="Y27" s="151">
        <v>0.26858251999999999</v>
      </c>
      <c r="Z27" s="151">
        <v>16.308349499999998</v>
      </c>
      <c r="AA27" s="151">
        <v>29.476776699999998</v>
      </c>
      <c r="AB27" s="151">
        <v>350.589786</v>
      </c>
      <c r="AC27" s="151">
        <v>1903.4610499999999</v>
      </c>
      <c r="AD27" s="151">
        <v>2850.9484400000001</v>
      </c>
      <c r="AE27" s="151">
        <v>9.5229320400000006</v>
      </c>
      <c r="AF27" s="151">
        <v>0</v>
      </c>
      <c r="AG27" s="151">
        <v>0</v>
      </c>
      <c r="AH27" s="151">
        <v>4.9670679599999996</v>
      </c>
      <c r="AI27" s="151">
        <v>128.89522299999999</v>
      </c>
      <c r="AJ27" s="151">
        <v>0.27206640999999998</v>
      </c>
      <c r="AK27" s="151">
        <v>0.44510680000000002</v>
      </c>
      <c r="AL27" s="151">
        <v>19.100116499999999</v>
      </c>
      <c r="AM27" s="151">
        <v>0.31886601999999997</v>
      </c>
      <c r="AN27" s="151">
        <v>113.250951</v>
      </c>
      <c r="AO27" s="151">
        <v>159.405417</v>
      </c>
      <c r="AP27" s="151">
        <v>1.3193592199999999</v>
      </c>
      <c r="AQ27" s="151">
        <v>0.52144659999999998</v>
      </c>
      <c r="AR27" s="151">
        <v>2.0185048499999998</v>
      </c>
      <c r="AS27" s="151">
        <v>0.93772816000000003</v>
      </c>
      <c r="AT27" s="151">
        <v>0.38664078000000002</v>
      </c>
      <c r="AU27" s="151">
        <v>14.6114175</v>
      </c>
      <c r="AV27" s="151">
        <v>8.6984469999999994E-2</v>
      </c>
      <c r="AW27" s="151">
        <v>0.15833591999999999</v>
      </c>
      <c r="AX27" s="151">
        <v>0.30246213999999999</v>
      </c>
      <c r="AY27" s="151">
        <v>0.24850874000000001</v>
      </c>
      <c r="AZ27" s="151">
        <v>7.3737860000000002E-2</v>
      </c>
      <c r="BA27" s="151">
        <v>2.8611649999999999E-2</v>
      </c>
      <c r="BB27" s="151">
        <v>0.15729125999999999</v>
      </c>
      <c r="BC27" s="151">
        <v>0.15518641</v>
      </c>
      <c r="BD27" s="151">
        <v>4.121553E-2</v>
      </c>
      <c r="BE27" s="151">
        <v>0.22199611999999999</v>
      </c>
      <c r="BF27" s="151">
        <v>0.2418932</v>
      </c>
      <c r="BG27" s="151">
        <v>0.13120193999999999</v>
      </c>
      <c r="BH27" s="151">
        <v>0.32845048999999998</v>
      </c>
      <c r="BI27" s="151">
        <v>0.92217669999999996</v>
      </c>
      <c r="BJ27" s="151">
        <v>9.2330099999999998E-2</v>
      </c>
      <c r="BK27" s="151">
        <v>0.29028737999999998</v>
      </c>
      <c r="BL27" s="151">
        <v>0.18904272</v>
      </c>
      <c r="BM27" s="151">
        <v>0.15121747999999999</v>
      </c>
      <c r="BN27" s="151">
        <v>43.776000000000003</v>
      </c>
      <c r="BO27" s="151">
        <v>18.254873799999999</v>
      </c>
      <c r="BP27" s="151">
        <v>5.3126213590000004</v>
      </c>
      <c r="BQ27" s="6"/>
    </row>
    <row r="28" spans="1:69">
      <c r="A28" s="179">
        <v>56101</v>
      </c>
      <c r="B28" s="149" t="s">
        <v>1651</v>
      </c>
      <c r="E28" s="227" t="s">
        <v>1625</v>
      </c>
      <c r="F28" s="150">
        <v>28</v>
      </c>
      <c r="G28" s="149" t="s">
        <v>1651</v>
      </c>
      <c r="J28" s="151">
        <v>265.336207</v>
      </c>
      <c r="K28" s="151">
        <v>79.807293099999995</v>
      </c>
      <c r="L28" s="151">
        <v>11.1423793</v>
      </c>
      <c r="M28" s="151">
        <v>22.901551699999999</v>
      </c>
      <c r="N28" s="151">
        <v>4.0002413800000003</v>
      </c>
      <c r="O28" s="151">
        <v>0.75837931000000003</v>
      </c>
      <c r="P28" s="151">
        <v>9.913276E-2</v>
      </c>
      <c r="Q28" s="151">
        <v>0.22712404999999999</v>
      </c>
      <c r="R28" s="151">
        <v>0.12192259</v>
      </c>
      <c r="S28" s="151">
        <v>1.13199172</v>
      </c>
      <c r="T28" s="151">
        <v>0.12011483000000001</v>
      </c>
      <c r="U28" s="151">
        <v>26.373999999999999</v>
      </c>
      <c r="V28" s="151">
        <v>1.46206897</v>
      </c>
      <c r="W28" s="151">
        <v>2.5706106900000001</v>
      </c>
      <c r="X28" s="151">
        <v>3.3113141399999999</v>
      </c>
      <c r="Y28" s="151">
        <v>0.68954621000000005</v>
      </c>
      <c r="Z28" s="151">
        <v>31.570864100000001</v>
      </c>
      <c r="AA28" s="151">
        <v>109.02511199999999</v>
      </c>
      <c r="AB28" s="151">
        <v>109.99808400000001</v>
      </c>
      <c r="AC28" s="151">
        <v>0</v>
      </c>
      <c r="AD28" s="151">
        <v>11.723159000000001</v>
      </c>
      <c r="AE28" s="151">
        <v>7.8046551700000002</v>
      </c>
      <c r="AF28" s="151">
        <v>0</v>
      </c>
      <c r="AG28" s="151">
        <v>0</v>
      </c>
      <c r="AH28" s="151">
        <v>1.14039621</v>
      </c>
      <c r="AI28" s="151">
        <v>30.790017200000001</v>
      </c>
      <c r="AJ28" s="151">
        <v>0.33005517000000001</v>
      </c>
      <c r="AK28" s="151">
        <v>1.6288731000000001</v>
      </c>
      <c r="AL28" s="151">
        <v>23.567208300000001</v>
      </c>
      <c r="AM28" s="151">
        <v>0.11831379</v>
      </c>
      <c r="AN28" s="151">
        <v>156.67275900000001</v>
      </c>
      <c r="AO28" s="151">
        <v>152.74224799999999</v>
      </c>
      <c r="AP28" s="151">
        <v>45.698155200000002</v>
      </c>
      <c r="AQ28" s="151">
        <v>1.75085793</v>
      </c>
      <c r="AR28" s="151">
        <v>4.5281551699999998</v>
      </c>
      <c r="AS28" s="151">
        <v>6.3157413800000004</v>
      </c>
      <c r="AT28" s="151">
        <v>10.292913799999999</v>
      </c>
      <c r="AU28" s="151">
        <v>226.16744800000001</v>
      </c>
      <c r="AV28" s="151">
        <v>0.15398966</v>
      </c>
      <c r="AW28" s="151">
        <v>0.68464828</v>
      </c>
      <c r="AX28" s="151">
        <v>0.79201379000000005</v>
      </c>
      <c r="AY28" s="151">
        <v>0.47093793</v>
      </c>
      <c r="AZ28" s="151">
        <v>0.34021897000000001</v>
      </c>
      <c r="BA28" s="151">
        <v>0.28578793000000002</v>
      </c>
      <c r="BB28" s="151">
        <v>0.92168276000000005</v>
      </c>
      <c r="BC28" s="151">
        <v>0.33971897000000001</v>
      </c>
      <c r="BD28" s="151">
        <v>0.16627931000000001</v>
      </c>
      <c r="BE28" s="151">
        <v>0.68607414</v>
      </c>
      <c r="BF28" s="151">
        <v>0.97220172000000005</v>
      </c>
      <c r="BG28" s="151">
        <v>0.53708966000000002</v>
      </c>
      <c r="BH28" s="151">
        <v>1.2099741399999999</v>
      </c>
      <c r="BI28" s="151">
        <v>1.6158551699999999</v>
      </c>
      <c r="BJ28" s="151">
        <v>0.46871897000000001</v>
      </c>
      <c r="BK28" s="151">
        <v>0.38477586000000003</v>
      </c>
      <c r="BL28" s="151">
        <v>0.82336896999999998</v>
      </c>
      <c r="BM28" s="151">
        <v>0.25645345000000003</v>
      </c>
      <c r="BN28" s="151">
        <v>13.461862099999999</v>
      </c>
      <c r="BO28" s="151">
        <v>4.22896552</v>
      </c>
      <c r="BP28" s="151">
        <v>1.5896551720000001</v>
      </c>
      <c r="BQ28" s="6"/>
    </row>
    <row r="29" spans="1:69">
      <c r="A29" s="179">
        <v>85204</v>
      </c>
      <c r="B29" s="149" t="s">
        <v>1652</v>
      </c>
      <c r="E29" s="227" t="s">
        <v>1625</v>
      </c>
      <c r="F29" s="150">
        <v>29</v>
      </c>
      <c r="G29" s="149" t="s">
        <v>1652</v>
      </c>
      <c r="J29" s="151">
        <v>147.13557800000001</v>
      </c>
      <c r="K29" s="151">
        <v>91.393607599999996</v>
      </c>
      <c r="L29" s="151">
        <v>3.43807595</v>
      </c>
      <c r="M29" s="151">
        <v>2.81799139</v>
      </c>
      <c r="N29" s="151">
        <v>26.850664500000001</v>
      </c>
      <c r="O29" s="151">
        <v>0.32463407</v>
      </c>
      <c r="P29" s="151">
        <v>2.951084E-2</v>
      </c>
      <c r="Q29" s="151">
        <v>0.18558263999999999</v>
      </c>
      <c r="R29" s="151">
        <v>0.43838083999999999</v>
      </c>
      <c r="S29" s="151">
        <v>0.21868926999999999</v>
      </c>
      <c r="T29" s="151">
        <v>2.4455339999999999E-2</v>
      </c>
      <c r="U29" s="151">
        <v>1.79842558</v>
      </c>
      <c r="V29" s="151">
        <v>0.14085332</v>
      </c>
      <c r="W29" s="151">
        <v>0.70141759000000004</v>
      </c>
      <c r="X29" s="151">
        <v>1.10127614</v>
      </c>
      <c r="Y29" s="151">
        <v>7.7250920000000001E-2</v>
      </c>
      <c r="Z29" s="151">
        <v>2.4169739999999999E-2</v>
      </c>
      <c r="AA29" s="151">
        <v>22.789704799999999</v>
      </c>
      <c r="AB29" s="151">
        <v>23.863810300000001</v>
      </c>
      <c r="AC29" s="151">
        <v>3.0800000000000001E-4</v>
      </c>
      <c r="AD29" s="151">
        <v>11.187022300000001</v>
      </c>
      <c r="AE29" s="151">
        <v>6.7517804400000001</v>
      </c>
      <c r="AF29" s="151">
        <v>0</v>
      </c>
      <c r="AG29" s="151">
        <v>0</v>
      </c>
      <c r="AH29" s="151">
        <v>3.5198800700000001</v>
      </c>
      <c r="AI29" s="151">
        <v>76.269686300000004</v>
      </c>
      <c r="AJ29" s="151">
        <v>5.9697420000000001E-2</v>
      </c>
      <c r="AK29" s="151">
        <v>0.40214021999999999</v>
      </c>
      <c r="AL29" s="151">
        <v>12.3307565</v>
      </c>
      <c r="AM29" s="151">
        <v>0.19612085000000001</v>
      </c>
      <c r="AN29" s="151">
        <v>75.792404700000006</v>
      </c>
      <c r="AO29" s="151">
        <v>106.54468300000001</v>
      </c>
      <c r="AP29" s="151">
        <v>3.9078228799999999</v>
      </c>
      <c r="AQ29" s="151">
        <v>0.40543358000000002</v>
      </c>
      <c r="AR29" s="151">
        <v>1.3779551000000001</v>
      </c>
      <c r="AS29" s="151">
        <v>0.66203875000000001</v>
      </c>
      <c r="AT29" s="151">
        <v>0.14031057999999999</v>
      </c>
      <c r="AU29" s="151">
        <v>10.405756500000001</v>
      </c>
      <c r="AV29" s="151">
        <v>6.4812419999999996E-2</v>
      </c>
      <c r="AW29" s="151">
        <v>0.10617036000000001</v>
      </c>
      <c r="AX29" s="151">
        <v>0.21974323000000001</v>
      </c>
      <c r="AY29" s="151">
        <v>0.17011161999999999</v>
      </c>
      <c r="AZ29" s="151">
        <v>5.8753380000000001E-2</v>
      </c>
      <c r="BA29" s="151">
        <v>2.526138E-2</v>
      </c>
      <c r="BB29" s="151">
        <v>0.11793881000000001</v>
      </c>
      <c r="BC29" s="151">
        <v>0.10103044</v>
      </c>
      <c r="BD29" s="151">
        <v>2.9040280000000002E-2</v>
      </c>
      <c r="BE29" s="151">
        <v>0.15212269</v>
      </c>
      <c r="BF29" s="151">
        <v>0.13664267999999999</v>
      </c>
      <c r="BG29" s="151">
        <v>9.4982780000000003E-2</v>
      </c>
      <c r="BH29" s="151">
        <v>0.17222662999999999</v>
      </c>
      <c r="BI29" s="151">
        <v>0.66905351000000002</v>
      </c>
      <c r="BJ29" s="151">
        <v>6.3515379999999996E-2</v>
      </c>
      <c r="BK29" s="151">
        <v>0.23564207000000001</v>
      </c>
      <c r="BL29" s="151">
        <v>0.13690467000000001</v>
      </c>
      <c r="BM29" s="151">
        <v>0.11064668</v>
      </c>
      <c r="BN29" s="151">
        <v>0</v>
      </c>
      <c r="BO29" s="151">
        <v>11.5052214</v>
      </c>
      <c r="BP29" s="151">
        <v>0</v>
      </c>
      <c r="BQ29" s="6"/>
    </row>
    <row r="30" spans="1:69">
      <c r="A30" s="179">
        <v>82204</v>
      </c>
      <c r="B30" s="149" t="s">
        <v>1653</v>
      </c>
      <c r="E30" s="227" t="s">
        <v>1625</v>
      </c>
      <c r="F30" s="150">
        <v>30</v>
      </c>
      <c r="G30" s="149" t="s">
        <v>1653</v>
      </c>
      <c r="J30" s="151">
        <v>581.19721100000004</v>
      </c>
      <c r="K30" s="151">
        <v>115.965818</v>
      </c>
      <c r="L30" s="151">
        <v>5.8038770700000004</v>
      </c>
      <c r="M30" s="151">
        <v>31.6843678</v>
      </c>
      <c r="N30" s="151">
        <v>66.636499000000001</v>
      </c>
      <c r="O30" s="151">
        <v>4.7349070199999996</v>
      </c>
      <c r="P30" s="151">
        <v>5.0081609999999999E-2</v>
      </c>
      <c r="Q30" s="151">
        <v>3.5573550000000002E-2</v>
      </c>
      <c r="R30" s="151">
        <v>0.97374483000000001</v>
      </c>
      <c r="S30" s="151">
        <v>0.27081240000000001</v>
      </c>
      <c r="T30" s="151">
        <v>4.2303720000000003E-2</v>
      </c>
      <c r="U30" s="151">
        <v>5.2713016499999998</v>
      </c>
      <c r="V30" s="151">
        <v>0</v>
      </c>
      <c r="W30" s="151">
        <v>0.5983657</v>
      </c>
      <c r="X30" s="151">
        <v>2.1855991700000001</v>
      </c>
      <c r="Y30" s="151">
        <v>0.44445288999999999</v>
      </c>
      <c r="Z30" s="151">
        <v>42.4309917</v>
      </c>
      <c r="AA30" s="151">
        <v>3.0190909100000001</v>
      </c>
      <c r="AB30" s="151">
        <v>3.4647737599999999</v>
      </c>
      <c r="AC30" s="151">
        <v>2.0661199999999998E-3</v>
      </c>
      <c r="AD30" s="151">
        <v>6.02728471</v>
      </c>
      <c r="AE30" s="151">
        <v>22.8211777</v>
      </c>
      <c r="AF30" s="151">
        <v>0</v>
      </c>
      <c r="AG30" s="151">
        <v>0</v>
      </c>
      <c r="AH30" s="151">
        <v>0.97853305999999995</v>
      </c>
      <c r="AI30" s="151">
        <v>18.515966899999999</v>
      </c>
      <c r="AJ30" s="151">
        <v>0.17991529000000001</v>
      </c>
      <c r="AK30" s="151">
        <v>2.2522727300000001</v>
      </c>
      <c r="AL30" s="151">
        <v>31.863760299999999</v>
      </c>
      <c r="AM30" s="151">
        <v>0.77105475000000001</v>
      </c>
      <c r="AN30" s="151">
        <v>94.222004100000007</v>
      </c>
      <c r="AO30" s="151">
        <v>190.90256199999999</v>
      </c>
      <c r="AP30" s="151">
        <v>13.5258678</v>
      </c>
      <c r="AQ30" s="151">
        <v>0.78275826000000004</v>
      </c>
      <c r="AR30" s="151">
        <v>12.3165496</v>
      </c>
      <c r="AS30" s="151">
        <v>5.1464669399999998</v>
      </c>
      <c r="AT30" s="151">
        <v>11.293533099999999</v>
      </c>
      <c r="AU30" s="151">
        <v>0</v>
      </c>
      <c r="AV30" s="151">
        <v>0.10356198</v>
      </c>
      <c r="AW30" s="151">
        <v>0.15352066</v>
      </c>
      <c r="AX30" s="151">
        <v>0.30881197999999999</v>
      </c>
      <c r="AY30" s="151">
        <v>0.14016322000000001</v>
      </c>
      <c r="AZ30" s="151">
        <v>9.7925620000000005E-2</v>
      </c>
      <c r="BA30" s="151">
        <v>8.8016529999999996E-2</v>
      </c>
      <c r="BB30" s="151">
        <v>0.20891529</v>
      </c>
      <c r="BC30" s="151">
        <v>0.13723347</v>
      </c>
      <c r="BD30" s="151">
        <v>5.4799590000000002E-2</v>
      </c>
      <c r="BE30" s="151">
        <v>0.21765082999999999</v>
      </c>
      <c r="BF30" s="151">
        <v>0.24463636</v>
      </c>
      <c r="BG30" s="151">
        <v>0.31747521000000001</v>
      </c>
      <c r="BH30" s="151">
        <v>0.28473759999999998</v>
      </c>
      <c r="BI30" s="151">
        <v>1.3708842999999999</v>
      </c>
      <c r="BJ30" s="151">
        <v>0.19076860000000001</v>
      </c>
      <c r="BK30" s="151">
        <v>0.39797521000000002</v>
      </c>
      <c r="BL30" s="151">
        <v>0.22930579000000001</v>
      </c>
      <c r="BM30" s="151">
        <v>0.12690288999999999</v>
      </c>
      <c r="BN30" s="151">
        <v>11.6429752</v>
      </c>
      <c r="BO30" s="151">
        <v>118.462107</v>
      </c>
      <c r="BP30" s="151">
        <v>0</v>
      </c>
      <c r="BQ30" s="6"/>
    </row>
    <row r="31" spans="1:69">
      <c r="A31" s="179">
        <v>63502</v>
      </c>
      <c r="B31" s="149" t="s">
        <v>1654</v>
      </c>
      <c r="E31" s="227" t="s">
        <v>1625</v>
      </c>
      <c r="F31" s="150">
        <v>31</v>
      </c>
      <c r="G31" s="149" t="s">
        <v>1654</v>
      </c>
      <c r="J31" s="151">
        <v>360.71484400000003</v>
      </c>
      <c r="K31" s="151">
        <v>85.915679699999998</v>
      </c>
      <c r="L31" s="151">
        <v>13.836328099999999</v>
      </c>
      <c r="M31" s="151">
        <v>20.209570299999999</v>
      </c>
      <c r="N31" s="151">
        <v>30.7853125</v>
      </c>
      <c r="O31" s="151">
        <v>2.0876562500000002</v>
      </c>
      <c r="P31" s="151">
        <v>9.1239260000000003E-2</v>
      </c>
      <c r="Q31" s="151">
        <v>9.9119819999999997E-2</v>
      </c>
      <c r="R31" s="151">
        <v>0.70932090000000003</v>
      </c>
      <c r="S31" s="151">
        <v>5.8494919999999999E-2</v>
      </c>
      <c r="T31" s="151">
        <v>0.14690576</v>
      </c>
      <c r="U31" s="151">
        <v>27.2872266</v>
      </c>
      <c r="V31" s="151">
        <v>0</v>
      </c>
      <c r="W31" s="151">
        <v>4.3745464800000002</v>
      </c>
      <c r="X31" s="151">
        <v>0.42246094000000001</v>
      </c>
      <c r="Y31" s="151">
        <v>0.32164062999999998</v>
      </c>
      <c r="Z31" s="151">
        <v>38.2397086</v>
      </c>
      <c r="AA31" s="151">
        <v>0</v>
      </c>
      <c r="AB31" s="151">
        <v>3.7988753900000001</v>
      </c>
      <c r="AC31" s="151">
        <v>0</v>
      </c>
      <c r="AD31" s="151">
        <v>45.888280899999998</v>
      </c>
      <c r="AE31" s="151">
        <v>14.1143359</v>
      </c>
      <c r="AF31" s="151">
        <v>0</v>
      </c>
      <c r="AG31" s="151">
        <v>0</v>
      </c>
      <c r="AH31" s="151">
        <v>1.8554652300000001</v>
      </c>
      <c r="AI31" s="151">
        <v>37.306383599999997</v>
      </c>
      <c r="AJ31" s="151">
        <v>0.41081875000000001</v>
      </c>
      <c r="AK31" s="151">
        <v>2.92622676</v>
      </c>
      <c r="AL31" s="151">
        <v>47.3917979</v>
      </c>
      <c r="AM31" s="151">
        <v>0.17658750000000001</v>
      </c>
      <c r="AN31" s="151">
        <v>156.12991</v>
      </c>
      <c r="AO31" s="151">
        <v>324.19187499999998</v>
      </c>
      <c r="AP31" s="151">
        <v>0.19734375000000001</v>
      </c>
      <c r="AQ31" s="151">
        <v>1.5559000000000001</v>
      </c>
      <c r="AR31" s="151">
        <v>3.09347656</v>
      </c>
      <c r="AS31" s="151">
        <v>4.5915234399999996</v>
      </c>
      <c r="AT31" s="151">
        <v>11.4365234</v>
      </c>
      <c r="AU31" s="151">
        <v>0</v>
      </c>
      <c r="AV31" s="151">
        <v>1.143359E-2</v>
      </c>
      <c r="AW31" s="151">
        <v>2.1710940000000001E-2</v>
      </c>
      <c r="AX31" s="151">
        <v>3.2019529999999997E-2</v>
      </c>
      <c r="AY31" s="151">
        <v>2.2156249999999999E-2</v>
      </c>
      <c r="AZ31" s="151">
        <v>9.0078099999999998E-3</v>
      </c>
      <c r="BA31" s="151">
        <v>7.9257800000000003E-3</v>
      </c>
      <c r="BB31" s="151">
        <v>2.6332029999999999E-2</v>
      </c>
      <c r="BC31" s="151">
        <v>2.1351559999999999E-2</v>
      </c>
      <c r="BD31" s="151">
        <v>7.0234399999999997E-3</v>
      </c>
      <c r="BE31" s="151">
        <v>2.5058589999999999E-2</v>
      </c>
      <c r="BF31" s="151">
        <v>3.093359E-2</v>
      </c>
      <c r="BG31" s="151">
        <v>7.3535160000000002E-2</v>
      </c>
      <c r="BH31" s="151">
        <v>7.6058589999999995E-2</v>
      </c>
      <c r="BI31" s="151">
        <v>0.15719141</v>
      </c>
      <c r="BJ31" s="151">
        <v>3.424609E-2</v>
      </c>
      <c r="BK31" s="151">
        <v>1.8980469999999999E-2</v>
      </c>
      <c r="BL31" s="151">
        <v>2.2273439999999999E-2</v>
      </c>
      <c r="BM31" s="151">
        <v>1.567969E-2</v>
      </c>
      <c r="BN31" s="151">
        <v>21.245859400000001</v>
      </c>
      <c r="BO31" s="151">
        <v>264.98031300000002</v>
      </c>
      <c r="BP31" s="151">
        <v>2.38671875</v>
      </c>
      <c r="BQ31" s="6"/>
    </row>
    <row r="32" spans="1:69">
      <c r="A32" s="179">
        <v>62507</v>
      </c>
      <c r="B32" s="149" t="s">
        <v>1655</v>
      </c>
      <c r="E32" s="227" t="s">
        <v>1625</v>
      </c>
      <c r="F32" s="150">
        <v>32</v>
      </c>
      <c r="G32" s="149" t="s">
        <v>1655</v>
      </c>
      <c r="J32" s="151">
        <v>984.22395800000004</v>
      </c>
      <c r="K32" s="151">
        <v>81.964739600000001</v>
      </c>
      <c r="L32" s="151">
        <v>13.7023438</v>
      </c>
      <c r="M32" s="151">
        <v>62.578229200000003</v>
      </c>
      <c r="N32" s="151">
        <v>91.209843800000002</v>
      </c>
      <c r="O32" s="151">
        <v>5.7771875000000001</v>
      </c>
      <c r="P32" s="151">
        <v>0.13807969</v>
      </c>
      <c r="Q32" s="151">
        <v>5.290313E-2</v>
      </c>
      <c r="R32" s="151">
        <v>1.9958906300000001</v>
      </c>
      <c r="S32" s="151">
        <v>0.59040000000000004</v>
      </c>
      <c r="T32" s="151">
        <v>0.10846406</v>
      </c>
      <c r="U32" s="151">
        <v>12.747656299999999</v>
      </c>
      <c r="V32" s="151">
        <v>0</v>
      </c>
      <c r="W32" s="151">
        <v>0</v>
      </c>
      <c r="X32" s="151">
        <v>8.4818750000000005</v>
      </c>
      <c r="Y32" s="151">
        <v>0.75518333000000004</v>
      </c>
      <c r="Z32" s="151">
        <v>111.551042</v>
      </c>
      <c r="AA32" s="151">
        <v>0</v>
      </c>
      <c r="AB32" s="151">
        <v>0.35424844</v>
      </c>
      <c r="AC32" s="151">
        <v>0</v>
      </c>
      <c r="AD32" s="151">
        <v>7.0223203099999996</v>
      </c>
      <c r="AE32" s="151">
        <v>0</v>
      </c>
      <c r="AF32" s="151">
        <v>0</v>
      </c>
      <c r="AG32" s="151">
        <v>0</v>
      </c>
      <c r="AH32" s="151">
        <v>0</v>
      </c>
      <c r="AI32" s="151">
        <v>17.017395799999999</v>
      </c>
      <c r="AJ32" s="151">
        <v>0.24703125000000001</v>
      </c>
      <c r="AK32" s="151">
        <v>4.9361458300000001</v>
      </c>
      <c r="AL32" s="151">
        <v>75.624687499999993</v>
      </c>
      <c r="AM32" s="151">
        <v>0.88002082999999998</v>
      </c>
      <c r="AN32" s="151">
        <v>183.625</v>
      </c>
      <c r="AO32" s="151">
        <v>274.35114600000003</v>
      </c>
      <c r="AP32" s="151">
        <v>43.598437500000003</v>
      </c>
      <c r="AQ32" s="151">
        <v>2.0190104199999999</v>
      </c>
      <c r="AR32" s="151">
        <v>9.7153124999999996</v>
      </c>
      <c r="AS32" s="151">
        <v>13.983124999999999</v>
      </c>
      <c r="AT32" s="151">
        <v>35.8232292</v>
      </c>
      <c r="AU32" s="151">
        <v>0</v>
      </c>
      <c r="AV32" s="151">
        <v>0.29643750000000002</v>
      </c>
      <c r="AW32" s="151">
        <v>0.39732813</v>
      </c>
      <c r="AX32" s="151">
        <v>0.89903124999999995</v>
      </c>
      <c r="AY32" s="151">
        <v>0.35665625000000001</v>
      </c>
      <c r="AZ32" s="151">
        <v>0.28393750000000001</v>
      </c>
      <c r="BA32" s="151">
        <v>0.28106249999999999</v>
      </c>
      <c r="BB32" s="151">
        <v>0.61417188</v>
      </c>
      <c r="BC32" s="151">
        <v>0.38835937999999998</v>
      </c>
      <c r="BD32" s="151">
        <v>0.15957813000000001</v>
      </c>
      <c r="BE32" s="151">
        <v>0.58181249999999995</v>
      </c>
      <c r="BF32" s="151">
        <v>0.72050000000000003</v>
      </c>
      <c r="BG32" s="151">
        <v>0.56820313</v>
      </c>
      <c r="BH32" s="151">
        <v>0.65403124999999995</v>
      </c>
      <c r="BI32" s="151">
        <v>4.5540781299999997</v>
      </c>
      <c r="BJ32" s="151">
        <v>0.53185937999999999</v>
      </c>
      <c r="BK32" s="151">
        <v>1.37425</v>
      </c>
      <c r="BL32" s="151">
        <v>0.65260938000000002</v>
      </c>
      <c r="BM32" s="151">
        <v>0.35007812999999999</v>
      </c>
      <c r="BN32" s="151">
        <v>0</v>
      </c>
      <c r="BO32" s="151">
        <v>292.125</v>
      </c>
      <c r="BP32" s="151">
        <v>0</v>
      </c>
      <c r="BQ32" s="6"/>
    </row>
    <row r="33" spans="1:69">
      <c r="A33" s="179">
        <v>25126</v>
      </c>
      <c r="B33" s="149" t="s">
        <v>1656</v>
      </c>
      <c r="E33" s="227" t="s">
        <v>1625</v>
      </c>
      <c r="F33" s="150">
        <v>33</v>
      </c>
      <c r="G33" s="149" t="s">
        <v>1656</v>
      </c>
      <c r="J33" s="151">
        <v>86.087087100000005</v>
      </c>
      <c r="K33" s="151">
        <v>189.80268799999999</v>
      </c>
      <c r="L33" s="151">
        <v>1.60645646</v>
      </c>
      <c r="M33" s="151">
        <v>6.8909009000000001</v>
      </c>
      <c r="N33" s="151">
        <v>3.63486486</v>
      </c>
      <c r="O33" s="151">
        <v>2.3047447399999998</v>
      </c>
      <c r="P33" s="151">
        <v>2.9793690000000001E-2</v>
      </c>
      <c r="Q33" s="151">
        <v>4.0836560000000001E-2</v>
      </c>
      <c r="R33" s="151">
        <v>0.45081892000000001</v>
      </c>
      <c r="S33" s="151">
        <v>0.28211410999999997</v>
      </c>
      <c r="T33" s="151">
        <v>9.2254050000000004E-2</v>
      </c>
      <c r="U33" s="151">
        <v>14.678359199999999</v>
      </c>
      <c r="V33" s="151">
        <v>0</v>
      </c>
      <c r="W33" s="151">
        <v>21.0136535</v>
      </c>
      <c r="X33" s="151">
        <v>2.4203603600000001</v>
      </c>
      <c r="Y33" s="151">
        <v>0.11532553</v>
      </c>
      <c r="Z33" s="151">
        <v>23.924013200000001</v>
      </c>
      <c r="AA33" s="151">
        <v>0</v>
      </c>
      <c r="AB33" s="151">
        <v>3.33443333</v>
      </c>
      <c r="AC33" s="151">
        <v>14.7405405</v>
      </c>
      <c r="AD33" s="151">
        <v>31.319050000000001</v>
      </c>
      <c r="AE33" s="151">
        <v>213.96685099999999</v>
      </c>
      <c r="AF33" s="151">
        <v>307.72702700000002</v>
      </c>
      <c r="AG33" s="151">
        <v>0</v>
      </c>
      <c r="AH33" s="151">
        <v>17.397451799999999</v>
      </c>
      <c r="AI33" s="151">
        <v>24.3066517</v>
      </c>
      <c r="AJ33" s="151">
        <v>0.35702853000000001</v>
      </c>
      <c r="AK33" s="151">
        <v>1.0177927899999999</v>
      </c>
      <c r="AL33" s="151">
        <v>17.015945899999998</v>
      </c>
      <c r="AM33" s="151">
        <v>0.17648649</v>
      </c>
      <c r="AN33" s="151">
        <v>34.111111100000002</v>
      </c>
      <c r="AO33" s="151">
        <v>223.50348299999999</v>
      </c>
      <c r="AP33" s="151">
        <v>0.29566066000000002</v>
      </c>
      <c r="AQ33" s="151">
        <v>0.41435434999999998</v>
      </c>
      <c r="AR33" s="151">
        <v>1.13118619</v>
      </c>
      <c r="AS33" s="151">
        <v>1.5925375399999999</v>
      </c>
      <c r="AT33" s="151">
        <v>3.9968018000000001</v>
      </c>
      <c r="AU33" s="151">
        <v>0</v>
      </c>
      <c r="AV33" s="151">
        <v>2.521021E-2</v>
      </c>
      <c r="AW33" s="151">
        <v>4.7330329999999997E-2</v>
      </c>
      <c r="AX33" s="151">
        <v>7.5429430000000006E-2</v>
      </c>
      <c r="AY33" s="151">
        <v>5.2213210000000003E-2</v>
      </c>
      <c r="AZ33" s="151">
        <v>1.3097599999999999E-2</v>
      </c>
      <c r="BA33" s="151">
        <v>9.4999999999999998E-3</v>
      </c>
      <c r="BB33" s="151">
        <v>5.5033029999999997E-2</v>
      </c>
      <c r="BC33" s="151">
        <v>4.8067569999999997E-2</v>
      </c>
      <c r="BD33" s="151">
        <v>1.2997E-2</v>
      </c>
      <c r="BE33" s="151">
        <v>6.5668169999999998E-2</v>
      </c>
      <c r="BF33" s="151">
        <v>8.897447E-2</v>
      </c>
      <c r="BG33" s="151">
        <v>5.9513509999999999E-2</v>
      </c>
      <c r="BH33" s="151">
        <v>0.15989038999999999</v>
      </c>
      <c r="BI33" s="151">
        <v>0.29953152999999999</v>
      </c>
      <c r="BJ33" s="151">
        <v>5.384535E-2</v>
      </c>
      <c r="BK33" s="151">
        <v>4.3723720000000001E-2</v>
      </c>
      <c r="BL33" s="151">
        <v>6.0528529999999997E-2</v>
      </c>
      <c r="BM33" s="151">
        <v>3.762012E-2</v>
      </c>
      <c r="BN33" s="151">
        <v>24.5822523</v>
      </c>
      <c r="BO33" s="151">
        <v>16.404744699999998</v>
      </c>
      <c r="BP33" s="151">
        <v>2.912912913</v>
      </c>
      <c r="BQ33" s="6"/>
    </row>
    <row r="34" spans="1:69">
      <c r="A34" s="179">
        <v>25127</v>
      </c>
      <c r="B34" s="149" t="s">
        <v>2106</v>
      </c>
      <c r="E34" s="227" t="s">
        <v>1625</v>
      </c>
      <c r="F34" s="150">
        <v>34</v>
      </c>
      <c r="G34" s="149" t="s">
        <v>1657</v>
      </c>
      <c r="J34" s="151">
        <v>58.950424900000002</v>
      </c>
      <c r="K34" s="151">
        <v>188.43019799999999</v>
      </c>
      <c r="L34" s="151">
        <v>1.0031586400000001</v>
      </c>
      <c r="M34" s="151">
        <v>3.7223654399999999</v>
      </c>
      <c r="N34" s="151">
        <v>4.7581303100000003</v>
      </c>
      <c r="O34" s="151">
        <v>1.5674504199999999</v>
      </c>
      <c r="P34" s="151">
        <v>2.2421670000000001E-2</v>
      </c>
      <c r="Q34" s="151">
        <v>4.0514410000000001E-2</v>
      </c>
      <c r="R34" s="151">
        <v>0.27765737000000001</v>
      </c>
      <c r="S34" s="151">
        <v>0.14281812999999999</v>
      </c>
      <c r="T34" s="151">
        <v>6.0966289999999999E-2</v>
      </c>
      <c r="U34" s="151">
        <v>12.206951699999999</v>
      </c>
      <c r="V34" s="151">
        <v>0</v>
      </c>
      <c r="W34" s="151">
        <v>12.277902299999999</v>
      </c>
      <c r="X34" s="151">
        <v>4.02314448</v>
      </c>
      <c r="Y34" s="151">
        <v>0.10188385</v>
      </c>
      <c r="Z34" s="151">
        <v>17.3734459</v>
      </c>
      <c r="AA34" s="151">
        <v>0</v>
      </c>
      <c r="AB34" s="151">
        <v>4.4955410799999997</v>
      </c>
      <c r="AC34" s="151">
        <v>10.2798867</v>
      </c>
      <c r="AD34" s="151">
        <v>48.920895399999999</v>
      </c>
      <c r="AE34" s="151">
        <v>145.25209699999999</v>
      </c>
      <c r="AF34" s="151">
        <v>0</v>
      </c>
      <c r="AG34" s="151">
        <v>0</v>
      </c>
      <c r="AH34" s="151">
        <v>7.7965824699999997</v>
      </c>
      <c r="AI34" s="151">
        <v>24.549385900000001</v>
      </c>
      <c r="AJ34" s="151">
        <v>0.10433513</v>
      </c>
      <c r="AK34" s="151">
        <v>0.88458924000000005</v>
      </c>
      <c r="AL34" s="151">
        <v>29.5691785</v>
      </c>
      <c r="AM34" s="151">
        <v>0.24898867</v>
      </c>
      <c r="AN34" s="151">
        <v>17.136869699999998</v>
      </c>
      <c r="AO34" s="151">
        <v>120.27132899999999</v>
      </c>
      <c r="AP34" s="151">
        <v>0.53682719999999995</v>
      </c>
      <c r="AQ34" s="151">
        <v>0.28140227000000001</v>
      </c>
      <c r="AR34" s="151">
        <v>0.61512747999999995</v>
      </c>
      <c r="AS34" s="151">
        <v>0.87243625999999996</v>
      </c>
      <c r="AT34" s="151">
        <v>2.1562747899999999</v>
      </c>
      <c r="AU34" s="151">
        <v>0</v>
      </c>
      <c r="AV34" s="151">
        <v>1.6549580000000001E-2</v>
      </c>
      <c r="AW34" s="151">
        <v>2.5264869999999998E-2</v>
      </c>
      <c r="AX34" s="151">
        <v>4.0678470000000001E-2</v>
      </c>
      <c r="AY34" s="151">
        <v>3.3814450000000003E-2</v>
      </c>
      <c r="AZ34" s="151">
        <v>7.9844200000000008E-3</v>
      </c>
      <c r="BA34" s="151">
        <v>1.163456E-2</v>
      </c>
      <c r="BB34" s="151">
        <v>2.9481589999999998E-2</v>
      </c>
      <c r="BC34" s="151">
        <v>2.892776E-2</v>
      </c>
      <c r="BD34" s="151">
        <v>7.1487299999999998E-3</v>
      </c>
      <c r="BE34" s="151">
        <v>3.5021249999999997E-2</v>
      </c>
      <c r="BF34" s="151">
        <v>4.1021250000000002E-2</v>
      </c>
      <c r="BG34" s="151">
        <v>5.6082149999999997E-2</v>
      </c>
      <c r="BH34" s="151">
        <v>0.10135835999999999</v>
      </c>
      <c r="BI34" s="151">
        <v>0.12685268999999999</v>
      </c>
      <c r="BJ34" s="151">
        <v>3.614448E-2</v>
      </c>
      <c r="BK34" s="151">
        <v>2.7203970000000001E-2</v>
      </c>
      <c r="BL34" s="151">
        <v>2.9906519999999999E-2</v>
      </c>
      <c r="BM34" s="151">
        <v>2.5361189999999999E-2</v>
      </c>
      <c r="BN34" s="151">
        <v>19.841019800000002</v>
      </c>
      <c r="BO34" s="151">
        <v>14.0030737</v>
      </c>
      <c r="BP34" s="151">
        <v>1.375354108</v>
      </c>
      <c r="BQ34" s="6"/>
    </row>
    <row r="35" spans="1:69">
      <c r="A35" s="180">
        <v>61303</v>
      </c>
      <c r="B35" s="149" t="s">
        <v>1658</v>
      </c>
      <c r="E35" s="227" t="s">
        <v>1625</v>
      </c>
      <c r="F35" s="150">
        <v>35</v>
      </c>
      <c r="G35" s="149" t="s">
        <v>1658</v>
      </c>
      <c r="J35" s="151">
        <v>361.54054100000002</v>
      </c>
      <c r="K35" s="151">
        <v>13.460270299999999</v>
      </c>
      <c r="L35" s="151">
        <v>7.0937837799999999</v>
      </c>
      <c r="M35" s="151">
        <v>0.68513513999999998</v>
      </c>
      <c r="N35" s="151">
        <v>80.266216200000002</v>
      </c>
      <c r="O35" s="151">
        <v>3.22540541</v>
      </c>
      <c r="P35" s="151">
        <v>3.557432E-2</v>
      </c>
      <c r="Q35" s="151">
        <v>3.8051349999999998E-2</v>
      </c>
      <c r="R35" s="151">
        <v>1.1891047299999999</v>
      </c>
      <c r="S35" s="151">
        <v>0</v>
      </c>
      <c r="T35" s="151">
        <v>0</v>
      </c>
      <c r="U35" s="151">
        <v>2.37162162</v>
      </c>
      <c r="V35" s="151">
        <v>0</v>
      </c>
      <c r="W35" s="151">
        <v>0</v>
      </c>
      <c r="X35" s="151">
        <v>0</v>
      </c>
      <c r="Y35" s="151">
        <v>0.11594595000000001</v>
      </c>
      <c r="Z35" s="151">
        <v>0</v>
      </c>
      <c r="AA35" s="151">
        <v>0</v>
      </c>
      <c r="AB35" s="151">
        <v>0</v>
      </c>
      <c r="AC35" s="151">
        <v>0</v>
      </c>
      <c r="AD35" s="151">
        <v>0</v>
      </c>
      <c r="AE35" s="151">
        <v>0</v>
      </c>
      <c r="AF35" s="151">
        <v>0</v>
      </c>
      <c r="AG35" s="151">
        <v>0</v>
      </c>
      <c r="AH35" s="151">
        <v>0</v>
      </c>
      <c r="AI35" s="151">
        <v>10.540540500000001</v>
      </c>
      <c r="AJ35" s="151">
        <v>0.14756757000000001</v>
      </c>
      <c r="AK35" s="151">
        <v>0.94864864999999998</v>
      </c>
      <c r="AL35" s="151">
        <v>45.324324300000001</v>
      </c>
      <c r="AM35" s="151">
        <v>0</v>
      </c>
      <c r="AN35" s="151">
        <v>132.810811</v>
      </c>
      <c r="AO35" s="151">
        <v>119.108108</v>
      </c>
      <c r="AP35" s="151">
        <v>0</v>
      </c>
      <c r="AQ35" s="151">
        <v>1.1489189200000001</v>
      </c>
      <c r="AR35" s="151">
        <v>0.10540541</v>
      </c>
      <c r="AS35" s="151">
        <v>0.12648649000000001</v>
      </c>
      <c r="AT35" s="151">
        <v>0.10540541</v>
      </c>
      <c r="AU35" s="151">
        <v>0</v>
      </c>
      <c r="AV35" s="151">
        <v>167.088649</v>
      </c>
      <c r="AW35" s="151">
        <v>306.31864899999999</v>
      </c>
      <c r="AX35" s="151">
        <v>585.79054099999996</v>
      </c>
      <c r="AY35" s="151">
        <v>256.58837799999998</v>
      </c>
      <c r="AZ35" s="151">
        <v>167.088649</v>
      </c>
      <c r="BA35" s="151">
        <v>145.20648600000001</v>
      </c>
      <c r="BB35" s="151">
        <v>378.92189200000001</v>
      </c>
      <c r="BC35" s="151">
        <v>253.60540499999999</v>
      </c>
      <c r="BD35" s="151">
        <v>82.542973000000003</v>
      </c>
      <c r="BE35" s="151">
        <v>432.625946</v>
      </c>
      <c r="BF35" s="151">
        <v>410.74378400000001</v>
      </c>
      <c r="BG35" s="151">
        <v>590.755135</v>
      </c>
      <c r="BH35" s="151">
        <v>666.34135100000003</v>
      </c>
      <c r="BI35" s="151">
        <v>1381.4221600000001</v>
      </c>
      <c r="BJ35" s="151">
        <v>323.22567600000002</v>
      </c>
      <c r="BK35" s="151">
        <v>333.17594600000001</v>
      </c>
      <c r="BL35" s="151">
        <v>372.95594599999998</v>
      </c>
      <c r="BM35" s="151">
        <v>236.69837799999999</v>
      </c>
      <c r="BN35" s="151">
        <v>0</v>
      </c>
      <c r="BO35" s="151">
        <v>96.972972999999996</v>
      </c>
      <c r="BP35" s="151">
        <v>1.0540540540000001</v>
      </c>
      <c r="BQ35" s="6"/>
    </row>
    <row r="36" spans="1:69">
      <c r="A36" s="179">
        <v>21101</v>
      </c>
      <c r="B36" s="149" t="s">
        <v>1659</v>
      </c>
      <c r="E36" s="227" t="s">
        <v>1625</v>
      </c>
      <c r="F36" s="150">
        <v>36</v>
      </c>
      <c r="G36" s="149" t="s">
        <v>1659</v>
      </c>
      <c r="J36" s="151">
        <v>81.360365000000002</v>
      </c>
      <c r="K36" s="151">
        <v>84.762592699999999</v>
      </c>
      <c r="L36" s="151">
        <v>2.0588124099999998</v>
      </c>
      <c r="M36" s="151">
        <v>6.42272117</v>
      </c>
      <c r="N36" s="151">
        <v>3.4759642300000002</v>
      </c>
      <c r="O36" s="151">
        <v>3.1918905099999999</v>
      </c>
      <c r="P36" s="151">
        <v>4.0356789999999997E-2</v>
      </c>
      <c r="Q36" s="151">
        <v>4.225139E-2</v>
      </c>
      <c r="R36" s="151">
        <v>0.43248685999999997</v>
      </c>
      <c r="S36" s="151">
        <v>5.2992409999999997E-2</v>
      </c>
      <c r="T36" s="151">
        <v>0.16255372000000001</v>
      </c>
      <c r="U36" s="151">
        <v>38.421965</v>
      </c>
      <c r="V36" s="151">
        <v>0</v>
      </c>
      <c r="W36" s="151">
        <v>9.0162240100000002</v>
      </c>
      <c r="X36" s="151">
        <v>0.28331387000000002</v>
      </c>
      <c r="Y36" s="151">
        <v>0.11015124</v>
      </c>
      <c r="Z36" s="151">
        <v>11.2651112</v>
      </c>
      <c r="AA36" s="151">
        <v>0</v>
      </c>
      <c r="AB36" s="151">
        <v>368.37401299999999</v>
      </c>
      <c r="AC36" s="151">
        <v>0</v>
      </c>
      <c r="AD36" s="151">
        <v>2214.8303000000001</v>
      </c>
      <c r="AE36" s="151">
        <v>7.3966569299999998</v>
      </c>
      <c r="AF36" s="151">
        <v>0</v>
      </c>
      <c r="AG36" s="151">
        <v>0</v>
      </c>
      <c r="AH36" s="151">
        <v>1.3692259899999999</v>
      </c>
      <c r="AI36" s="151">
        <v>112.94893399999999</v>
      </c>
      <c r="AJ36" s="151">
        <v>4.8048180000000003E-2</v>
      </c>
      <c r="AK36" s="151">
        <v>2.1009051099999998</v>
      </c>
      <c r="AL36" s="151">
        <v>6.2129051100000003</v>
      </c>
      <c r="AM36" s="151">
        <v>9.5556929999999998E-2</v>
      </c>
      <c r="AN36" s="151">
        <v>11.4133285</v>
      </c>
      <c r="AO36" s="151">
        <v>48.568438</v>
      </c>
      <c r="AP36" s="151">
        <v>0.29305109000000001</v>
      </c>
      <c r="AQ36" s="151">
        <v>0.52869343000000002</v>
      </c>
      <c r="AR36" s="151">
        <v>0.88543066000000004</v>
      </c>
      <c r="AS36" s="151">
        <v>1.36490511</v>
      </c>
      <c r="AT36" s="151">
        <v>3.3205985400000002</v>
      </c>
      <c r="AU36" s="151">
        <v>0</v>
      </c>
      <c r="AV36" s="151">
        <v>9.4554700000000005E-3</v>
      </c>
      <c r="AW36" s="151">
        <v>1.648759E-2</v>
      </c>
      <c r="AX36" s="151">
        <v>2.5910949999999999E-2</v>
      </c>
      <c r="AY36" s="151">
        <v>2.250365E-2</v>
      </c>
      <c r="AZ36" s="151">
        <v>5.5474499999999998E-3</v>
      </c>
      <c r="BA36" s="151">
        <v>7.60584E-3</v>
      </c>
      <c r="BB36" s="151">
        <v>1.920146E-2</v>
      </c>
      <c r="BC36" s="151">
        <v>1.5605839999999999E-2</v>
      </c>
      <c r="BD36" s="151">
        <v>4.7854000000000004E-3</v>
      </c>
      <c r="BE36" s="151">
        <v>2.0402920000000001E-2</v>
      </c>
      <c r="BF36" s="151">
        <v>2.0908030000000001E-2</v>
      </c>
      <c r="BG36" s="151">
        <v>4.9699269999999997E-2</v>
      </c>
      <c r="BH36" s="151">
        <v>5.3302189999999999E-2</v>
      </c>
      <c r="BI36" s="151">
        <v>9.0363499999999999E-2</v>
      </c>
      <c r="BJ36" s="151">
        <v>2.1940149999999999E-2</v>
      </c>
      <c r="BK36" s="151">
        <v>2.120876E-2</v>
      </c>
      <c r="BL36" s="151">
        <v>1.852409E-2</v>
      </c>
      <c r="BM36" s="151">
        <v>1.393869E-2</v>
      </c>
      <c r="BN36" s="151">
        <v>9.8722627700000007</v>
      </c>
      <c r="BO36" s="151">
        <v>13.215167900000001</v>
      </c>
      <c r="BP36" s="151">
        <v>0.70218978099999996</v>
      </c>
      <c r="BQ36" s="6"/>
    </row>
    <row r="37" spans="1:69">
      <c r="A37" s="179">
        <v>24104</v>
      </c>
      <c r="B37" s="149" t="s">
        <v>1660</v>
      </c>
      <c r="E37" s="227" t="s">
        <v>1625</v>
      </c>
      <c r="F37" s="150">
        <v>37</v>
      </c>
      <c r="G37" s="149" t="s">
        <v>1660</v>
      </c>
      <c r="J37" s="151">
        <v>68.163563600000003</v>
      </c>
      <c r="K37" s="151">
        <v>143.331165</v>
      </c>
      <c r="L37" s="151">
        <v>0.98597309</v>
      </c>
      <c r="M37" s="151">
        <v>4.4265549100000001</v>
      </c>
      <c r="N37" s="151">
        <v>5.5157170899999999</v>
      </c>
      <c r="O37" s="151">
        <v>1.74712</v>
      </c>
      <c r="P37" s="151">
        <v>2.917291E-2</v>
      </c>
      <c r="Q37" s="151">
        <v>4.2531359999999997E-2</v>
      </c>
      <c r="R37" s="151">
        <v>0.24306864</v>
      </c>
      <c r="S37" s="151">
        <v>0.26151964</v>
      </c>
      <c r="T37" s="151">
        <v>0.11282291</v>
      </c>
      <c r="U37" s="151">
        <v>8.6579370900000008</v>
      </c>
      <c r="V37" s="151">
        <v>0</v>
      </c>
      <c r="W37" s="151">
        <v>9.28007618</v>
      </c>
      <c r="X37" s="151">
        <v>0.36941817999999998</v>
      </c>
      <c r="Y37" s="151">
        <v>0.13177382000000001</v>
      </c>
      <c r="Z37" s="151">
        <v>25.4922051</v>
      </c>
      <c r="AA37" s="151">
        <v>0</v>
      </c>
      <c r="AB37" s="151">
        <v>4.9590468200000002</v>
      </c>
      <c r="AC37" s="151">
        <v>0.72</v>
      </c>
      <c r="AD37" s="151">
        <v>45.221364399999999</v>
      </c>
      <c r="AE37" s="151">
        <v>162.136943</v>
      </c>
      <c r="AF37" s="151">
        <v>0</v>
      </c>
      <c r="AG37" s="151">
        <v>0</v>
      </c>
      <c r="AH37" s="151">
        <v>28.4828349</v>
      </c>
      <c r="AI37" s="151">
        <v>27.048818199999999</v>
      </c>
      <c r="AJ37" s="151">
        <v>0.18905163999999999</v>
      </c>
      <c r="AK37" s="151">
        <v>0.86334544999999996</v>
      </c>
      <c r="AL37" s="151">
        <v>17.3336364</v>
      </c>
      <c r="AM37" s="151">
        <v>0.24794255000000001</v>
      </c>
      <c r="AN37" s="151">
        <v>27.702454500000002</v>
      </c>
      <c r="AO37" s="151">
        <v>255.48150899999999</v>
      </c>
      <c r="AP37" s="151">
        <v>0.73670181999999995</v>
      </c>
      <c r="AQ37" s="151">
        <v>0.39009818000000002</v>
      </c>
      <c r="AR37" s="151">
        <v>0.70827273000000002</v>
      </c>
      <c r="AS37" s="151">
        <v>1.0217454500000001</v>
      </c>
      <c r="AT37" s="151">
        <v>2.5637090900000001</v>
      </c>
      <c r="AU37" s="151">
        <v>0</v>
      </c>
      <c r="AV37" s="151">
        <v>1.6185450000000001E-2</v>
      </c>
      <c r="AW37" s="151">
        <v>3.2076359999999998E-2</v>
      </c>
      <c r="AX37" s="151">
        <v>5.5036359999999999E-2</v>
      </c>
      <c r="AY37" s="151">
        <v>3.5812730000000001E-2</v>
      </c>
      <c r="AZ37" s="151">
        <v>9.7254500000000001E-3</v>
      </c>
      <c r="BA37" s="151">
        <v>8.3763599999999994E-3</v>
      </c>
      <c r="BB37" s="151">
        <v>3.7576360000000003E-2</v>
      </c>
      <c r="BC37" s="151">
        <v>3.380727E-2</v>
      </c>
      <c r="BD37" s="151">
        <v>9.0381799999999998E-3</v>
      </c>
      <c r="BE37" s="151">
        <v>4.0463640000000002E-2</v>
      </c>
      <c r="BF37" s="151">
        <v>5.3598180000000002E-2</v>
      </c>
      <c r="BG37" s="151">
        <v>5.664545E-2</v>
      </c>
      <c r="BH37" s="151">
        <v>0.11003273</v>
      </c>
      <c r="BI37" s="151">
        <v>0.14771999999999999</v>
      </c>
      <c r="BJ37" s="151">
        <v>4.3058180000000001E-2</v>
      </c>
      <c r="BK37" s="151">
        <v>3.2027269999999997E-2</v>
      </c>
      <c r="BL37" s="151">
        <v>3.805091E-2</v>
      </c>
      <c r="BM37" s="151">
        <v>2.701636E-2</v>
      </c>
      <c r="BN37" s="151">
        <v>19.4758</v>
      </c>
      <c r="BO37" s="151">
        <v>26.394563600000001</v>
      </c>
      <c r="BP37" s="151">
        <v>4.843636364</v>
      </c>
      <c r="BQ37" s="6"/>
    </row>
    <row r="38" spans="1:69">
      <c r="A38" s="179">
        <v>24304</v>
      </c>
      <c r="B38" s="149" t="s">
        <v>1661</v>
      </c>
      <c r="E38" s="227" t="s">
        <v>1625</v>
      </c>
      <c r="F38" s="150">
        <v>38</v>
      </c>
      <c r="G38" s="149" t="s">
        <v>1661</v>
      </c>
      <c r="J38" s="151">
        <v>121</v>
      </c>
      <c r="K38" s="151">
        <v>101.65194</v>
      </c>
      <c r="L38" s="151">
        <v>1.5032240400000001</v>
      </c>
      <c r="M38" s="151">
        <v>7.3509836100000001</v>
      </c>
      <c r="N38" s="151">
        <v>11.2241257</v>
      </c>
      <c r="O38" s="151">
        <v>2.6854917999999999</v>
      </c>
      <c r="P38" s="151">
        <v>5.2972400000000003E-2</v>
      </c>
      <c r="Q38" s="151">
        <v>7.8383060000000004E-2</v>
      </c>
      <c r="R38" s="151">
        <v>0.36833127999999998</v>
      </c>
      <c r="S38" s="151">
        <v>0.47002622999999999</v>
      </c>
      <c r="T38" s="151">
        <v>0.22050326000000001</v>
      </c>
      <c r="U38" s="151">
        <v>13.1844372</v>
      </c>
      <c r="V38" s="151">
        <v>0</v>
      </c>
      <c r="W38" s="151">
        <v>13.272461399999999</v>
      </c>
      <c r="X38" s="151">
        <v>0.47336065999999999</v>
      </c>
      <c r="Y38" s="151">
        <v>0.10430929</v>
      </c>
      <c r="Z38" s="151">
        <v>29.864932799999998</v>
      </c>
      <c r="AA38" s="151">
        <v>0</v>
      </c>
      <c r="AB38" s="151">
        <v>3.0660607899999999</v>
      </c>
      <c r="AC38" s="151">
        <v>0</v>
      </c>
      <c r="AD38" s="151">
        <v>21.263427700000001</v>
      </c>
      <c r="AE38" s="151">
        <v>47.726378599999997</v>
      </c>
      <c r="AF38" s="151">
        <v>0</v>
      </c>
      <c r="AG38" s="151">
        <v>0</v>
      </c>
      <c r="AH38" s="151">
        <v>66.0095855</v>
      </c>
      <c r="AI38" s="151">
        <v>29.6614754</v>
      </c>
      <c r="AJ38" s="151">
        <v>0.36398907000000003</v>
      </c>
      <c r="AK38" s="151">
        <v>0.93734972999999999</v>
      </c>
      <c r="AL38" s="151">
        <v>26.341502699999999</v>
      </c>
      <c r="AM38" s="151">
        <v>0.32853552000000003</v>
      </c>
      <c r="AN38" s="151">
        <v>45.438524600000001</v>
      </c>
      <c r="AO38" s="151">
        <v>384.18376999999998</v>
      </c>
      <c r="AP38" s="151">
        <v>1.1403005500000001</v>
      </c>
      <c r="AQ38" s="151">
        <v>0.70196720999999995</v>
      </c>
      <c r="AR38" s="151">
        <v>1.18120219</v>
      </c>
      <c r="AS38" s="151">
        <v>1.6474043700000001</v>
      </c>
      <c r="AT38" s="151">
        <v>4.3170491799999997</v>
      </c>
      <c r="AU38" s="151">
        <v>0</v>
      </c>
      <c r="AV38" s="151">
        <v>2.4581970000000002E-2</v>
      </c>
      <c r="AW38" s="151">
        <v>5.0191260000000001E-2</v>
      </c>
      <c r="AX38" s="151">
        <v>8.7158470000000002E-2</v>
      </c>
      <c r="AY38" s="151">
        <v>6.1513659999999998E-2</v>
      </c>
      <c r="AZ38" s="151">
        <v>1.6150270000000001E-2</v>
      </c>
      <c r="BA38" s="151">
        <v>1.3688519999999999E-2</v>
      </c>
      <c r="BB38" s="151">
        <v>6.1890710000000002E-2</v>
      </c>
      <c r="BC38" s="151">
        <v>5.3803280000000002E-2</v>
      </c>
      <c r="BD38" s="151">
        <v>1.4322400000000001E-2</v>
      </c>
      <c r="BE38" s="151">
        <v>6.2912570000000001E-2</v>
      </c>
      <c r="BF38" s="151">
        <v>8.5882509999999995E-2</v>
      </c>
      <c r="BG38" s="151">
        <v>9.1136610000000007E-2</v>
      </c>
      <c r="BH38" s="151">
        <v>0.17248633999999999</v>
      </c>
      <c r="BI38" s="151">
        <v>0.25314207999999999</v>
      </c>
      <c r="BJ38" s="151">
        <v>6.3622949999999998E-2</v>
      </c>
      <c r="BK38" s="151">
        <v>5.0062839999999997E-2</v>
      </c>
      <c r="BL38" s="151">
        <v>6.0677599999999998E-2</v>
      </c>
      <c r="BM38" s="151">
        <v>4.3420769999999997E-2</v>
      </c>
      <c r="BN38" s="151">
        <v>32.577458999999998</v>
      </c>
      <c r="BO38" s="151">
        <v>49.939289600000002</v>
      </c>
      <c r="BP38" s="151">
        <v>8.3087431689999995</v>
      </c>
      <c r="BQ38" s="6"/>
    </row>
    <row r="39" spans="1:69">
      <c r="A39" s="179">
        <v>23302</v>
      </c>
      <c r="B39" s="149" t="s">
        <v>1662</v>
      </c>
      <c r="E39" s="227" t="s">
        <v>1625</v>
      </c>
      <c r="F39" s="150">
        <v>39</v>
      </c>
      <c r="G39" s="149" t="s">
        <v>1662</v>
      </c>
      <c r="J39" s="151">
        <v>109.339893</v>
      </c>
      <c r="K39" s="151">
        <v>151.96509800000001</v>
      </c>
      <c r="L39" s="151">
        <v>2.2512164600000002</v>
      </c>
      <c r="M39" s="151">
        <v>6.2380143099999996</v>
      </c>
      <c r="N39" s="151">
        <v>11.775617199999999</v>
      </c>
      <c r="O39" s="151">
        <v>3.5268694100000002</v>
      </c>
      <c r="P39" s="151">
        <v>8.221589E-2</v>
      </c>
      <c r="Q39" s="151">
        <v>0.11457391</v>
      </c>
      <c r="R39" s="151">
        <v>0.75881558999999998</v>
      </c>
      <c r="S39" s="151">
        <v>0.32030080999999999</v>
      </c>
      <c r="T39" s="151">
        <v>0.20948190999999999</v>
      </c>
      <c r="U39" s="151">
        <v>20.637158500000002</v>
      </c>
      <c r="V39" s="151">
        <v>0</v>
      </c>
      <c r="W39" s="151">
        <v>20.1083505</v>
      </c>
      <c r="X39" s="151">
        <v>0.47237924999999997</v>
      </c>
      <c r="Y39" s="151">
        <v>0.50201717000000001</v>
      </c>
      <c r="Z39" s="151">
        <v>53.855423600000002</v>
      </c>
      <c r="AA39" s="151">
        <v>0</v>
      </c>
      <c r="AB39" s="151">
        <v>29.8954193</v>
      </c>
      <c r="AC39" s="151">
        <v>43.888926699999999</v>
      </c>
      <c r="AD39" s="151">
        <v>327.40693199999998</v>
      </c>
      <c r="AE39" s="151">
        <v>752.31940099999997</v>
      </c>
      <c r="AF39" s="151">
        <v>0</v>
      </c>
      <c r="AG39" s="151">
        <v>0</v>
      </c>
      <c r="AH39" s="151">
        <v>46.034500100000002</v>
      </c>
      <c r="AI39" s="151">
        <v>46.377924899999996</v>
      </c>
      <c r="AJ39" s="151">
        <v>0.28230411</v>
      </c>
      <c r="AK39" s="151">
        <v>1.3991592100000001</v>
      </c>
      <c r="AL39" s="151">
        <v>32.8023077</v>
      </c>
      <c r="AM39" s="151">
        <v>0.32781038000000001</v>
      </c>
      <c r="AN39" s="151">
        <v>50.232540299999997</v>
      </c>
      <c r="AO39" s="151">
        <v>325.85055499999999</v>
      </c>
      <c r="AP39" s="151">
        <v>0.81694096999999999</v>
      </c>
      <c r="AQ39" s="151">
        <v>0.62296958999999996</v>
      </c>
      <c r="AR39" s="151">
        <v>1.00273703</v>
      </c>
      <c r="AS39" s="151">
        <v>1.3940071599999999</v>
      </c>
      <c r="AT39" s="151">
        <v>3.6323023299999999</v>
      </c>
      <c r="AU39" s="151">
        <v>0</v>
      </c>
      <c r="AV39" s="151">
        <v>3.7735240000000003E-2</v>
      </c>
      <c r="AW39" s="151">
        <v>7.6969590000000004E-2</v>
      </c>
      <c r="AX39" s="151">
        <v>0.13258317999999999</v>
      </c>
      <c r="AY39" s="151">
        <v>0.10215921</v>
      </c>
      <c r="AZ39" s="151">
        <v>2.421825E-2</v>
      </c>
      <c r="BA39" s="151">
        <v>2.0178890000000001E-2</v>
      </c>
      <c r="BB39" s="151">
        <v>8.4699460000000004E-2</v>
      </c>
      <c r="BC39" s="151">
        <v>8.9216459999999997E-2</v>
      </c>
      <c r="BD39" s="151">
        <v>2.418068E-2</v>
      </c>
      <c r="BE39" s="151">
        <v>9.8627909999999999E-2</v>
      </c>
      <c r="BF39" s="151">
        <v>0.10828444</v>
      </c>
      <c r="BG39" s="151">
        <v>9.5293379999999997E-2</v>
      </c>
      <c r="BH39" s="151">
        <v>0.29680679999999998</v>
      </c>
      <c r="BI39" s="151">
        <v>0.28195885999999998</v>
      </c>
      <c r="BJ39" s="151">
        <v>8.017531E-2</v>
      </c>
      <c r="BK39" s="151">
        <v>7.814132E-2</v>
      </c>
      <c r="BL39" s="151">
        <v>0.10694811999999999</v>
      </c>
      <c r="BM39" s="151">
        <v>5.6332739999999999E-2</v>
      </c>
      <c r="BN39" s="151">
        <v>20.3253667</v>
      </c>
      <c r="BO39" s="151">
        <v>27.761484800000002</v>
      </c>
      <c r="BP39" s="151">
        <v>8.5259391769999997</v>
      </c>
      <c r="BQ39" s="6"/>
    </row>
    <row r="40" spans="1:69">
      <c r="A40" s="179">
        <v>25305</v>
      </c>
      <c r="B40" s="149" t="s">
        <v>1663</v>
      </c>
      <c r="E40" s="227" t="s">
        <v>1625</v>
      </c>
      <c r="F40" s="150">
        <v>40</v>
      </c>
      <c r="G40" s="149" t="s">
        <v>1663</v>
      </c>
      <c r="J40" s="151">
        <v>91.2788599</v>
      </c>
      <c r="K40" s="151">
        <v>150.97401400000001</v>
      </c>
      <c r="L40" s="151">
        <v>2.1632541600000001</v>
      </c>
      <c r="M40" s="151">
        <v>6.9532779099999997</v>
      </c>
      <c r="N40" s="151">
        <v>3.8330641299999999</v>
      </c>
      <c r="O40" s="151">
        <v>3.3199524899999999</v>
      </c>
      <c r="P40" s="151">
        <v>7.7099290000000001E-2</v>
      </c>
      <c r="Q40" s="151">
        <v>7.9326190000000005E-2</v>
      </c>
      <c r="R40" s="151">
        <v>0.72229513000000001</v>
      </c>
      <c r="S40" s="151">
        <v>0.23725225999999999</v>
      </c>
      <c r="T40" s="151">
        <v>0.11075713</v>
      </c>
      <c r="U40" s="151">
        <v>10.315795700000001</v>
      </c>
      <c r="V40" s="151">
        <v>0</v>
      </c>
      <c r="W40" s="151">
        <v>19.378569800000001</v>
      </c>
      <c r="X40" s="151">
        <v>1.19817102</v>
      </c>
      <c r="Y40" s="151">
        <v>1.2870413300000001</v>
      </c>
      <c r="Z40" s="151">
        <v>88.167848500000005</v>
      </c>
      <c r="AA40" s="151">
        <v>0</v>
      </c>
      <c r="AB40" s="151">
        <v>343.90435000000002</v>
      </c>
      <c r="AC40" s="151">
        <v>478.58301699999998</v>
      </c>
      <c r="AD40" s="151">
        <v>2890.9885800000002</v>
      </c>
      <c r="AE40" s="151">
        <v>160.73349200000001</v>
      </c>
      <c r="AF40" s="151">
        <v>0</v>
      </c>
      <c r="AG40" s="151">
        <v>0</v>
      </c>
      <c r="AH40" s="151">
        <v>33.968058399999997</v>
      </c>
      <c r="AI40" s="151">
        <v>70.230498800000007</v>
      </c>
      <c r="AJ40" s="151">
        <v>0.31943943000000002</v>
      </c>
      <c r="AK40" s="151">
        <v>1.4407838500000001</v>
      </c>
      <c r="AL40" s="151">
        <v>18.8432067</v>
      </c>
      <c r="AM40" s="151">
        <v>0.17473633999999999</v>
      </c>
      <c r="AN40" s="151">
        <v>30.6716865</v>
      </c>
      <c r="AO40" s="151">
        <v>460.53</v>
      </c>
      <c r="AP40" s="151">
        <v>0.52261283000000003</v>
      </c>
      <c r="AQ40" s="151">
        <v>0.31831354000000001</v>
      </c>
      <c r="AR40" s="151">
        <v>1.0699287399999999</v>
      </c>
      <c r="AS40" s="151">
        <v>1.5848693599999999</v>
      </c>
      <c r="AT40" s="151">
        <v>3.8538479799999998</v>
      </c>
      <c r="AU40" s="151">
        <v>0</v>
      </c>
      <c r="AV40" s="151">
        <v>2.398337E-2</v>
      </c>
      <c r="AW40" s="151">
        <v>6.2370549999999997E-2</v>
      </c>
      <c r="AX40" s="151">
        <v>7.4137770000000006E-2</v>
      </c>
      <c r="AY40" s="151">
        <v>4.9874109999999999E-2</v>
      </c>
      <c r="AZ40" s="151">
        <v>1.548219E-2</v>
      </c>
      <c r="BA40" s="151">
        <v>1.4171019999999999E-2</v>
      </c>
      <c r="BB40" s="151">
        <v>6.5653210000000004E-2</v>
      </c>
      <c r="BC40" s="151">
        <v>5.2249410000000003E-2</v>
      </c>
      <c r="BD40" s="151">
        <v>1.1216149999999999E-2</v>
      </c>
      <c r="BE40" s="151">
        <v>7.6828980000000005E-2</v>
      </c>
      <c r="BF40" s="151">
        <v>6.9358669999999997E-2</v>
      </c>
      <c r="BG40" s="151">
        <v>8.9890739999999997E-2</v>
      </c>
      <c r="BH40" s="151">
        <v>0.1821924</v>
      </c>
      <c r="BI40" s="151">
        <v>0.28176485000000001</v>
      </c>
      <c r="BJ40" s="151">
        <v>6.8370550000000002E-2</v>
      </c>
      <c r="BK40" s="151">
        <v>5.475534E-2</v>
      </c>
      <c r="BL40" s="151">
        <v>5.9912109999999998E-2</v>
      </c>
      <c r="BM40" s="151">
        <v>4.103325E-2</v>
      </c>
      <c r="BN40" s="151">
        <v>27.7708789</v>
      </c>
      <c r="BO40" s="151">
        <v>26.764109300000001</v>
      </c>
      <c r="BP40" s="151">
        <v>1.5225653210000001</v>
      </c>
      <c r="BQ40" s="6"/>
    </row>
    <row r="41" spans="1:69">
      <c r="A41" s="179">
        <v>23604</v>
      </c>
      <c r="B41" s="149" t="s">
        <v>1664</v>
      </c>
      <c r="E41" s="227" t="s">
        <v>1625</v>
      </c>
      <c r="F41" s="150">
        <v>41</v>
      </c>
      <c r="G41" s="149" t="s">
        <v>1664</v>
      </c>
      <c r="J41" s="151">
        <v>340.15384599999999</v>
      </c>
      <c r="K41" s="151">
        <v>26.378106500000001</v>
      </c>
      <c r="L41" s="151">
        <v>17.405147899999999</v>
      </c>
      <c r="M41" s="151">
        <v>10.7714201</v>
      </c>
      <c r="N41" s="151">
        <v>37.043017800000001</v>
      </c>
      <c r="O41" s="151">
        <v>12.830443799999999</v>
      </c>
      <c r="P41" s="151">
        <v>0.24206005999999999</v>
      </c>
      <c r="Q41" s="151">
        <v>0.20234052999999999</v>
      </c>
      <c r="R41" s="151">
        <v>1.50844231</v>
      </c>
      <c r="S41" s="151">
        <v>3.1099408300000002</v>
      </c>
      <c r="T41" s="151">
        <v>0.28179230999999999</v>
      </c>
      <c r="U41" s="151">
        <v>70.442011800000003</v>
      </c>
      <c r="V41" s="151">
        <v>0</v>
      </c>
      <c r="W41" s="151">
        <v>6.8570710100000003</v>
      </c>
      <c r="X41" s="151">
        <v>12.965029599999999</v>
      </c>
      <c r="Y41" s="151">
        <v>1.4487278100000001</v>
      </c>
      <c r="Z41" s="151">
        <v>5.8779881700000001</v>
      </c>
      <c r="AA41" s="151">
        <v>0</v>
      </c>
      <c r="AB41" s="151">
        <v>1.8869384600000001</v>
      </c>
      <c r="AC41" s="151">
        <v>0</v>
      </c>
      <c r="AD41" s="151">
        <v>22.640214199999999</v>
      </c>
      <c r="AE41" s="151">
        <v>14.4282544</v>
      </c>
      <c r="AF41" s="151">
        <v>0</v>
      </c>
      <c r="AG41" s="151">
        <v>0</v>
      </c>
      <c r="AH41" s="151">
        <v>1.87928994</v>
      </c>
      <c r="AI41" s="151">
        <v>145.776006</v>
      </c>
      <c r="AJ41" s="151">
        <v>0.90215975999999998</v>
      </c>
      <c r="AK41" s="151">
        <v>4.7209763300000001</v>
      </c>
      <c r="AL41" s="151">
        <v>148.46186399999999</v>
      </c>
      <c r="AM41" s="151">
        <v>0.85850888000000003</v>
      </c>
      <c r="AN41" s="151">
        <v>266.09171600000002</v>
      </c>
      <c r="AO41" s="151">
        <v>907.61813600000005</v>
      </c>
      <c r="AP41" s="151">
        <v>2.4492603599999998</v>
      </c>
      <c r="AQ41" s="151">
        <v>1.93828402</v>
      </c>
      <c r="AR41" s="151">
        <v>0.73041420000000001</v>
      </c>
      <c r="AS41" s="151">
        <v>6.30544379</v>
      </c>
      <c r="AT41" s="151">
        <v>1.9783727799999999</v>
      </c>
      <c r="AU41" s="151">
        <v>0</v>
      </c>
      <c r="AV41" s="151">
        <v>0.47999407999999999</v>
      </c>
      <c r="AW41" s="151">
        <v>0.58149704000000002</v>
      </c>
      <c r="AX41" s="151">
        <v>1.2783313599999999</v>
      </c>
      <c r="AY41" s="151">
        <v>1.0717662699999999</v>
      </c>
      <c r="AZ41" s="151">
        <v>0.19973077</v>
      </c>
      <c r="BA41" s="151">
        <v>0.10524260000000001</v>
      </c>
      <c r="BB41" s="151">
        <v>0.99744969999999999</v>
      </c>
      <c r="BC41" s="151">
        <v>0.49433431999999999</v>
      </c>
      <c r="BD41" s="151">
        <v>0.16697041000000001</v>
      </c>
      <c r="BE41" s="151">
        <v>0.70129585999999999</v>
      </c>
      <c r="BF41" s="151">
        <v>0.79391124000000002</v>
      </c>
      <c r="BG41" s="151">
        <v>1.0817248500000001</v>
      </c>
      <c r="BH41" s="151">
        <v>2.2395443799999999</v>
      </c>
      <c r="BI41" s="151">
        <v>3.2655503000000001</v>
      </c>
      <c r="BJ41" s="151">
        <v>0.65307987999999995</v>
      </c>
      <c r="BK41" s="151">
        <v>0.68587869999999995</v>
      </c>
      <c r="BL41" s="151">
        <v>0.89517455999999995</v>
      </c>
      <c r="BM41" s="151">
        <v>0.52288462000000002</v>
      </c>
      <c r="BN41" s="151">
        <v>11.7767456</v>
      </c>
      <c r="BO41" s="151">
        <v>510.97210100000001</v>
      </c>
      <c r="BP41" s="151">
        <v>1.8402366859999999</v>
      </c>
      <c r="BQ41" s="6"/>
    </row>
    <row r="42" spans="1:69">
      <c r="A42" s="179">
        <v>25604</v>
      </c>
      <c r="B42" s="149" t="s">
        <v>1665</v>
      </c>
      <c r="E42" s="227" t="s">
        <v>1625</v>
      </c>
      <c r="F42" s="150">
        <v>42</v>
      </c>
      <c r="G42" s="149" t="s">
        <v>1665</v>
      </c>
      <c r="J42" s="151">
        <v>90.327338100000006</v>
      </c>
      <c r="K42" s="151">
        <v>105.67834499999999</v>
      </c>
      <c r="L42" s="151">
        <v>3.5091366900000001</v>
      </c>
      <c r="M42" s="151">
        <v>3.70201439</v>
      </c>
      <c r="N42" s="151">
        <v>8.2332374099999992</v>
      </c>
      <c r="O42" s="151">
        <v>4.9537410099999999</v>
      </c>
      <c r="P42" s="151">
        <v>8.6246580000000003E-2</v>
      </c>
      <c r="Q42" s="151">
        <v>6.4330670000000006E-2</v>
      </c>
      <c r="R42" s="151">
        <v>0.78354226999999999</v>
      </c>
      <c r="S42" s="151">
        <v>0.17407734</v>
      </c>
      <c r="T42" s="151">
        <v>0.17681474999999999</v>
      </c>
      <c r="U42" s="151">
        <v>18.3425899</v>
      </c>
      <c r="V42" s="151">
        <v>0</v>
      </c>
      <c r="W42" s="151">
        <v>41.845925700000002</v>
      </c>
      <c r="X42" s="151">
        <v>1.97510791</v>
      </c>
      <c r="Y42" s="151">
        <v>1.5224820100000001</v>
      </c>
      <c r="Z42" s="151">
        <v>21.216010799999999</v>
      </c>
      <c r="AA42" s="151">
        <v>0</v>
      </c>
      <c r="AB42" s="151">
        <v>65.549104</v>
      </c>
      <c r="AC42" s="151">
        <v>78.057194199999998</v>
      </c>
      <c r="AD42" s="151">
        <v>678.88087700000005</v>
      </c>
      <c r="AE42" s="151">
        <v>114.117806</v>
      </c>
      <c r="AF42" s="151">
        <v>2.22965612</v>
      </c>
      <c r="AG42" s="151">
        <v>97.838093499999999</v>
      </c>
      <c r="AH42" s="151">
        <v>166.21625900000001</v>
      </c>
      <c r="AI42" s="151">
        <v>31.768596800000001</v>
      </c>
      <c r="AJ42" s="151">
        <v>0.33210917000000001</v>
      </c>
      <c r="AK42" s="151">
        <v>1.3381744600000001</v>
      </c>
      <c r="AL42" s="151">
        <v>26.7114388</v>
      </c>
      <c r="AM42" s="151">
        <v>0.40192085999999999</v>
      </c>
      <c r="AN42" s="151">
        <v>42.926051800000003</v>
      </c>
      <c r="AO42" s="151">
        <v>231.24755400000001</v>
      </c>
      <c r="AP42" s="151">
        <v>6.5193165500000001</v>
      </c>
      <c r="AQ42" s="151">
        <v>0.45193794999999998</v>
      </c>
      <c r="AR42" s="151">
        <v>0.39431654999999999</v>
      </c>
      <c r="AS42" s="151">
        <v>1.94755396</v>
      </c>
      <c r="AT42" s="151">
        <v>0.73173741000000003</v>
      </c>
      <c r="AU42" s="151">
        <v>0</v>
      </c>
      <c r="AV42" s="151">
        <v>7.6251799999999995E-2</v>
      </c>
      <c r="AW42" s="151">
        <v>0.1148777</v>
      </c>
      <c r="AX42" s="151">
        <v>0.18064748</v>
      </c>
      <c r="AY42" s="151">
        <v>0.14259711999999999</v>
      </c>
      <c r="AZ42" s="151">
        <v>3.9057550000000003E-2</v>
      </c>
      <c r="BA42" s="151">
        <v>3.2888489999999999E-2</v>
      </c>
      <c r="BB42" s="151">
        <v>0.10042445999999999</v>
      </c>
      <c r="BC42" s="151">
        <v>0.11656115</v>
      </c>
      <c r="BD42" s="151">
        <v>3.1658270000000002E-2</v>
      </c>
      <c r="BE42" s="151">
        <v>0.15231655</v>
      </c>
      <c r="BF42" s="151">
        <v>0.13365108000000001</v>
      </c>
      <c r="BG42" s="151">
        <v>0.27684532000000001</v>
      </c>
      <c r="BH42" s="151">
        <v>0.27657194000000002</v>
      </c>
      <c r="BI42" s="151">
        <v>0.36117986000000002</v>
      </c>
      <c r="BJ42" s="151">
        <v>0.14191007</v>
      </c>
      <c r="BK42" s="151">
        <v>0.13166186999999999</v>
      </c>
      <c r="BL42" s="151">
        <v>0.11172662</v>
      </c>
      <c r="BM42" s="151">
        <v>0.1041295</v>
      </c>
      <c r="BN42" s="151">
        <v>71.9733813</v>
      </c>
      <c r="BO42" s="151">
        <v>35.533956799999999</v>
      </c>
      <c r="BP42" s="151">
        <v>5.5359712229999998</v>
      </c>
      <c r="BQ42" s="6"/>
    </row>
    <row r="43" spans="1:69">
      <c r="A43" s="179">
        <v>25603</v>
      </c>
      <c r="B43" s="149" t="s">
        <v>1666</v>
      </c>
      <c r="E43" s="227" t="s">
        <v>1625</v>
      </c>
      <c r="F43" s="150">
        <v>43</v>
      </c>
      <c r="G43" s="149" t="s">
        <v>1666</v>
      </c>
      <c r="J43" s="151">
        <v>70.426294799999994</v>
      </c>
      <c r="K43" s="151">
        <v>114.214382</v>
      </c>
      <c r="L43" s="151">
        <v>2.8310757</v>
      </c>
      <c r="M43" s="151">
        <v>3.0938246999999999</v>
      </c>
      <c r="N43" s="151">
        <v>5.7259760999999996</v>
      </c>
      <c r="O43" s="151">
        <v>4.3901593600000002</v>
      </c>
      <c r="P43" s="151">
        <v>8.4578979999999998E-2</v>
      </c>
      <c r="Q43" s="151">
        <v>6.8144620000000003E-2</v>
      </c>
      <c r="R43" s="151">
        <v>0.74755777000000001</v>
      </c>
      <c r="S43" s="151">
        <v>0.21162869000000001</v>
      </c>
      <c r="T43" s="151">
        <v>0.20479781</v>
      </c>
      <c r="U43" s="151">
        <v>9.3313147399999998</v>
      </c>
      <c r="V43" s="151">
        <v>0</v>
      </c>
      <c r="W43" s="151">
        <v>12.849054799999999</v>
      </c>
      <c r="X43" s="151">
        <v>0.99760956000000001</v>
      </c>
      <c r="Y43" s="151">
        <v>2.2658964099999999</v>
      </c>
      <c r="Z43" s="151">
        <v>84.644860600000001</v>
      </c>
      <c r="AA43" s="151">
        <v>0</v>
      </c>
      <c r="AB43" s="151">
        <v>361.55409100000003</v>
      </c>
      <c r="AC43" s="151">
        <v>457.03685300000001</v>
      </c>
      <c r="AD43" s="151">
        <v>3107.5994900000001</v>
      </c>
      <c r="AE43" s="151">
        <v>227.176175</v>
      </c>
      <c r="AF43" s="151">
        <v>1.6463330700000001</v>
      </c>
      <c r="AG43" s="151">
        <v>72.241673300000002</v>
      </c>
      <c r="AH43" s="151">
        <v>153.74355600000001</v>
      </c>
      <c r="AI43" s="151">
        <v>64.124805800000004</v>
      </c>
      <c r="AJ43" s="151">
        <v>0.27131224999999998</v>
      </c>
      <c r="AK43" s="151">
        <v>0.71825198999999995</v>
      </c>
      <c r="AL43" s="151">
        <v>15.8207171</v>
      </c>
      <c r="AM43" s="151">
        <v>0.20635856999999999</v>
      </c>
      <c r="AN43" s="151">
        <v>39.864541799999998</v>
      </c>
      <c r="AO43" s="151">
        <v>248.958167</v>
      </c>
      <c r="AP43" s="151">
        <v>1.4576494</v>
      </c>
      <c r="AQ43" s="151">
        <v>0.28998257</v>
      </c>
      <c r="AR43" s="151">
        <v>0.24505975999999999</v>
      </c>
      <c r="AS43" s="151">
        <v>1.62569721</v>
      </c>
      <c r="AT43" s="151">
        <v>0.60980875999999995</v>
      </c>
      <c r="AU43" s="151">
        <v>0</v>
      </c>
      <c r="AV43" s="151">
        <v>3.640239E-2</v>
      </c>
      <c r="AW43" s="151">
        <v>8.3482070000000005E-2</v>
      </c>
      <c r="AX43" s="151">
        <v>0.11175299</v>
      </c>
      <c r="AY43" s="151">
        <v>7.4972109999999995E-2</v>
      </c>
      <c r="AZ43" s="151">
        <v>2.3067730000000002E-2</v>
      </c>
      <c r="BA43" s="151">
        <v>2.5613549999999999E-2</v>
      </c>
      <c r="BB43" s="151">
        <v>9.5633469999999998E-2</v>
      </c>
      <c r="BC43" s="151">
        <v>7.692032E-2</v>
      </c>
      <c r="BD43" s="151">
        <v>1.6764939999999999E-2</v>
      </c>
      <c r="BE43" s="151">
        <v>0.10469323</v>
      </c>
      <c r="BF43" s="151">
        <v>9.8027890000000006E-2</v>
      </c>
      <c r="BG43" s="151">
        <v>0.13127887999999999</v>
      </c>
      <c r="BH43" s="151">
        <v>0.26259760999999998</v>
      </c>
      <c r="BI43" s="151">
        <v>0.38970916</v>
      </c>
      <c r="BJ43" s="151">
        <v>9.8780880000000001E-2</v>
      </c>
      <c r="BK43" s="151">
        <v>9.0657370000000001E-2</v>
      </c>
      <c r="BL43" s="151">
        <v>8.4828689999999998E-2</v>
      </c>
      <c r="BM43" s="151">
        <v>6.0330679999999998E-2</v>
      </c>
      <c r="BN43" s="151">
        <v>35.726494000000002</v>
      </c>
      <c r="BO43" s="151">
        <v>38.815338599999997</v>
      </c>
      <c r="BP43" s="151">
        <v>4.0358565740000003</v>
      </c>
      <c r="BQ43" s="6"/>
    </row>
    <row r="44" spans="1:69">
      <c r="A44" s="179">
        <v>31802</v>
      </c>
      <c r="B44" s="149" t="s">
        <v>1667</v>
      </c>
      <c r="E44" s="227" t="s">
        <v>1625</v>
      </c>
      <c r="F44" s="150">
        <v>44</v>
      </c>
      <c r="G44" s="149" t="s">
        <v>1667</v>
      </c>
      <c r="J44" s="151">
        <v>585.06210499999997</v>
      </c>
      <c r="K44" s="151">
        <v>77.828069799999994</v>
      </c>
      <c r="L44" s="151">
        <v>1.7472082900000001</v>
      </c>
      <c r="M44" s="151">
        <v>35.393413299999999</v>
      </c>
      <c r="N44" s="151">
        <v>67.634067599999995</v>
      </c>
      <c r="O44" s="151">
        <v>4.0160523399999999</v>
      </c>
      <c r="P44" s="151">
        <v>4.6050809999999998E-2</v>
      </c>
      <c r="Q44" s="151">
        <v>3.903189E-2</v>
      </c>
      <c r="R44" s="151">
        <v>0.27755053000000002</v>
      </c>
      <c r="S44" s="151">
        <v>1.3947660000000001E-2</v>
      </c>
      <c r="T44" s="151">
        <v>0.50575623999999997</v>
      </c>
      <c r="U44" s="151">
        <v>10.868658699999999</v>
      </c>
      <c r="V44" s="151">
        <v>0</v>
      </c>
      <c r="W44" s="151">
        <v>0.31501636</v>
      </c>
      <c r="X44" s="151">
        <v>0.54249727000000003</v>
      </c>
      <c r="Y44" s="151">
        <v>3.9135550700000001</v>
      </c>
      <c r="Z44" s="151">
        <v>2.2631406799999998</v>
      </c>
      <c r="AA44" s="151">
        <v>0</v>
      </c>
      <c r="AB44" s="151">
        <v>13.3623119</v>
      </c>
      <c r="AC44" s="151">
        <v>3.9149400000000001E-2</v>
      </c>
      <c r="AD44" s="151">
        <v>153.04127299999999</v>
      </c>
      <c r="AE44" s="151">
        <v>6.5959760100000002</v>
      </c>
      <c r="AF44" s="151">
        <v>7.9476550000000007E-2</v>
      </c>
      <c r="AG44" s="151">
        <v>9.4275490699999995</v>
      </c>
      <c r="AH44" s="151">
        <v>6.3535659799999999</v>
      </c>
      <c r="AI44" s="151">
        <v>126.55385</v>
      </c>
      <c r="AJ44" s="151">
        <v>0.63594547000000001</v>
      </c>
      <c r="AK44" s="151">
        <v>2.1898579100000002</v>
      </c>
      <c r="AL44" s="151">
        <v>93.783544199999994</v>
      </c>
      <c r="AM44" s="151">
        <v>0.68982988000000001</v>
      </c>
      <c r="AN44" s="151">
        <v>60.488047999999999</v>
      </c>
      <c r="AO44" s="151">
        <v>250.24659800000001</v>
      </c>
      <c r="AP44" s="151">
        <v>1.17067612</v>
      </c>
      <c r="AQ44" s="151">
        <v>0.21150490999999999</v>
      </c>
      <c r="AR44" s="151">
        <v>3.1799345699999999</v>
      </c>
      <c r="AS44" s="151">
        <v>24.307633599999999</v>
      </c>
      <c r="AT44" s="151">
        <v>4.3436488500000001</v>
      </c>
      <c r="AU44" s="151">
        <v>0</v>
      </c>
      <c r="AV44" s="151">
        <v>2.6128680000000001E-2</v>
      </c>
      <c r="AW44" s="151">
        <v>3.6770990000000003E-2</v>
      </c>
      <c r="AX44" s="151">
        <v>5.5900760000000001E-2</v>
      </c>
      <c r="AY44" s="151">
        <v>4.5501640000000003E-2</v>
      </c>
      <c r="AZ44" s="151">
        <v>8.8266100000000004E-3</v>
      </c>
      <c r="BA44" s="151">
        <v>9.4710999999999997E-3</v>
      </c>
      <c r="BB44" s="151">
        <v>7.1105779999999993E-2</v>
      </c>
      <c r="BC44" s="151">
        <v>3.6852780000000002E-2</v>
      </c>
      <c r="BD44" s="151">
        <v>1.033588E-2</v>
      </c>
      <c r="BE44" s="151">
        <v>5.4498360000000003E-2</v>
      </c>
      <c r="BF44" s="151">
        <v>7.2230100000000005E-2</v>
      </c>
      <c r="BG44" s="151">
        <v>6.1009809999999998E-2</v>
      </c>
      <c r="BH44" s="151">
        <v>0.42268375000000002</v>
      </c>
      <c r="BI44" s="151">
        <v>0.21151908</v>
      </c>
      <c r="BJ44" s="151">
        <v>4.9694660000000002E-2</v>
      </c>
      <c r="BK44" s="151">
        <v>3.5556160000000003E-2</v>
      </c>
      <c r="BL44" s="151">
        <v>5.6070879999999997E-2</v>
      </c>
      <c r="BM44" s="151">
        <v>2.0859320000000001E-2</v>
      </c>
      <c r="BN44" s="151">
        <v>91.770065399999993</v>
      </c>
      <c r="BO44" s="151">
        <v>8.9025408899999992</v>
      </c>
      <c r="BP44" s="151">
        <v>1.4929116680000001</v>
      </c>
      <c r="BQ44" s="6"/>
    </row>
    <row r="45" spans="1:69">
      <c r="A45" s="179">
        <v>32801</v>
      </c>
      <c r="B45" s="149" t="s">
        <v>1668</v>
      </c>
      <c r="E45" s="227" t="s">
        <v>1625</v>
      </c>
      <c r="F45" s="150">
        <v>45</v>
      </c>
      <c r="G45" s="149" t="s">
        <v>1668</v>
      </c>
      <c r="J45" s="151">
        <v>321.43242299999997</v>
      </c>
      <c r="K45" s="151">
        <v>67.822780499999993</v>
      </c>
      <c r="L45" s="151">
        <v>3.2892937099999999</v>
      </c>
      <c r="M45" s="151">
        <v>10.2327256</v>
      </c>
      <c r="N45" s="151">
        <v>52.214907599999997</v>
      </c>
      <c r="O45" s="151">
        <v>3.97567512</v>
      </c>
      <c r="P45" s="151">
        <v>0.30667587000000002</v>
      </c>
      <c r="Q45" s="151">
        <v>4.5985159999999997E-2</v>
      </c>
      <c r="R45" s="151">
        <v>0.47680357000000001</v>
      </c>
      <c r="S45" s="151">
        <v>0.14183699999999999</v>
      </c>
      <c r="T45" s="151">
        <v>0.42844282</v>
      </c>
      <c r="U45" s="151">
        <v>9.0363802799999995</v>
      </c>
      <c r="V45" s="151">
        <v>0</v>
      </c>
      <c r="W45" s="151">
        <v>2.3027605599999998</v>
      </c>
      <c r="X45" s="151">
        <v>22.053154899999999</v>
      </c>
      <c r="Y45" s="151">
        <v>0.23964319000000001</v>
      </c>
      <c r="Z45" s="151">
        <v>1.5531079800000001</v>
      </c>
      <c r="AA45" s="151">
        <v>0</v>
      </c>
      <c r="AB45" s="151">
        <v>4.41702028</v>
      </c>
      <c r="AC45" s="151">
        <v>6.0676059999999997E-2</v>
      </c>
      <c r="AD45" s="151">
        <v>47.690741799999998</v>
      </c>
      <c r="AE45" s="151">
        <v>12.403521100000001</v>
      </c>
      <c r="AF45" s="151">
        <v>0.17107981</v>
      </c>
      <c r="AG45" s="151">
        <v>8.9014084499999999</v>
      </c>
      <c r="AH45" s="151">
        <v>13.484018799999999</v>
      </c>
      <c r="AI45" s="151">
        <v>121.603612</v>
      </c>
      <c r="AJ45" s="151">
        <v>0.55918365999999997</v>
      </c>
      <c r="AK45" s="151">
        <v>2.1593951200000001</v>
      </c>
      <c r="AL45" s="151">
        <v>84.842450700000001</v>
      </c>
      <c r="AM45" s="151">
        <v>0.66084938999999998</v>
      </c>
      <c r="AN45" s="151">
        <v>80.658553999999995</v>
      </c>
      <c r="AO45" s="151">
        <v>302.550838</v>
      </c>
      <c r="AP45" s="151">
        <v>0.3982385</v>
      </c>
      <c r="AQ45" s="151">
        <v>0.49909483999999998</v>
      </c>
      <c r="AR45" s="151">
        <v>1.29483568</v>
      </c>
      <c r="AS45" s="151">
        <v>6.8028168999999998</v>
      </c>
      <c r="AT45" s="151">
        <v>1.66162911</v>
      </c>
      <c r="AU45" s="151">
        <v>0</v>
      </c>
      <c r="AV45" s="151">
        <v>5.4373709999999999E-2</v>
      </c>
      <c r="AW45" s="151">
        <v>0.13306385000000001</v>
      </c>
      <c r="AX45" s="151">
        <v>0.13770985999999999</v>
      </c>
      <c r="AY45" s="151">
        <v>0.10081221</v>
      </c>
      <c r="AZ45" s="151">
        <v>3.1009390000000001E-2</v>
      </c>
      <c r="BA45" s="151">
        <v>2.0862909999999998E-2</v>
      </c>
      <c r="BB45" s="151">
        <v>0.13646196999999999</v>
      </c>
      <c r="BC45" s="151">
        <v>8.6130520000000002E-2</v>
      </c>
      <c r="BD45" s="151">
        <v>3.184319E-2</v>
      </c>
      <c r="BE45" s="151">
        <v>0.14318497999999999</v>
      </c>
      <c r="BF45" s="151">
        <v>0.20445540000000001</v>
      </c>
      <c r="BG45" s="151">
        <v>0.25822816999999998</v>
      </c>
      <c r="BH45" s="151">
        <v>1.12173615</v>
      </c>
      <c r="BI45" s="151">
        <v>0.59397652999999995</v>
      </c>
      <c r="BJ45" s="151">
        <v>0.12364695000000001</v>
      </c>
      <c r="BK45" s="151">
        <v>0.14501127</v>
      </c>
      <c r="BL45" s="151">
        <v>0.16057371000000001</v>
      </c>
      <c r="BM45" s="151">
        <v>8.6346480000000003E-2</v>
      </c>
      <c r="BN45" s="151">
        <v>70.6412488</v>
      </c>
      <c r="BO45" s="151">
        <v>93.5165164</v>
      </c>
      <c r="BP45" s="151">
        <v>2.4018779339999998</v>
      </c>
      <c r="BQ45" s="6"/>
    </row>
    <row r="46" spans="1:69">
      <c r="A46" s="179">
        <v>11305</v>
      </c>
      <c r="B46" s="149" t="s">
        <v>1669</v>
      </c>
      <c r="E46" s="227" t="s">
        <v>1625</v>
      </c>
      <c r="F46" s="150">
        <v>46</v>
      </c>
      <c r="G46" s="149" t="s">
        <v>1669</v>
      </c>
      <c r="J46" s="151">
        <v>252.75769199999999</v>
      </c>
      <c r="K46" s="151">
        <v>17.6761154</v>
      </c>
      <c r="L46" s="151">
        <v>4.5974615400000003</v>
      </c>
      <c r="M46" s="151">
        <v>4.9983461499999997</v>
      </c>
      <c r="N46" s="151">
        <v>47.178230800000001</v>
      </c>
      <c r="O46" s="151">
        <v>0.58542307999999998</v>
      </c>
      <c r="P46" s="151">
        <v>2.2150380000000001E-2</v>
      </c>
      <c r="Q46" s="151">
        <v>4.7185770000000002E-2</v>
      </c>
      <c r="R46" s="151">
        <v>1.20967154</v>
      </c>
      <c r="S46" s="151">
        <v>0.20653846000000001</v>
      </c>
      <c r="T46" s="151">
        <v>1.3302690000000001E-2</v>
      </c>
      <c r="U46" s="151">
        <v>0.72180769</v>
      </c>
      <c r="V46" s="151">
        <v>0</v>
      </c>
      <c r="W46" s="151">
        <v>1.72303096</v>
      </c>
      <c r="X46" s="151">
        <v>9.6653849999999999E-2</v>
      </c>
      <c r="Y46" s="151">
        <v>2.1843080000000001E-2</v>
      </c>
      <c r="Z46" s="151">
        <v>8.5214615400000007</v>
      </c>
      <c r="AA46" s="151">
        <v>10.4178462</v>
      </c>
      <c r="AB46" s="151">
        <v>10.6973585</v>
      </c>
      <c r="AC46" s="151">
        <v>0</v>
      </c>
      <c r="AD46" s="151">
        <v>3.35290154</v>
      </c>
      <c r="AE46" s="151">
        <v>5.33045423</v>
      </c>
      <c r="AF46" s="151">
        <v>0</v>
      </c>
      <c r="AG46" s="151">
        <v>0</v>
      </c>
      <c r="AH46" s="151">
        <v>0.68092962000000001</v>
      </c>
      <c r="AI46" s="151">
        <v>13.168192299999999</v>
      </c>
      <c r="AJ46" s="151">
        <v>4.3615380000000002E-2</v>
      </c>
      <c r="AK46" s="151">
        <v>0.74473076999999999</v>
      </c>
      <c r="AL46" s="151">
        <v>2.5774615399999998</v>
      </c>
      <c r="AM46" s="151">
        <v>0.72443077</v>
      </c>
      <c r="AN46" s="151">
        <v>37.665384600000003</v>
      </c>
      <c r="AO46" s="151">
        <v>38.336046500000002</v>
      </c>
      <c r="AP46" s="151">
        <v>8.85057692</v>
      </c>
      <c r="AQ46" s="151">
        <v>7.2692309999999996E-2</v>
      </c>
      <c r="AR46" s="151">
        <v>0.66626923000000005</v>
      </c>
      <c r="AS46" s="151">
        <v>0.96726922999999998</v>
      </c>
      <c r="AT46" s="151">
        <v>2.4532307699999998</v>
      </c>
      <c r="AU46" s="151">
        <v>0</v>
      </c>
      <c r="AV46" s="151">
        <v>2.7115400000000001E-3</v>
      </c>
      <c r="AW46" s="151">
        <v>4.9769200000000001E-3</v>
      </c>
      <c r="AX46" s="151">
        <v>7.2576899999999998E-3</v>
      </c>
      <c r="AY46" s="151">
        <v>5.3192300000000003E-3</v>
      </c>
      <c r="AZ46" s="151">
        <v>2.10385E-3</v>
      </c>
      <c r="BA46" s="151">
        <v>2.0038500000000002E-3</v>
      </c>
      <c r="BB46" s="151">
        <v>6.2884600000000001E-3</v>
      </c>
      <c r="BC46" s="151">
        <v>5.0576900000000001E-3</v>
      </c>
      <c r="BD46" s="151">
        <v>1.4615400000000001E-3</v>
      </c>
      <c r="BE46" s="151">
        <v>5.7884599999999996E-3</v>
      </c>
      <c r="BF46" s="151">
        <v>7.5576899999999997E-3</v>
      </c>
      <c r="BG46" s="151">
        <v>1.6469230000000001E-2</v>
      </c>
      <c r="BH46" s="151">
        <v>1.9396150000000001E-2</v>
      </c>
      <c r="BI46" s="151">
        <v>3.715769E-2</v>
      </c>
      <c r="BJ46" s="151">
        <v>8.0461500000000002E-3</v>
      </c>
      <c r="BK46" s="151">
        <v>4.5538499999999999E-3</v>
      </c>
      <c r="BL46" s="151">
        <v>5.47308E-3</v>
      </c>
      <c r="BM46" s="151">
        <v>3.71923E-3</v>
      </c>
      <c r="BN46" s="151">
        <v>3.58076923</v>
      </c>
      <c r="BO46" s="151">
        <v>1.03388462</v>
      </c>
      <c r="BP46" s="151">
        <v>0.86538461499999997</v>
      </c>
      <c r="BQ46" s="6"/>
    </row>
    <row r="47" spans="1:69">
      <c r="A47" s="179">
        <v>11203</v>
      </c>
      <c r="B47" s="149" t="s">
        <v>1670</v>
      </c>
      <c r="E47" s="227" t="s">
        <v>1625</v>
      </c>
      <c r="F47" s="150">
        <v>47</v>
      </c>
      <c r="G47" s="149" t="s">
        <v>1670</v>
      </c>
      <c r="J47" s="151">
        <v>174.208955</v>
      </c>
      <c r="K47" s="151">
        <v>57.4174328</v>
      </c>
      <c r="L47" s="151">
        <v>3.1761194000000001</v>
      </c>
      <c r="M47" s="151">
        <v>0.54328357999999999</v>
      </c>
      <c r="N47" s="151">
        <v>38.997014900000003</v>
      </c>
      <c r="O47" s="151">
        <v>0.25074626999999999</v>
      </c>
      <c r="P47" s="151">
        <v>9.40299E-3</v>
      </c>
      <c r="Q47" s="151">
        <v>3.0173129999999999E-2</v>
      </c>
      <c r="R47" s="151">
        <v>0.94291044999999996</v>
      </c>
      <c r="S47" s="151">
        <v>0.20895522</v>
      </c>
      <c r="T47" s="151">
        <v>0</v>
      </c>
      <c r="U47" s="151">
        <v>0</v>
      </c>
      <c r="V47" s="151">
        <v>0</v>
      </c>
      <c r="W47" s="151">
        <v>0</v>
      </c>
      <c r="X47" s="151">
        <v>0</v>
      </c>
      <c r="Y47" s="151">
        <v>0</v>
      </c>
      <c r="Z47" s="151">
        <v>0</v>
      </c>
      <c r="AA47" s="151">
        <v>7.4471641799999997</v>
      </c>
      <c r="AB47" s="151">
        <v>7.4471641799999997</v>
      </c>
      <c r="AC47" s="151">
        <v>0</v>
      </c>
      <c r="AD47" s="151">
        <v>0</v>
      </c>
      <c r="AE47" s="151">
        <v>0</v>
      </c>
      <c r="AF47" s="151">
        <v>0</v>
      </c>
      <c r="AG47" s="151">
        <v>0</v>
      </c>
      <c r="AH47" s="151">
        <v>0</v>
      </c>
      <c r="AI47" s="151">
        <v>8.1194029899999993</v>
      </c>
      <c r="AJ47" s="151">
        <v>7.16418E-3</v>
      </c>
      <c r="AK47" s="151">
        <v>0.46925372999999998</v>
      </c>
      <c r="AL47" s="151">
        <v>0.11940299</v>
      </c>
      <c r="AM47" s="151">
        <v>0.50192239000000005</v>
      </c>
      <c r="AN47" s="151">
        <v>25.134328400000001</v>
      </c>
      <c r="AO47" s="151">
        <v>13.683582100000001</v>
      </c>
      <c r="AP47" s="151">
        <v>6.3462686599999998</v>
      </c>
      <c r="AQ47" s="151">
        <v>5.9701499999999996E-3</v>
      </c>
      <c r="AR47" s="151">
        <v>8.3582099999999996E-3</v>
      </c>
      <c r="AS47" s="151">
        <v>0</v>
      </c>
      <c r="AT47" s="151">
        <v>0</v>
      </c>
      <c r="AU47" s="151">
        <v>0</v>
      </c>
      <c r="AV47" s="151">
        <v>0</v>
      </c>
      <c r="AW47" s="151">
        <v>0</v>
      </c>
      <c r="AX47" s="151">
        <v>0</v>
      </c>
      <c r="AY47" s="151">
        <v>0</v>
      </c>
      <c r="AZ47" s="151">
        <v>0</v>
      </c>
      <c r="BA47" s="151">
        <v>0</v>
      </c>
      <c r="BB47" s="151">
        <v>0</v>
      </c>
      <c r="BC47" s="151">
        <v>0</v>
      </c>
      <c r="BD47" s="151">
        <v>0</v>
      </c>
      <c r="BE47" s="151">
        <v>0</v>
      </c>
      <c r="BF47" s="151">
        <v>0</v>
      </c>
      <c r="BG47" s="151">
        <v>0</v>
      </c>
      <c r="BH47" s="151">
        <v>0</v>
      </c>
      <c r="BI47" s="151">
        <v>0</v>
      </c>
      <c r="BJ47" s="151">
        <v>0</v>
      </c>
      <c r="BK47" s="151">
        <v>0</v>
      </c>
      <c r="BL47" s="151">
        <v>0</v>
      </c>
      <c r="BM47" s="151">
        <v>0</v>
      </c>
      <c r="BN47" s="151">
        <v>0</v>
      </c>
      <c r="BO47" s="151">
        <v>0</v>
      </c>
      <c r="BP47" s="151">
        <v>0</v>
      </c>
      <c r="BQ47" s="6"/>
    </row>
    <row r="48" spans="1:69">
      <c r="A48" s="179">
        <v>13106</v>
      </c>
      <c r="B48" s="149" t="s">
        <v>1671</v>
      </c>
      <c r="E48" s="227" t="s">
        <v>1625</v>
      </c>
      <c r="F48" s="150">
        <v>48</v>
      </c>
      <c r="G48" s="149" t="s">
        <v>1671</v>
      </c>
      <c r="J48" s="151">
        <v>56.1174319</v>
      </c>
      <c r="K48" s="151">
        <v>156.11873700000001</v>
      </c>
      <c r="L48" s="151">
        <v>0.69699454999999999</v>
      </c>
      <c r="M48" s="151">
        <v>3.10201401</v>
      </c>
      <c r="N48" s="151">
        <v>6.0120319100000001</v>
      </c>
      <c r="O48" s="151">
        <v>1.0781245100000001</v>
      </c>
      <c r="P48" s="151">
        <v>2.260612E-2</v>
      </c>
      <c r="Q48" s="151">
        <v>3.2430870000000001E-2</v>
      </c>
      <c r="R48" s="151">
        <v>0.14270806999999999</v>
      </c>
      <c r="S48" s="151">
        <v>0.17519377</v>
      </c>
      <c r="T48" s="151">
        <v>8.72893E-2</v>
      </c>
      <c r="U48" s="151">
        <v>3.3352206199999999</v>
      </c>
      <c r="V48" s="151">
        <v>0</v>
      </c>
      <c r="W48" s="151">
        <v>5.2983390100000003</v>
      </c>
      <c r="X48" s="151">
        <v>0.26955253000000001</v>
      </c>
      <c r="Y48" s="151">
        <v>5.1999999999999998E-2</v>
      </c>
      <c r="Z48" s="151">
        <v>6.8179093399999999</v>
      </c>
      <c r="AA48" s="151">
        <v>0</v>
      </c>
      <c r="AB48" s="151">
        <v>1.3138026300000001</v>
      </c>
      <c r="AC48" s="151">
        <v>0</v>
      </c>
      <c r="AD48" s="151">
        <v>15.974180499999999</v>
      </c>
      <c r="AE48" s="151">
        <v>9.0232195500000003</v>
      </c>
      <c r="AF48" s="151">
        <v>0</v>
      </c>
      <c r="AG48" s="151">
        <v>0</v>
      </c>
      <c r="AH48" s="151">
        <v>39.219380600000001</v>
      </c>
      <c r="AI48" s="151">
        <v>10.1816908</v>
      </c>
      <c r="AJ48" s="151">
        <v>0.16161576</v>
      </c>
      <c r="AK48" s="151">
        <v>0.56944459999999997</v>
      </c>
      <c r="AL48" s="151">
        <v>10.0052086</v>
      </c>
      <c r="AM48" s="151">
        <v>0.11626148</v>
      </c>
      <c r="AN48" s="151">
        <v>18.561151800000001</v>
      </c>
      <c r="AO48" s="151">
        <v>99.115794600000001</v>
      </c>
      <c r="AP48" s="151">
        <v>0.36071206</v>
      </c>
      <c r="AQ48" s="151">
        <v>0.33022625999999999</v>
      </c>
      <c r="AR48" s="151">
        <v>0.48517510000000003</v>
      </c>
      <c r="AS48" s="151">
        <v>0.72645914</v>
      </c>
      <c r="AT48" s="151">
        <v>1.8118093399999999</v>
      </c>
      <c r="AU48" s="151">
        <v>0</v>
      </c>
      <c r="AV48" s="151">
        <v>9.3190700000000005E-3</v>
      </c>
      <c r="AW48" s="151">
        <v>2.028599E-2</v>
      </c>
      <c r="AX48" s="151">
        <v>3.5949420000000003E-2</v>
      </c>
      <c r="AY48" s="151">
        <v>3.0058370000000001E-2</v>
      </c>
      <c r="AZ48" s="151">
        <v>6.6225700000000004E-3</v>
      </c>
      <c r="BA48" s="151">
        <v>6.4863799999999999E-3</v>
      </c>
      <c r="BB48" s="151">
        <v>2.735214E-2</v>
      </c>
      <c r="BC48" s="151">
        <v>2.2359919999999998E-2</v>
      </c>
      <c r="BD48" s="151">
        <v>6.70428E-3</v>
      </c>
      <c r="BE48" s="151">
        <v>2.4233459999999998E-2</v>
      </c>
      <c r="BF48" s="151">
        <v>3.358949E-2</v>
      </c>
      <c r="BG48" s="151">
        <v>3.8482490000000001E-2</v>
      </c>
      <c r="BH48" s="151">
        <v>7.5501949999999998E-2</v>
      </c>
      <c r="BI48" s="151">
        <v>0.11630739</v>
      </c>
      <c r="BJ48" s="151">
        <v>2.1836580000000001E-2</v>
      </c>
      <c r="BK48" s="151">
        <v>2.1295720000000001E-2</v>
      </c>
      <c r="BL48" s="151">
        <v>2.522957E-2</v>
      </c>
      <c r="BM48" s="151">
        <v>1.8939689999999999E-2</v>
      </c>
      <c r="BN48" s="151">
        <v>16.063735399999999</v>
      </c>
      <c r="BO48" s="151">
        <v>23.644319100000001</v>
      </c>
      <c r="BP48" s="151">
        <v>4.9533073930000002</v>
      </c>
      <c r="BQ48" s="6"/>
    </row>
    <row r="49" spans="1:69">
      <c r="A49" s="179">
        <v>13107</v>
      </c>
      <c r="B49" s="149" t="s">
        <v>1672</v>
      </c>
      <c r="E49" s="227" t="s">
        <v>1625</v>
      </c>
      <c r="F49" s="150">
        <v>49</v>
      </c>
      <c r="G49" s="149" t="s">
        <v>1672</v>
      </c>
      <c r="J49" s="151">
        <v>90.983698200000006</v>
      </c>
      <c r="K49" s="151">
        <v>131.46613300000001</v>
      </c>
      <c r="L49" s="151">
        <v>1.2126225399999999</v>
      </c>
      <c r="M49" s="151">
        <v>5.0744364099999997</v>
      </c>
      <c r="N49" s="151">
        <v>10.1155569</v>
      </c>
      <c r="O49" s="151">
        <v>0.76692647999999997</v>
      </c>
      <c r="P49" s="151">
        <v>1.2606050000000001E-2</v>
      </c>
      <c r="Q49" s="151">
        <v>1.9626089999999999E-2</v>
      </c>
      <c r="R49" s="151">
        <v>0.36664664000000002</v>
      </c>
      <c r="S49" s="151">
        <v>8.2654649999999996E-2</v>
      </c>
      <c r="T49" s="151">
        <v>3.6872580000000002E-2</v>
      </c>
      <c r="U49" s="151">
        <v>1.2212812500000001</v>
      </c>
      <c r="V49" s="151">
        <v>0</v>
      </c>
      <c r="W49" s="151">
        <v>1.1389041799999999</v>
      </c>
      <c r="X49" s="151">
        <v>0.18816152</v>
      </c>
      <c r="Y49" s="151">
        <v>0.10175578</v>
      </c>
      <c r="Z49" s="151">
        <v>9.5624664799999994</v>
      </c>
      <c r="AA49" s="151">
        <v>1.8376874999999999</v>
      </c>
      <c r="AB49" s="151">
        <v>4.1611460200000003</v>
      </c>
      <c r="AC49" s="151">
        <v>1.028828E-2</v>
      </c>
      <c r="AD49" s="151">
        <v>25.599590200000002</v>
      </c>
      <c r="AE49" s="151">
        <v>8.4339527299999997</v>
      </c>
      <c r="AF49" s="151">
        <v>8.5406250000000003E-2</v>
      </c>
      <c r="AG49" s="151">
        <v>3.8327343800000002</v>
      </c>
      <c r="AH49" s="151">
        <v>6.9588719899999996</v>
      </c>
      <c r="AI49" s="151">
        <v>14.6463828</v>
      </c>
      <c r="AJ49" s="151">
        <v>4.1525739999999998E-2</v>
      </c>
      <c r="AK49" s="151">
        <v>0.81268242000000002</v>
      </c>
      <c r="AL49" s="151">
        <v>7.5783835899999996</v>
      </c>
      <c r="AM49" s="151">
        <v>0.52461676000000002</v>
      </c>
      <c r="AN49" s="151">
        <v>16.1377834</v>
      </c>
      <c r="AO49" s="151">
        <v>56.271409200000001</v>
      </c>
      <c r="AP49" s="151">
        <v>2.2337504300000002</v>
      </c>
      <c r="AQ49" s="151">
        <v>0.13756684</v>
      </c>
      <c r="AR49" s="151">
        <v>0.77350675999999996</v>
      </c>
      <c r="AS49" s="151">
        <v>1.18669172</v>
      </c>
      <c r="AT49" s="151">
        <v>2.7885821900000001</v>
      </c>
      <c r="AU49" s="151">
        <v>0</v>
      </c>
      <c r="AV49" s="151">
        <v>7.6939199999999999E-3</v>
      </c>
      <c r="AW49" s="151">
        <v>1.285148E-2</v>
      </c>
      <c r="AX49" s="151">
        <v>2.1775530000000001E-2</v>
      </c>
      <c r="AY49" s="151">
        <v>1.457517E-2</v>
      </c>
      <c r="AZ49" s="151">
        <v>4.5858399999999999E-3</v>
      </c>
      <c r="BA49" s="151">
        <v>4.98132E-3</v>
      </c>
      <c r="BB49" s="151">
        <v>1.5218209999999999E-2</v>
      </c>
      <c r="BC49" s="151">
        <v>1.297212E-2</v>
      </c>
      <c r="BD49" s="151">
        <v>4.3633600000000002E-3</v>
      </c>
      <c r="BE49" s="151">
        <v>1.6262660000000002E-2</v>
      </c>
      <c r="BF49" s="151">
        <v>1.7532200000000001E-2</v>
      </c>
      <c r="BG49" s="151">
        <v>3.5527000000000003E-2</v>
      </c>
      <c r="BH49" s="151">
        <v>4.9556450000000002E-2</v>
      </c>
      <c r="BI49" s="151">
        <v>6.7418210000000006E-2</v>
      </c>
      <c r="BJ49" s="151">
        <v>1.981275E-2</v>
      </c>
      <c r="BK49" s="151">
        <v>1.5772520000000002E-2</v>
      </c>
      <c r="BL49" s="151">
        <v>1.5049740000000001E-2</v>
      </c>
      <c r="BM49" s="151">
        <v>1.05933E-2</v>
      </c>
      <c r="BN49" s="151">
        <v>6.2780859400000004</v>
      </c>
      <c r="BO49" s="151">
        <v>6.9142109400000002</v>
      </c>
      <c r="BP49" s="151">
        <v>0.67841796899999995</v>
      </c>
      <c r="BQ49" s="6"/>
    </row>
    <row r="50" spans="1:69">
      <c r="A50" s="179">
        <v>23603</v>
      </c>
      <c r="B50" s="149" t="s">
        <v>1673</v>
      </c>
      <c r="E50" s="227" t="s">
        <v>1625</v>
      </c>
      <c r="F50" s="150">
        <v>50</v>
      </c>
      <c r="G50" s="149" t="s">
        <v>1673</v>
      </c>
      <c r="J50" s="151">
        <v>179.46601899999999</v>
      </c>
      <c r="K50" s="151">
        <v>19.010922300000001</v>
      </c>
      <c r="L50" s="151">
        <v>12.111747599999999</v>
      </c>
      <c r="M50" s="151">
        <v>2.9376698999999999</v>
      </c>
      <c r="N50" s="151">
        <v>22.217475700000001</v>
      </c>
      <c r="O50" s="151">
        <v>7.9033980599999998</v>
      </c>
      <c r="P50" s="151">
        <v>0.20671529</v>
      </c>
      <c r="Q50" s="151">
        <v>9.0149640000000003E-2</v>
      </c>
      <c r="R50" s="151">
        <v>1.16483859</v>
      </c>
      <c r="S50" s="151">
        <v>0.73585290999999997</v>
      </c>
      <c r="T50" s="151">
        <v>0.35253835</v>
      </c>
      <c r="U50" s="151">
        <v>11.2196117</v>
      </c>
      <c r="V50" s="151">
        <v>0</v>
      </c>
      <c r="W50" s="151">
        <v>5.41231068</v>
      </c>
      <c r="X50" s="151">
        <v>0.72097087000000004</v>
      </c>
      <c r="Y50" s="151">
        <v>2.0772835000000001</v>
      </c>
      <c r="Z50" s="151">
        <v>23.390970899999999</v>
      </c>
      <c r="AA50" s="151">
        <v>0</v>
      </c>
      <c r="AB50" s="151">
        <v>62.996791700000003</v>
      </c>
      <c r="AC50" s="151">
        <v>0</v>
      </c>
      <c r="AD50" s="151">
        <v>662.78075999999999</v>
      </c>
      <c r="AE50" s="151">
        <v>153.96412599999999</v>
      </c>
      <c r="AF50" s="151">
        <v>3.0089533999999998</v>
      </c>
      <c r="AG50" s="151">
        <v>132.03393199999999</v>
      </c>
      <c r="AH50" s="151">
        <v>224.25135900000001</v>
      </c>
      <c r="AI50" s="151">
        <v>28.279538800000001</v>
      </c>
      <c r="AJ50" s="151">
        <v>0.23483203999999999</v>
      </c>
      <c r="AK50" s="151">
        <v>1.91690049</v>
      </c>
      <c r="AL50" s="151">
        <v>39.369417499999997</v>
      </c>
      <c r="AM50" s="151">
        <v>0.85236893000000002</v>
      </c>
      <c r="AN50" s="151">
        <v>118.66669899999999</v>
      </c>
      <c r="AO50" s="151">
        <v>397.71055799999999</v>
      </c>
      <c r="AP50" s="151">
        <v>1.9948543700000001</v>
      </c>
      <c r="AQ50" s="151">
        <v>1.5072165</v>
      </c>
      <c r="AR50" s="151">
        <v>0.28898057999999999</v>
      </c>
      <c r="AS50" s="151">
        <v>1.4175242699999999</v>
      </c>
      <c r="AT50" s="151">
        <v>0.84773301000000001</v>
      </c>
      <c r="AU50" s="151">
        <v>0</v>
      </c>
      <c r="AV50" s="151">
        <v>0.26299029000000002</v>
      </c>
      <c r="AW50" s="151">
        <v>0.44022329999999998</v>
      </c>
      <c r="AX50" s="151">
        <v>0.83158251999999999</v>
      </c>
      <c r="AY50" s="151">
        <v>0.83586408000000001</v>
      </c>
      <c r="AZ50" s="151">
        <v>7.486893E-2</v>
      </c>
      <c r="BA50" s="151">
        <v>0.10867961</v>
      </c>
      <c r="BB50" s="151">
        <v>0.60013592000000004</v>
      </c>
      <c r="BC50" s="151">
        <v>0.44120873999999999</v>
      </c>
      <c r="BD50" s="151">
        <v>0.10955825</v>
      </c>
      <c r="BE50" s="151">
        <v>0.57340290999999999</v>
      </c>
      <c r="BF50" s="151">
        <v>0.77432038999999997</v>
      </c>
      <c r="BG50" s="151">
        <v>0.95660679999999998</v>
      </c>
      <c r="BH50" s="151">
        <v>1.4008058299999999</v>
      </c>
      <c r="BI50" s="151">
        <v>2.3065339800000002</v>
      </c>
      <c r="BJ50" s="151">
        <v>0.50162136000000002</v>
      </c>
      <c r="BK50" s="151">
        <v>0.47823301000000001</v>
      </c>
      <c r="BL50" s="151">
        <v>0.61869903000000004</v>
      </c>
      <c r="BM50" s="151">
        <v>0.35643204000000001</v>
      </c>
      <c r="BN50" s="151">
        <v>35.362718399999999</v>
      </c>
      <c r="BO50" s="151">
        <v>79.508446599999999</v>
      </c>
      <c r="BP50" s="151">
        <v>7.2087378639999997</v>
      </c>
      <c r="BQ50" s="6"/>
    </row>
    <row r="51" spans="1:69">
      <c r="A51" s="179">
        <v>25622</v>
      </c>
      <c r="B51" s="149" t="s">
        <v>1674</v>
      </c>
      <c r="E51" s="227" t="s">
        <v>1625</v>
      </c>
      <c r="F51" s="150">
        <v>51</v>
      </c>
      <c r="G51" s="149" t="s">
        <v>1674</v>
      </c>
      <c r="J51" s="151">
        <v>332.27272699999997</v>
      </c>
      <c r="K51" s="151">
        <v>98.038636400000001</v>
      </c>
      <c r="L51" s="151">
        <v>7.0477272700000002</v>
      </c>
      <c r="M51" s="151">
        <v>19.829545499999998</v>
      </c>
      <c r="N51" s="151">
        <v>27.892727300000001</v>
      </c>
      <c r="O51" s="151">
        <v>8.47272727</v>
      </c>
      <c r="P51" s="151">
        <v>0.25802272999999998</v>
      </c>
      <c r="Q51" s="151">
        <v>0.25365341000000002</v>
      </c>
      <c r="R51" s="151">
        <v>2.0526704499999999</v>
      </c>
      <c r="S51" s="151">
        <v>0.84265909000000006</v>
      </c>
      <c r="T51" s="151">
        <v>1.0001136399999999</v>
      </c>
      <c r="U51" s="151">
        <v>30.35</v>
      </c>
      <c r="V51" s="151">
        <v>0</v>
      </c>
      <c r="W51" s="151">
        <v>18.6536364</v>
      </c>
      <c r="X51" s="151">
        <v>1.1036363600000001</v>
      </c>
      <c r="Y51" s="151">
        <v>6.0104545500000004</v>
      </c>
      <c r="Z51" s="151">
        <v>57.95</v>
      </c>
      <c r="AA51" s="151">
        <v>0</v>
      </c>
      <c r="AB51" s="151">
        <v>139.22661400000001</v>
      </c>
      <c r="AC51" s="151">
        <v>0</v>
      </c>
      <c r="AD51" s="151">
        <v>1464.10148</v>
      </c>
      <c r="AE51" s="151">
        <v>348.48500000000001</v>
      </c>
      <c r="AF51" s="151">
        <v>6.70827273</v>
      </c>
      <c r="AG51" s="151">
        <v>294.36136399999998</v>
      </c>
      <c r="AH51" s="151">
        <v>501.34181799999999</v>
      </c>
      <c r="AI51" s="151">
        <v>70.495454499999994</v>
      </c>
      <c r="AJ51" s="151">
        <v>0.46863635999999997</v>
      </c>
      <c r="AK51" s="151">
        <v>1.905</v>
      </c>
      <c r="AL51" s="151">
        <v>64.427272700000003</v>
      </c>
      <c r="AM51" s="151">
        <v>0.71563635999999997</v>
      </c>
      <c r="AN51" s="151">
        <v>144.34090900000001</v>
      </c>
      <c r="AO51" s="151">
        <v>810.11363600000004</v>
      </c>
      <c r="AP51" s="151">
        <v>4.9545454500000004</v>
      </c>
      <c r="AQ51" s="151">
        <v>1.2818181799999999</v>
      </c>
      <c r="AR51" s="151">
        <v>3.1504545500000001</v>
      </c>
      <c r="AS51" s="151">
        <v>4.3395454500000001</v>
      </c>
      <c r="AT51" s="151">
        <v>11.2879545</v>
      </c>
      <c r="AU51" s="151">
        <v>0</v>
      </c>
      <c r="AV51" s="151">
        <v>0.11281818</v>
      </c>
      <c r="AW51" s="151">
        <v>0.20104544999999999</v>
      </c>
      <c r="AX51" s="151">
        <v>0.32986364000000001</v>
      </c>
      <c r="AY51" s="151">
        <v>0.25222727</v>
      </c>
      <c r="AZ51" s="151">
        <v>7.3181819999999995E-2</v>
      </c>
      <c r="BA51" s="151">
        <v>0.106</v>
      </c>
      <c r="BB51" s="151">
        <v>0.27054545000000002</v>
      </c>
      <c r="BC51" s="151">
        <v>0.22663636000000001</v>
      </c>
      <c r="BD51" s="151">
        <v>5.7681820000000002E-2</v>
      </c>
      <c r="BE51" s="151">
        <v>0.26259091000000001</v>
      </c>
      <c r="BF51" s="151">
        <v>0.29190908999999998</v>
      </c>
      <c r="BG51" s="151">
        <v>0.66404545000000004</v>
      </c>
      <c r="BH51" s="151">
        <v>0.77181818000000002</v>
      </c>
      <c r="BI51" s="151">
        <v>1.2454090900000001</v>
      </c>
      <c r="BJ51" s="151">
        <v>0.28913635999999998</v>
      </c>
      <c r="BK51" s="151">
        <v>0.28340908999999997</v>
      </c>
      <c r="BL51" s="151">
        <v>0.23949999999999999</v>
      </c>
      <c r="BM51" s="151">
        <v>0.19027273</v>
      </c>
      <c r="BN51" s="151">
        <v>62.237272699999998</v>
      </c>
      <c r="BO51" s="151">
        <v>81.103636399999999</v>
      </c>
      <c r="BP51" s="151">
        <v>17.954545450000001</v>
      </c>
      <c r="BQ51" s="6"/>
    </row>
    <row r="52" spans="1:69">
      <c r="A52" s="179">
        <v>41702</v>
      </c>
      <c r="B52" s="149" t="s">
        <v>1675</v>
      </c>
      <c r="E52" s="227" t="s">
        <v>1625</v>
      </c>
      <c r="F52" s="150">
        <v>52</v>
      </c>
      <c r="G52" s="149" t="s">
        <v>1675</v>
      </c>
      <c r="J52" s="151">
        <v>595.24418600000001</v>
      </c>
      <c r="K52" s="151">
        <v>62.188837200000002</v>
      </c>
      <c r="L52" s="151">
        <v>50.241511600000003</v>
      </c>
      <c r="M52" s="151">
        <v>38.435116299999997</v>
      </c>
      <c r="N52" s="151">
        <v>12.558837199999999</v>
      </c>
      <c r="O52" s="151">
        <v>1.57081395</v>
      </c>
      <c r="P52" s="151">
        <v>0.13125116000000001</v>
      </c>
      <c r="Q52" s="151">
        <v>0.40732558000000002</v>
      </c>
      <c r="R52" s="151">
        <v>1.5422883700000001</v>
      </c>
      <c r="S52" s="151">
        <v>0.57209301999999995</v>
      </c>
      <c r="T52" s="151">
        <v>0.63857673999999998</v>
      </c>
      <c r="U52" s="151">
        <v>15.8869767</v>
      </c>
      <c r="V52" s="151">
        <v>0</v>
      </c>
      <c r="W52" s="151">
        <v>9.0744185999999996</v>
      </c>
      <c r="X52" s="151">
        <v>1.45584186</v>
      </c>
      <c r="Y52" s="151">
        <v>2.8273255800000001</v>
      </c>
      <c r="Z52" s="151">
        <v>61.6476744</v>
      </c>
      <c r="AA52" s="151">
        <v>0</v>
      </c>
      <c r="AB52" s="151">
        <v>9.3256976700000003</v>
      </c>
      <c r="AC52" s="151">
        <v>0</v>
      </c>
      <c r="AD52" s="151">
        <v>98.851976699999994</v>
      </c>
      <c r="AE52" s="151">
        <v>25.6322093</v>
      </c>
      <c r="AF52" s="151">
        <v>0.42372093</v>
      </c>
      <c r="AG52" s="151">
        <v>18.593023299999999</v>
      </c>
      <c r="AH52" s="151">
        <v>32.578488399999998</v>
      </c>
      <c r="AI52" s="151">
        <v>763.01895300000001</v>
      </c>
      <c r="AJ52" s="151">
        <v>0.47773721000000002</v>
      </c>
      <c r="AK52" s="151">
        <v>2.5242418600000001</v>
      </c>
      <c r="AL52" s="151">
        <v>133.195033</v>
      </c>
      <c r="AM52" s="151">
        <v>0.24130233000000001</v>
      </c>
      <c r="AN52" s="151">
        <v>452.245679</v>
      </c>
      <c r="AO52" s="151">
        <v>646.17683799999998</v>
      </c>
      <c r="AP52" s="151">
        <v>117.378488</v>
      </c>
      <c r="AQ52" s="151">
        <v>0.93488371999999997</v>
      </c>
      <c r="AR52" s="151">
        <v>4.93651163</v>
      </c>
      <c r="AS52" s="151">
        <v>7.1795348800000003</v>
      </c>
      <c r="AT52" s="151">
        <v>18.1839884</v>
      </c>
      <c r="AU52" s="151">
        <v>0</v>
      </c>
      <c r="AV52" s="151">
        <v>3.7220929999999999E-2</v>
      </c>
      <c r="AW52" s="151">
        <v>6.5709299999999998E-2</v>
      </c>
      <c r="AX52" s="151">
        <v>0.10855814</v>
      </c>
      <c r="AY52" s="151">
        <v>0.10100000000000001</v>
      </c>
      <c r="AZ52" s="151">
        <v>2.4151160000000001E-2</v>
      </c>
      <c r="BA52" s="151">
        <v>4.4151160000000002E-2</v>
      </c>
      <c r="BB52" s="151">
        <v>9.2430230000000002E-2</v>
      </c>
      <c r="BC52" s="151">
        <v>8.2337209999999994E-2</v>
      </c>
      <c r="BD52" s="151">
        <v>2.187209E-2</v>
      </c>
      <c r="BE52" s="151">
        <v>9.2813950000000006E-2</v>
      </c>
      <c r="BF52" s="151">
        <v>0.11110465</v>
      </c>
      <c r="BG52" s="151">
        <v>0.37880233000000002</v>
      </c>
      <c r="BH52" s="151">
        <v>0.28017441999999998</v>
      </c>
      <c r="BI52" s="151">
        <v>0.50027907000000005</v>
      </c>
      <c r="BJ52" s="151">
        <v>9.4127909999999995E-2</v>
      </c>
      <c r="BK52" s="151">
        <v>9.5104649999999999E-2</v>
      </c>
      <c r="BL52" s="151">
        <v>8.8209300000000004E-2</v>
      </c>
      <c r="BM52" s="151">
        <v>7.9732559999999994E-2</v>
      </c>
      <c r="BN52" s="151">
        <v>39.534651199999999</v>
      </c>
      <c r="BO52" s="151">
        <v>16.879186000000001</v>
      </c>
      <c r="BP52" s="151">
        <v>1.790697674</v>
      </c>
      <c r="BQ52" s="6"/>
    </row>
    <row r="53" spans="1:69">
      <c r="A53" s="179">
        <v>55103</v>
      </c>
      <c r="B53" s="149" t="s">
        <v>1676</v>
      </c>
      <c r="E53" s="227" t="s">
        <v>1625</v>
      </c>
      <c r="F53" s="150">
        <v>53</v>
      </c>
      <c r="G53" s="149" t="s">
        <v>1676</v>
      </c>
      <c r="J53" s="151">
        <v>203.51466500000001</v>
      </c>
      <c r="K53" s="151">
        <v>162.28928500000001</v>
      </c>
      <c r="L53" s="151">
        <v>4.4774711299999996</v>
      </c>
      <c r="M53" s="151">
        <v>13.152394900000001</v>
      </c>
      <c r="N53" s="151">
        <v>15.9192123</v>
      </c>
      <c r="O53" s="151">
        <v>3.07492812</v>
      </c>
      <c r="P53" s="151">
        <v>6.8384490000000006E-2</v>
      </c>
      <c r="Q53" s="151">
        <v>0.10028138</v>
      </c>
      <c r="R53" s="151">
        <v>1.1585148700000001</v>
      </c>
      <c r="S53" s="151">
        <v>0.45548654999999999</v>
      </c>
      <c r="T53" s="151">
        <v>0.28443106000000001</v>
      </c>
      <c r="U53" s="151">
        <v>9.3940921700000004</v>
      </c>
      <c r="V53" s="151">
        <v>1.887167E-2</v>
      </c>
      <c r="W53" s="151">
        <v>15.994515</v>
      </c>
      <c r="X53" s="151">
        <v>0.85831780000000002</v>
      </c>
      <c r="Y53" s="151">
        <v>0.11256904</v>
      </c>
      <c r="Z53" s="151">
        <v>15.405603899999999</v>
      </c>
      <c r="AA53" s="151">
        <v>8.3021739100000005</v>
      </c>
      <c r="AB53" s="151">
        <v>11.214688600000001</v>
      </c>
      <c r="AC53" s="151">
        <v>1.8857970000000002E-2</v>
      </c>
      <c r="AD53" s="151">
        <v>35.355927199999996</v>
      </c>
      <c r="AE53" s="151">
        <v>17.947789</v>
      </c>
      <c r="AF53" s="151">
        <v>0</v>
      </c>
      <c r="AG53" s="151">
        <v>8.4173910000000005E-2</v>
      </c>
      <c r="AH53" s="151">
        <v>86.808267200000003</v>
      </c>
      <c r="AI53" s="151">
        <v>34.162985499999998</v>
      </c>
      <c r="AJ53" s="151">
        <v>0.43830031000000003</v>
      </c>
      <c r="AK53" s="151">
        <v>2.0273400000000001</v>
      </c>
      <c r="AL53" s="151">
        <v>33.009089899999999</v>
      </c>
      <c r="AM53" s="151">
        <v>1.4044658000000001</v>
      </c>
      <c r="AN53" s="151">
        <v>65.252808099999996</v>
      </c>
      <c r="AO53" s="151">
        <v>356.53448600000002</v>
      </c>
      <c r="AP53" s="151">
        <v>4.5564011000000004</v>
      </c>
      <c r="AQ53" s="151">
        <v>1.1393992500000001</v>
      </c>
      <c r="AR53" s="151">
        <v>2.8908762299999999</v>
      </c>
      <c r="AS53" s="151">
        <v>4.2005732199999999</v>
      </c>
      <c r="AT53" s="151">
        <v>5.2565695100000003</v>
      </c>
      <c r="AU53" s="151">
        <v>21.1681159</v>
      </c>
      <c r="AV53" s="151">
        <v>8.0983769999999997E-2</v>
      </c>
      <c r="AW53" s="151">
        <v>0.14150040999999999</v>
      </c>
      <c r="AX53" s="151">
        <v>0.26466070000000003</v>
      </c>
      <c r="AY53" s="151">
        <v>0.2354946</v>
      </c>
      <c r="AZ53" s="151">
        <v>7.1401320000000004E-2</v>
      </c>
      <c r="BA53" s="151">
        <v>6.3377359999999994E-2</v>
      </c>
      <c r="BB53" s="151">
        <v>0.16772144</v>
      </c>
      <c r="BC53" s="151">
        <v>0.16026613000000001</v>
      </c>
      <c r="BD53" s="151">
        <v>4.2342600000000001E-2</v>
      </c>
      <c r="BE53" s="151">
        <v>0.18150073999999999</v>
      </c>
      <c r="BF53" s="151">
        <v>0.31426809</v>
      </c>
      <c r="BG53" s="151">
        <v>0.34174464999999998</v>
      </c>
      <c r="BH53" s="151">
        <v>0.49061992999999998</v>
      </c>
      <c r="BI53" s="151">
        <v>0.66733246000000002</v>
      </c>
      <c r="BJ53" s="151">
        <v>0.49334831000000001</v>
      </c>
      <c r="BK53" s="151">
        <v>0.31083140999999997</v>
      </c>
      <c r="BL53" s="151">
        <v>0.18684914999999999</v>
      </c>
      <c r="BM53" s="151">
        <v>0.11517786000000001</v>
      </c>
      <c r="BN53" s="151">
        <v>36.466678299999998</v>
      </c>
      <c r="BO53" s="151">
        <v>53.981530399999997</v>
      </c>
      <c r="BP53" s="151">
        <v>11.706521739999999</v>
      </c>
      <c r="BQ53" s="6"/>
    </row>
    <row r="54" spans="1:69">
      <c r="A54" s="179">
        <v>87301</v>
      </c>
      <c r="B54" s="149" t="s">
        <v>2107</v>
      </c>
      <c r="E54" s="227" t="s">
        <v>1625</v>
      </c>
      <c r="F54" s="150">
        <v>54</v>
      </c>
      <c r="G54" s="149" t="s">
        <v>2107</v>
      </c>
      <c r="J54" s="151">
        <v>527.49539500000003</v>
      </c>
      <c r="K54" s="151">
        <v>76.9463449</v>
      </c>
      <c r="L54" s="151">
        <v>4.00298014</v>
      </c>
      <c r="M54" s="151">
        <v>21.7389282</v>
      </c>
      <c r="N54" s="151">
        <v>76.121014400000007</v>
      </c>
      <c r="O54" s="151">
        <v>5.6813679500000003</v>
      </c>
      <c r="P54" s="151">
        <v>6.7251519999999995E-2</v>
      </c>
      <c r="Q54" s="151">
        <v>0.12159091</v>
      </c>
      <c r="R54" s="151">
        <v>0.31607878</v>
      </c>
      <c r="S54" s="151">
        <v>0.26015801</v>
      </c>
      <c r="T54" s="151">
        <v>5.4801580000000003E-2</v>
      </c>
      <c r="U54" s="151">
        <v>6.03515801</v>
      </c>
      <c r="V54" s="151">
        <v>0.22742664000000001</v>
      </c>
      <c r="W54" s="151">
        <v>3.1179112899999999</v>
      </c>
      <c r="X54" s="151">
        <v>8.6568850000000003E-2</v>
      </c>
      <c r="Y54" s="151">
        <v>0.69004515</v>
      </c>
      <c r="Z54" s="151">
        <v>14.0281264</v>
      </c>
      <c r="AA54" s="151">
        <v>15.9317607</v>
      </c>
      <c r="AB54" s="151">
        <v>16.891804499999999</v>
      </c>
      <c r="AC54" s="151">
        <v>1.12867E-3</v>
      </c>
      <c r="AD54" s="151">
        <v>2.94322799</v>
      </c>
      <c r="AE54" s="151">
        <v>39.5726862</v>
      </c>
      <c r="AF54" s="151">
        <v>0</v>
      </c>
      <c r="AG54" s="151">
        <v>0</v>
      </c>
      <c r="AH54" s="151">
        <v>1.5484537199999999</v>
      </c>
      <c r="AI54" s="151">
        <v>96.358210799999995</v>
      </c>
      <c r="AJ54" s="151">
        <v>0.24522843999999999</v>
      </c>
      <c r="AK54" s="151">
        <v>1.46715576</v>
      </c>
      <c r="AL54" s="151">
        <v>42.050564299999998</v>
      </c>
      <c r="AM54" s="151">
        <v>0.76002798999999999</v>
      </c>
      <c r="AN54" s="151">
        <v>126.984853</v>
      </c>
      <c r="AO54" s="151">
        <v>420.292348</v>
      </c>
      <c r="AP54" s="151">
        <v>0.41455079</v>
      </c>
      <c r="AQ54" s="151">
        <v>0.79286456000000005</v>
      </c>
      <c r="AR54" s="151">
        <v>15.4065463</v>
      </c>
      <c r="AS54" s="151">
        <v>1.4144469500000001</v>
      </c>
      <c r="AT54" s="151">
        <v>0.35487584999999999</v>
      </c>
      <c r="AU54" s="151">
        <v>0</v>
      </c>
      <c r="AV54" s="151">
        <v>5.255982E-2</v>
      </c>
      <c r="AW54" s="151">
        <v>9.2844239999999995E-2</v>
      </c>
      <c r="AX54" s="151">
        <v>0.14740180999999999</v>
      </c>
      <c r="AY54" s="151">
        <v>9.0476299999999996E-2</v>
      </c>
      <c r="AZ54" s="151">
        <v>4.642889E-2</v>
      </c>
      <c r="BA54" s="151">
        <v>3.193228E-2</v>
      </c>
      <c r="BB54" s="151">
        <v>9.6408579999999994E-2</v>
      </c>
      <c r="BC54" s="151">
        <v>7.1604970000000004E-2</v>
      </c>
      <c r="BD54" s="151">
        <v>2.5993229999999999E-2</v>
      </c>
      <c r="BE54" s="151">
        <v>0.12531602999999999</v>
      </c>
      <c r="BF54" s="151">
        <v>0.13947177999999999</v>
      </c>
      <c r="BG54" s="151">
        <v>0.29508351999999999</v>
      </c>
      <c r="BH54" s="151">
        <v>0.21630926</v>
      </c>
      <c r="BI54" s="151">
        <v>0.44314220999999998</v>
      </c>
      <c r="BJ54" s="151">
        <v>9.9363430000000003E-2</v>
      </c>
      <c r="BK54" s="151">
        <v>0.10195485</v>
      </c>
      <c r="BL54" s="151">
        <v>0.11840632</v>
      </c>
      <c r="BM54" s="151">
        <v>6.8702029999999997E-2</v>
      </c>
      <c r="BN54" s="151">
        <v>30.0730474</v>
      </c>
      <c r="BO54" s="151">
        <v>74.112099299999997</v>
      </c>
      <c r="BP54" s="151">
        <v>179.4582393</v>
      </c>
      <c r="BQ54" s="6"/>
    </row>
    <row r="55" spans="1:69">
      <c r="A55" s="179">
        <v>61302</v>
      </c>
      <c r="B55" s="149" t="s">
        <v>1678</v>
      </c>
      <c r="E55" s="227" t="s">
        <v>1625</v>
      </c>
      <c r="F55" s="150">
        <v>55</v>
      </c>
      <c r="G55" s="149" t="s">
        <v>1678</v>
      </c>
      <c r="J55" s="151">
        <v>386.63817999999998</v>
      </c>
      <c r="K55" s="151">
        <v>8.6550499399999996</v>
      </c>
      <c r="L55" s="151">
        <v>4.0764261900000003</v>
      </c>
      <c r="M55" s="151">
        <v>0.10399556</v>
      </c>
      <c r="N55" s="151">
        <v>91.961420599999997</v>
      </c>
      <c r="O55" s="151">
        <v>0.77314095000000005</v>
      </c>
      <c r="P55" s="151">
        <v>0.13895671000000001</v>
      </c>
      <c r="Q55" s="151">
        <v>8.7413980000000002E-2</v>
      </c>
      <c r="R55" s="151">
        <v>2.0252386200000001</v>
      </c>
      <c r="S55" s="151">
        <v>0.21762486</v>
      </c>
      <c r="T55" s="151">
        <v>0.33175360999999998</v>
      </c>
      <c r="U55" s="151">
        <v>13.38899</v>
      </c>
      <c r="V55" s="151">
        <v>0</v>
      </c>
      <c r="W55" s="151">
        <v>0</v>
      </c>
      <c r="X55" s="151">
        <v>0.21961153999999999</v>
      </c>
      <c r="Y55" s="151">
        <v>7.5960040000000006E-2</v>
      </c>
      <c r="Z55" s="151">
        <v>0.57269700000000001</v>
      </c>
      <c r="AA55" s="151">
        <v>0</v>
      </c>
      <c r="AB55" s="151">
        <v>0</v>
      </c>
      <c r="AC55" s="151">
        <v>0</v>
      </c>
      <c r="AD55" s="151">
        <v>0</v>
      </c>
      <c r="AE55" s="151">
        <v>0.86477247999999995</v>
      </c>
      <c r="AF55" s="151">
        <v>0</v>
      </c>
      <c r="AG55" s="151">
        <v>0</v>
      </c>
      <c r="AH55" s="151">
        <v>0</v>
      </c>
      <c r="AI55" s="151">
        <v>48.2508768</v>
      </c>
      <c r="AJ55" s="151">
        <v>0.46498335000000002</v>
      </c>
      <c r="AK55" s="151">
        <v>1.14277469</v>
      </c>
      <c r="AL55" s="151">
        <v>82.117291899999998</v>
      </c>
      <c r="AM55" s="151">
        <v>0.85185350000000004</v>
      </c>
      <c r="AN55" s="151">
        <v>109.960222</v>
      </c>
      <c r="AO55" s="151">
        <v>223.69460599999999</v>
      </c>
      <c r="AP55" s="151">
        <v>0</v>
      </c>
      <c r="AQ55" s="151">
        <v>0.52779134000000005</v>
      </c>
      <c r="AR55" s="151">
        <v>6.134295E-2</v>
      </c>
      <c r="AS55" s="151">
        <v>3.2253049999999998E-2</v>
      </c>
      <c r="AT55" s="151">
        <v>0.27173141000000001</v>
      </c>
      <c r="AU55" s="151">
        <v>0</v>
      </c>
      <c r="AV55" s="151">
        <v>0.10450387999999999</v>
      </c>
      <c r="AW55" s="151">
        <v>0.17711653999999999</v>
      </c>
      <c r="AX55" s="151">
        <v>0.35729079000000002</v>
      </c>
      <c r="AY55" s="151">
        <v>0.15841398000000001</v>
      </c>
      <c r="AZ55" s="151">
        <v>8.9069919999999997E-2</v>
      </c>
      <c r="BA55" s="151">
        <v>6.147503E-2</v>
      </c>
      <c r="BB55" s="151">
        <v>0.26951942000000001</v>
      </c>
      <c r="BC55" s="151">
        <v>0.14811986999999999</v>
      </c>
      <c r="BD55" s="151">
        <v>5.0955599999999997E-2</v>
      </c>
      <c r="BE55" s="151">
        <v>0.25955604999999998</v>
      </c>
      <c r="BF55" s="151">
        <v>0.30383574000000002</v>
      </c>
      <c r="BG55" s="151">
        <v>0.32740511</v>
      </c>
      <c r="BH55" s="151">
        <v>0.64633739999999995</v>
      </c>
      <c r="BI55" s="151">
        <v>0.87976692999999995</v>
      </c>
      <c r="BJ55" s="151">
        <v>0.19574473000000001</v>
      </c>
      <c r="BK55" s="151">
        <v>0.18790677</v>
      </c>
      <c r="BL55" s="151">
        <v>0.22655049999999999</v>
      </c>
      <c r="BM55" s="151">
        <v>0.18584128999999999</v>
      </c>
      <c r="BN55" s="151">
        <v>60.9224861</v>
      </c>
      <c r="BO55" s="151">
        <v>375.689234</v>
      </c>
      <c r="BP55" s="151">
        <v>0</v>
      </c>
      <c r="BQ55" s="6"/>
    </row>
    <row r="56" spans="1:69">
      <c r="A56" s="179">
        <v>67303</v>
      </c>
      <c r="B56" s="149" t="s">
        <v>1679</v>
      </c>
      <c r="E56" s="227" t="s">
        <v>1625</v>
      </c>
      <c r="F56" s="150">
        <v>56</v>
      </c>
      <c r="G56" s="149" t="s">
        <v>1679</v>
      </c>
      <c r="J56" s="151">
        <v>442.61039</v>
      </c>
      <c r="K56" s="151">
        <v>69.573203500000005</v>
      </c>
      <c r="L56" s="151">
        <v>7.33220779</v>
      </c>
      <c r="M56" s="151">
        <v>37.985800900000001</v>
      </c>
      <c r="N56" s="151">
        <v>18.168787900000002</v>
      </c>
      <c r="O56" s="151">
        <v>4.5966233799999996</v>
      </c>
      <c r="P56" s="151">
        <v>0.12555039000000001</v>
      </c>
      <c r="Q56" s="151">
        <v>4.5682639999999997E-2</v>
      </c>
      <c r="R56" s="151">
        <v>0.67195519000000004</v>
      </c>
      <c r="S56" s="151">
        <v>0.19309809999999999</v>
      </c>
      <c r="T56" s="151">
        <v>0.14719201000000001</v>
      </c>
      <c r="U56" s="151">
        <v>69.067922100000004</v>
      </c>
      <c r="V56" s="151">
        <v>0</v>
      </c>
      <c r="W56" s="151">
        <v>1.65618701</v>
      </c>
      <c r="X56" s="151">
        <v>0.40324674999999999</v>
      </c>
      <c r="Y56" s="151">
        <v>0.41418874</v>
      </c>
      <c r="Z56" s="151">
        <v>72.401091300000004</v>
      </c>
      <c r="AA56" s="151">
        <v>0</v>
      </c>
      <c r="AB56" s="151">
        <v>1.54641472</v>
      </c>
      <c r="AC56" s="151">
        <v>0</v>
      </c>
      <c r="AD56" s="151">
        <v>18.975932</v>
      </c>
      <c r="AE56" s="151">
        <v>38.838658000000002</v>
      </c>
      <c r="AF56" s="151">
        <v>0</v>
      </c>
      <c r="AG56" s="151">
        <v>0</v>
      </c>
      <c r="AH56" s="151">
        <v>1.3212995700000001</v>
      </c>
      <c r="AI56" s="151">
        <v>21.416623399999999</v>
      </c>
      <c r="AJ56" s="151">
        <v>0.49193938999999998</v>
      </c>
      <c r="AK56" s="151">
        <v>1.7533766200000001</v>
      </c>
      <c r="AL56" s="151">
        <v>58.2460606</v>
      </c>
      <c r="AM56" s="151">
        <v>0.56872727000000001</v>
      </c>
      <c r="AN56" s="151">
        <v>110.47619</v>
      </c>
      <c r="AO56" s="151">
        <v>322.13822499999998</v>
      </c>
      <c r="AP56" s="151">
        <v>2.5069697</v>
      </c>
      <c r="AQ56" s="151">
        <v>1.06727273</v>
      </c>
      <c r="AR56" s="151">
        <v>5.8423679699999997</v>
      </c>
      <c r="AS56" s="151">
        <v>8.6568831199999998</v>
      </c>
      <c r="AT56" s="151">
        <v>21.7345887</v>
      </c>
      <c r="AU56" s="151">
        <v>0</v>
      </c>
      <c r="AV56" s="151">
        <v>9.9220799999999998E-3</v>
      </c>
      <c r="AW56" s="151">
        <v>1.8770559999999999E-2</v>
      </c>
      <c r="AX56" s="151">
        <v>2.939394E-2</v>
      </c>
      <c r="AY56" s="151">
        <v>1.935065E-2</v>
      </c>
      <c r="AZ56" s="151">
        <v>4.41991E-3</v>
      </c>
      <c r="BA56" s="151">
        <v>4.1601700000000004E-3</v>
      </c>
      <c r="BB56" s="151">
        <v>2.454978E-2</v>
      </c>
      <c r="BC56" s="151">
        <v>1.6099570000000001E-2</v>
      </c>
      <c r="BD56" s="151">
        <v>4.5541100000000001E-3</v>
      </c>
      <c r="BE56" s="151">
        <v>2.3705629999999998E-2</v>
      </c>
      <c r="BF56" s="151">
        <v>2.6645019999999998E-2</v>
      </c>
      <c r="BG56" s="151">
        <v>2.5683979999999999E-2</v>
      </c>
      <c r="BH56" s="151">
        <v>8.241126E-2</v>
      </c>
      <c r="BI56" s="151">
        <v>0.10207792</v>
      </c>
      <c r="BJ56" s="151">
        <v>2.1467529999999999E-2</v>
      </c>
      <c r="BK56" s="151">
        <v>1.7688309999999999E-2</v>
      </c>
      <c r="BL56" s="151">
        <v>2.0264069999999999E-2</v>
      </c>
      <c r="BM56" s="151">
        <v>1.4558440000000001E-2</v>
      </c>
      <c r="BN56" s="151">
        <v>9.19147186</v>
      </c>
      <c r="BO56" s="151">
        <v>5.4011255399999998</v>
      </c>
      <c r="BP56" s="151">
        <v>0.62770562799999996</v>
      </c>
      <c r="BQ56" s="6"/>
    </row>
    <row r="57" spans="1:69">
      <c r="A57" s="179">
        <v>71203</v>
      </c>
      <c r="B57" s="149" t="s">
        <v>1680</v>
      </c>
      <c r="E57" s="227" t="s">
        <v>1625</v>
      </c>
      <c r="F57" s="150">
        <v>57</v>
      </c>
      <c r="G57" s="149" t="s">
        <v>1680</v>
      </c>
      <c r="J57" s="151">
        <v>34.031575500000002</v>
      </c>
      <c r="K57" s="151">
        <v>114.609701</v>
      </c>
      <c r="L57" s="151">
        <v>0.15654947999999999</v>
      </c>
      <c r="M57" s="151">
        <v>1.6920569999999999E-2</v>
      </c>
      <c r="N57" s="151">
        <v>8.2611295600000005</v>
      </c>
      <c r="O57" s="151">
        <v>0.10364258</v>
      </c>
      <c r="P57" s="151">
        <v>2.31E-4</v>
      </c>
      <c r="Q57" s="151">
        <v>6.7253900000000004E-3</v>
      </c>
      <c r="R57" s="151">
        <v>7.5502470000000002E-2</v>
      </c>
      <c r="S57" s="151">
        <v>1.13151E-2</v>
      </c>
      <c r="T57" s="151">
        <v>3.47292E-3</v>
      </c>
      <c r="U57" s="151">
        <v>0.71948241999999996</v>
      </c>
      <c r="V57" s="151">
        <v>0</v>
      </c>
      <c r="W57" s="151">
        <v>8.3333299999999999E-3</v>
      </c>
      <c r="X57" s="151">
        <v>8.6617840000000001E-2</v>
      </c>
      <c r="Y57" s="151">
        <v>8.6067699999999997E-3</v>
      </c>
      <c r="Z57" s="151">
        <v>0.42337239999999998</v>
      </c>
      <c r="AA57" s="151">
        <v>0</v>
      </c>
      <c r="AB57" s="151">
        <v>5.3808600000000003E-3</v>
      </c>
      <c r="AC57" s="151">
        <v>8.3496100000000004E-3</v>
      </c>
      <c r="AD57" s="151">
        <v>3.0087889999999999E-2</v>
      </c>
      <c r="AE57" s="151">
        <v>0.14340391</v>
      </c>
      <c r="AF57" s="151">
        <v>0</v>
      </c>
      <c r="AG57" s="151">
        <v>0</v>
      </c>
      <c r="AH57" s="151">
        <v>5.1885550000000003E-2</v>
      </c>
      <c r="AI57" s="151">
        <v>2.5905533900000002</v>
      </c>
      <c r="AJ57" s="151">
        <v>1.4856640000000001E-2</v>
      </c>
      <c r="AK57" s="151">
        <v>3.8444010000000001E-2</v>
      </c>
      <c r="AL57" s="151">
        <v>2.2882329399999999</v>
      </c>
      <c r="AM57" s="151">
        <v>0.10082682</v>
      </c>
      <c r="AN57" s="151">
        <v>1.98561732</v>
      </c>
      <c r="AO57" s="151">
        <v>41.3558436</v>
      </c>
      <c r="AP57" s="151">
        <v>5.4443360000000003E-2</v>
      </c>
      <c r="AQ57" s="151">
        <v>2.2809240000000001E-2</v>
      </c>
      <c r="AR57" s="151">
        <v>1.5950519999999999E-2</v>
      </c>
      <c r="AS57" s="151">
        <v>1.3248699999999999E-3</v>
      </c>
      <c r="AT57" s="151">
        <v>7.3079399999999997E-3</v>
      </c>
      <c r="AU57" s="151">
        <v>0</v>
      </c>
      <c r="AV57" s="151">
        <v>4.95E-4</v>
      </c>
      <c r="AW57" s="151">
        <v>1.03874E-3</v>
      </c>
      <c r="AX57" s="151">
        <v>1.8330099999999999E-3</v>
      </c>
      <c r="AY57" s="151">
        <v>9.0899999999999998E-4</v>
      </c>
      <c r="AZ57" s="151">
        <v>2.81E-4</v>
      </c>
      <c r="BA57" s="151">
        <v>2.33E-4</v>
      </c>
      <c r="BB57" s="151">
        <v>1.24479E-3</v>
      </c>
      <c r="BC57" s="151">
        <v>1.18132E-3</v>
      </c>
      <c r="BD57" s="151">
        <v>2.8091999999999999E-4</v>
      </c>
      <c r="BE57" s="151">
        <v>1.25749E-3</v>
      </c>
      <c r="BF57" s="151">
        <v>1.3408199999999999E-3</v>
      </c>
      <c r="BG57" s="151">
        <v>1.7402299999999999E-3</v>
      </c>
      <c r="BH57" s="151">
        <v>4.1819700000000001E-3</v>
      </c>
      <c r="BI57" s="151">
        <v>4.2545600000000001E-3</v>
      </c>
      <c r="BJ57" s="151">
        <v>1.3971400000000001E-3</v>
      </c>
      <c r="BK57" s="151">
        <v>9.8400000000000007E-4</v>
      </c>
      <c r="BL57" s="151">
        <v>1.41927E-3</v>
      </c>
      <c r="BM57" s="151">
        <v>1.02246E-3</v>
      </c>
      <c r="BN57" s="151">
        <v>4.8300781300000004</v>
      </c>
      <c r="BO57" s="151">
        <v>0.49186197999999998</v>
      </c>
      <c r="BP57" s="151">
        <v>0</v>
      </c>
      <c r="BQ57" s="6"/>
    </row>
    <row r="58" spans="1:69">
      <c r="A58" s="179">
        <v>12304</v>
      </c>
      <c r="B58" s="149" t="s">
        <v>1681</v>
      </c>
      <c r="E58" s="227" t="s">
        <v>1625</v>
      </c>
      <c r="F58" s="150">
        <v>58</v>
      </c>
      <c r="G58" s="149" t="s">
        <v>1681</v>
      </c>
      <c r="J58" s="151">
        <v>188.18783099999999</v>
      </c>
      <c r="K58" s="151">
        <v>91.282354499999997</v>
      </c>
      <c r="L58" s="151">
        <v>5.7541005299999997</v>
      </c>
      <c r="M58" s="151">
        <v>0.88941798999999999</v>
      </c>
      <c r="N58" s="151">
        <v>38.147354499999999</v>
      </c>
      <c r="O58" s="151">
        <v>2.3970899499999998</v>
      </c>
      <c r="P58" s="151">
        <v>5.7107140000000001E-2</v>
      </c>
      <c r="Q58" s="151">
        <v>2.1964290000000001E-2</v>
      </c>
      <c r="R58" s="151">
        <v>0.83464285999999999</v>
      </c>
      <c r="S58" s="151">
        <v>0.24990476</v>
      </c>
      <c r="T58" s="151">
        <v>4.392857E-2</v>
      </c>
      <c r="U58" s="151">
        <v>5.3148148099999997</v>
      </c>
      <c r="V58" s="151">
        <v>0</v>
      </c>
      <c r="W58" s="151">
        <v>0</v>
      </c>
      <c r="X58" s="151">
        <v>3.5902116400000001</v>
      </c>
      <c r="Y58" s="151">
        <v>0.23320105999999999</v>
      </c>
      <c r="Z58" s="151">
        <v>0.16269840999999999</v>
      </c>
      <c r="AA58" s="151">
        <v>0</v>
      </c>
      <c r="AB58" s="151">
        <v>0</v>
      </c>
      <c r="AC58" s="151">
        <v>0</v>
      </c>
      <c r="AD58" s="151">
        <v>1.1728928599999999</v>
      </c>
      <c r="AE58" s="151">
        <v>0</v>
      </c>
      <c r="AF58" s="151">
        <v>0</v>
      </c>
      <c r="AG58" s="151">
        <v>0</v>
      </c>
      <c r="AH58" s="151">
        <v>0</v>
      </c>
      <c r="AI58" s="151">
        <v>7.4654761900000004</v>
      </c>
      <c r="AJ58" s="151">
        <v>0.10304233</v>
      </c>
      <c r="AK58" s="151">
        <v>2.0608465599999999</v>
      </c>
      <c r="AL58" s="151">
        <v>31.395370400000001</v>
      </c>
      <c r="AM58" s="151">
        <v>0.37020635000000002</v>
      </c>
      <c r="AN58" s="151">
        <v>75.925925899999996</v>
      </c>
      <c r="AO58" s="151">
        <v>114.05648100000001</v>
      </c>
      <c r="AP58" s="151">
        <v>18.384920600000001</v>
      </c>
      <c r="AQ58" s="151">
        <v>0.84060847000000005</v>
      </c>
      <c r="AR58" s="151">
        <v>0.11931217</v>
      </c>
      <c r="AS58" s="151">
        <v>8.1349210000000005E-2</v>
      </c>
      <c r="AT58" s="151">
        <v>0.39589946999999998</v>
      </c>
      <c r="AU58" s="151">
        <v>0</v>
      </c>
      <c r="AV58" s="151">
        <v>0.12419312</v>
      </c>
      <c r="AW58" s="151">
        <v>0.16649470999999999</v>
      </c>
      <c r="AX58" s="151">
        <v>0.37474868</v>
      </c>
      <c r="AY58" s="151">
        <v>0.14968254</v>
      </c>
      <c r="AZ58" s="151">
        <v>0.11931217</v>
      </c>
      <c r="BA58" s="151">
        <v>0.11822750999999999</v>
      </c>
      <c r="BB58" s="151">
        <v>0.25760581999999999</v>
      </c>
      <c r="BC58" s="151">
        <v>0.16269840999999999</v>
      </c>
      <c r="BD58" s="151">
        <v>6.7248680000000005E-2</v>
      </c>
      <c r="BE58" s="151">
        <v>0.24404761999999999</v>
      </c>
      <c r="BF58" s="151">
        <v>0.30153438999999999</v>
      </c>
      <c r="BG58" s="151">
        <v>0.23862433999999999</v>
      </c>
      <c r="BH58" s="151">
        <v>0.27387566000000002</v>
      </c>
      <c r="BI58" s="151">
        <v>1.9182142900000001</v>
      </c>
      <c r="BJ58" s="151">
        <v>0.22343915</v>
      </c>
      <c r="BK58" s="151">
        <v>0.57757937000000004</v>
      </c>
      <c r="BL58" s="151">
        <v>0.27387566000000002</v>
      </c>
      <c r="BM58" s="151">
        <v>0.14642857000000001</v>
      </c>
      <c r="BN58" s="151">
        <v>0</v>
      </c>
      <c r="BO58" s="151">
        <v>123.650794</v>
      </c>
      <c r="BP58" s="151">
        <v>0</v>
      </c>
      <c r="BQ58" s="6"/>
    </row>
    <row r="59" spans="1:69">
      <c r="A59" s="179">
        <v>62507</v>
      </c>
      <c r="B59" s="149" t="s">
        <v>1682</v>
      </c>
      <c r="E59" s="227" t="s">
        <v>1625</v>
      </c>
      <c r="F59" s="150">
        <v>59</v>
      </c>
      <c r="G59" s="149" t="s">
        <v>1682</v>
      </c>
      <c r="J59" s="151">
        <v>423.21292199999999</v>
      </c>
      <c r="K59" s="151">
        <v>31.4679295</v>
      </c>
      <c r="L59" s="151">
        <v>9.1424229100000005</v>
      </c>
      <c r="M59" s="151">
        <v>22.2354479</v>
      </c>
      <c r="N59" s="151">
        <v>45.552687200000001</v>
      </c>
      <c r="O59" s="151">
        <v>4.0448164499999999</v>
      </c>
      <c r="P59" s="151">
        <v>9.7892660000000006E-2</v>
      </c>
      <c r="Q59" s="151">
        <v>3.25837E-2</v>
      </c>
      <c r="R59" s="151">
        <v>1.0079955899999999</v>
      </c>
      <c r="S59" s="151">
        <v>0.43852570000000002</v>
      </c>
      <c r="T59" s="151">
        <v>7.1476059999999994E-2</v>
      </c>
      <c r="U59" s="151">
        <v>6.8370044099999996</v>
      </c>
      <c r="V59" s="151">
        <v>0</v>
      </c>
      <c r="W59" s="151">
        <v>0.25218795999999999</v>
      </c>
      <c r="X59" s="151">
        <v>4.0047283399999998</v>
      </c>
      <c r="Y59" s="151">
        <v>0.37068721999999998</v>
      </c>
      <c r="Z59" s="151">
        <v>39.263876699999997</v>
      </c>
      <c r="AA59" s="151">
        <v>0</v>
      </c>
      <c r="AB59" s="151">
        <v>1.5094126299999999</v>
      </c>
      <c r="AC59" s="151">
        <v>0</v>
      </c>
      <c r="AD59" s="151">
        <v>17.5624325</v>
      </c>
      <c r="AE59" s="151">
        <v>2.8528634400000001</v>
      </c>
      <c r="AF59" s="151">
        <v>5.3509540000000001E-2</v>
      </c>
      <c r="AG59" s="151">
        <v>2.3480176199999998</v>
      </c>
      <c r="AH59" s="151">
        <v>3.9876064599999999</v>
      </c>
      <c r="AI59" s="151">
        <v>11.3174449</v>
      </c>
      <c r="AJ59" s="151">
        <v>0.15412364000000001</v>
      </c>
      <c r="AK59" s="151">
        <v>2.7538502199999999</v>
      </c>
      <c r="AL59" s="151">
        <v>40.119662300000002</v>
      </c>
      <c r="AM59" s="151">
        <v>0.59688399000000003</v>
      </c>
      <c r="AN59" s="151">
        <v>105.128517</v>
      </c>
      <c r="AO59" s="151">
        <v>169.312996</v>
      </c>
      <c r="AP59" s="151">
        <v>19.71</v>
      </c>
      <c r="AQ59" s="151">
        <v>1.25053568</v>
      </c>
      <c r="AR59" s="151">
        <v>3.44741557</v>
      </c>
      <c r="AS59" s="151">
        <v>4.9511894300000003</v>
      </c>
      <c r="AT59" s="151">
        <v>12.6986828</v>
      </c>
      <c r="AU59" s="151">
        <v>0</v>
      </c>
      <c r="AV59" s="151">
        <v>0.20035683000000001</v>
      </c>
      <c r="AW59" s="151">
        <v>0.29008075999999999</v>
      </c>
      <c r="AX59" s="151">
        <v>0.61617180999999999</v>
      </c>
      <c r="AY59" s="151">
        <v>0.38522172999999998</v>
      </c>
      <c r="AZ59" s="151">
        <v>0.14351100999999999</v>
      </c>
      <c r="BA59" s="151">
        <v>0.14969457</v>
      </c>
      <c r="BB59" s="151">
        <v>0.42838325999999999</v>
      </c>
      <c r="BC59" s="151">
        <v>0.28438032000000002</v>
      </c>
      <c r="BD59" s="151">
        <v>9.9499270000000001E-2</v>
      </c>
      <c r="BE59" s="151">
        <v>0.40698825</v>
      </c>
      <c r="BF59" s="151">
        <v>0.52648457999999998</v>
      </c>
      <c r="BG59" s="151">
        <v>0.49620998999999999</v>
      </c>
      <c r="BH59" s="151">
        <v>0.63846842999999998</v>
      </c>
      <c r="BI59" s="151">
        <v>2.6357929499999999</v>
      </c>
      <c r="BJ59" s="151">
        <v>0.36202349</v>
      </c>
      <c r="BK59" s="151">
        <v>0.73273862000000001</v>
      </c>
      <c r="BL59" s="151">
        <v>0.45439794</v>
      </c>
      <c r="BM59" s="151">
        <v>0.24592217</v>
      </c>
      <c r="BN59" s="151">
        <v>1.4508076400000001</v>
      </c>
      <c r="BO59" s="151">
        <v>147.221733</v>
      </c>
      <c r="BP59" s="151">
        <v>9.8384728000000005E-2</v>
      </c>
      <c r="BQ59" s="6"/>
    </row>
    <row r="60" spans="1:69">
      <c r="A60" s="179">
        <v>12306</v>
      </c>
      <c r="B60" s="149" t="s">
        <v>1655</v>
      </c>
      <c r="E60" s="227" t="s">
        <v>1625</v>
      </c>
      <c r="F60" s="150">
        <v>60</v>
      </c>
      <c r="G60" s="149" t="s">
        <v>1655</v>
      </c>
      <c r="J60" s="151">
        <v>628.73449100000005</v>
      </c>
      <c r="K60" s="151">
        <v>33.310868499999998</v>
      </c>
      <c r="L60" s="151">
        <v>6.9504714600000002</v>
      </c>
      <c r="M60" s="151">
        <v>46.483771699999998</v>
      </c>
      <c r="N60" s="151">
        <v>46.078808899999999</v>
      </c>
      <c r="O60" s="151">
        <v>2.8954838700000001</v>
      </c>
      <c r="P60" s="151">
        <v>6.8980650000000004E-2</v>
      </c>
      <c r="Q60" s="151">
        <v>2.6531019999999999E-2</v>
      </c>
      <c r="R60" s="151">
        <v>1.00817866</v>
      </c>
      <c r="S60" s="151">
        <v>0.30186402000000001</v>
      </c>
      <c r="T60" s="151">
        <v>5.3062030000000003E-2</v>
      </c>
      <c r="U60" s="151">
        <v>6.4198511199999997</v>
      </c>
      <c r="V60" s="151">
        <v>0</v>
      </c>
      <c r="W60" s="151">
        <v>0</v>
      </c>
      <c r="X60" s="151">
        <v>4.33667494</v>
      </c>
      <c r="Y60" s="151">
        <v>0.43026700000000001</v>
      </c>
      <c r="Z60" s="151">
        <v>83.749875900000006</v>
      </c>
      <c r="AA60" s="151">
        <v>0</v>
      </c>
      <c r="AB60" s="151">
        <v>0</v>
      </c>
      <c r="AC60" s="151">
        <v>0</v>
      </c>
      <c r="AD60" s="151">
        <v>1.4167563299999999</v>
      </c>
      <c r="AE60" s="151">
        <v>0</v>
      </c>
      <c r="AF60" s="151">
        <v>0</v>
      </c>
      <c r="AG60" s="151">
        <v>0</v>
      </c>
      <c r="AH60" s="151">
        <v>0</v>
      </c>
      <c r="AI60" s="151">
        <v>8.6266997500000002</v>
      </c>
      <c r="AJ60" s="151">
        <v>0.12446649999999999</v>
      </c>
      <c r="AK60" s="151">
        <v>2.5120347399999998</v>
      </c>
      <c r="AL60" s="151">
        <v>37.922977699999997</v>
      </c>
      <c r="AM60" s="151">
        <v>0.44692804000000003</v>
      </c>
      <c r="AN60" s="151">
        <v>91.712158799999997</v>
      </c>
      <c r="AO60" s="151">
        <v>137.75503699999999</v>
      </c>
      <c r="AP60" s="151">
        <v>22.207444200000001</v>
      </c>
      <c r="AQ60" s="151">
        <v>1.0199255599999999</v>
      </c>
      <c r="AR60" s="151">
        <v>7.2279900699999997</v>
      </c>
      <c r="AS60" s="151">
        <v>10.451612900000001</v>
      </c>
      <c r="AT60" s="151">
        <v>26.679454100000001</v>
      </c>
      <c r="AU60" s="151">
        <v>0</v>
      </c>
      <c r="AV60" s="151">
        <v>0.15001489000000001</v>
      </c>
      <c r="AW60" s="151">
        <v>0.20111166</v>
      </c>
      <c r="AX60" s="151">
        <v>0.45266500999999998</v>
      </c>
      <c r="AY60" s="151">
        <v>0.18080397000000001</v>
      </c>
      <c r="AZ60" s="151">
        <v>0.14411910999999999</v>
      </c>
      <c r="BA60" s="151">
        <v>0.14280893</v>
      </c>
      <c r="BB60" s="151">
        <v>0.31116624999999998</v>
      </c>
      <c r="BC60" s="151">
        <v>0.19652605000000001</v>
      </c>
      <c r="BD60" s="151">
        <v>8.1230769999999994E-2</v>
      </c>
      <c r="BE60" s="151">
        <v>0.29478907999999998</v>
      </c>
      <c r="BF60" s="151">
        <v>0.36422829000000001</v>
      </c>
      <c r="BG60" s="151">
        <v>0.28823820999999999</v>
      </c>
      <c r="BH60" s="151">
        <v>0.33081885999999999</v>
      </c>
      <c r="BI60" s="151">
        <v>2.3170421800000001</v>
      </c>
      <c r="BJ60" s="151">
        <v>0.26989577999999997</v>
      </c>
      <c r="BK60" s="151">
        <v>0.69766748999999995</v>
      </c>
      <c r="BL60" s="151">
        <v>0.33081885999999999</v>
      </c>
      <c r="BM60" s="151">
        <v>0.17687344999999999</v>
      </c>
      <c r="BN60" s="151">
        <v>0</v>
      </c>
      <c r="BO60" s="151">
        <v>149.359801</v>
      </c>
      <c r="BP60" s="151">
        <v>0</v>
      </c>
      <c r="BQ60" s="6"/>
    </row>
    <row r="61" spans="1:69">
      <c r="A61" s="179">
        <v>24105</v>
      </c>
      <c r="B61" s="149" t="s">
        <v>1683</v>
      </c>
      <c r="E61" s="227" t="s">
        <v>1625</v>
      </c>
      <c r="F61" s="150">
        <v>61</v>
      </c>
      <c r="G61" s="149" t="s">
        <v>1683</v>
      </c>
      <c r="J61" s="151">
        <v>112.945706</v>
      </c>
      <c r="K61" s="151">
        <v>130.83041700000001</v>
      </c>
      <c r="L61" s="151">
        <v>1.5016415999999999</v>
      </c>
      <c r="M61" s="151">
        <v>5.8783877899999997</v>
      </c>
      <c r="N61" s="151">
        <v>12.665150799999999</v>
      </c>
      <c r="O61" s="151">
        <v>2.2632309199999998</v>
      </c>
      <c r="P61" s="151">
        <v>5.1497519999999998E-2</v>
      </c>
      <c r="Q61" s="151">
        <v>2.4749670000000001E-2</v>
      </c>
      <c r="R61" s="151">
        <v>0.32988387000000002</v>
      </c>
      <c r="S61" s="151">
        <v>9.6904770000000001E-2</v>
      </c>
      <c r="T61" s="151">
        <v>0.10540115</v>
      </c>
      <c r="U61" s="151">
        <v>8.1541793899999995</v>
      </c>
      <c r="V61" s="151">
        <v>0</v>
      </c>
      <c r="W61" s="151">
        <v>6.6527829199999999</v>
      </c>
      <c r="X61" s="151">
        <v>0.47200382000000002</v>
      </c>
      <c r="Y61" s="151">
        <v>0.27429197999999999</v>
      </c>
      <c r="Z61" s="151">
        <v>18.987998099999999</v>
      </c>
      <c r="AA61" s="151">
        <v>0</v>
      </c>
      <c r="AB61" s="151">
        <v>4.9342853099999999</v>
      </c>
      <c r="AC61" s="151">
        <v>0.75572519000000005</v>
      </c>
      <c r="AD61" s="151">
        <v>50.826979999999999</v>
      </c>
      <c r="AE61" s="151">
        <v>142.804416</v>
      </c>
      <c r="AF61" s="151">
        <v>0</v>
      </c>
      <c r="AG61" s="151">
        <v>0</v>
      </c>
      <c r="AH61" s="151">
        <v>2.4975101099999999</v>
      </c>
      <c r="AI61" s="151">
        <v>23.794639499999999</v>
      </c>
      <c r="AJ61" s="151">
        <v>0.21842365999999999</v>
      </c>
      <c r="AK61" s="151">
        <v>0.57094676</v>
      </c>
      <c r="AL61" s="151">
        <v>25.124646899999998</v>
      </c>
      <c r="AM61" s="151">
        <v>0.40497653</v>
      </c>
      <c r="AN61" s="151">
        <v>51.0469656</v>
      </c>
      <c r="AO61" s="151">
        <v>330.24635499999999</v>
      </c>
      <c r="AP61" s="151">
        <v>0.19926584</v>
      </c>
      <c r="AQ61" s="151">
        <v>0.33426984999999998</v>
      </c>
      <c r="AR61" s="151">
        <v>0.93081659999999999</v>
      </c>
      <c r="AS61" s="151">
        <v>1.32317844</v>
      </c>
      <c r="AT61" s="151">
        <v>3.3814448499999998</v>
      </c>
      <c r="AU61" s="151">
        <v>0</v>
      </c>
      <c r="AV61" s="151">
        <v>4.323954E-2</v>
      </c>
      <c r="AW61" s="151">
        <v>6.7192440000000006E-2</v>
      </c>
      <c r="AX61" s="151">
        <v>0.13648324000000001</v>
      </c>
      <c r="AY61" s="151">
        <v>8.475771E-2</v>
      </c>
      <c r="AZ61" s="151">
        <v>1.7129220000000001E-2</v>
      </c>
      <c r="BA61" s="151">
        <v>2.9745170000000001E-2</v>
      </c>
      <c r="BB61" s="151">
        <v>0.11055263</v>
      </c>
      <c r="BC61" s="151">
        <v>7.5065900000000005E-2</v>
      </c>
      <c r="BD61" s="151">
        <v>2.4964009999999998E-2</v>
      </c>
      <c r="BE61" s="151">
        <v>0.11308559</v>
      </c>
      <c r="BF61" s="151">
        <v>1.4541429999999999E-2</v>
      </c>
      <c r="BG61" s="151">
        <v>2.6021559999999999E-2</v>
      </c>
      <c r="BH61" s="151">
        <v>4.0010669999999998E-2</v>
      </c>
      <c r="BI61" s="151">
        <v>5.2938739999999998E-2</v>
      </c>
      <c r="BJ61" s="151">
        <v>1.3729979999999999E-2</v>
      </c>
      <c r="BK61" s="151">
        <v>1.0030529999999999E-2</v>
      </c>
      <c r="BL61" s="151">
        <v>1.15379E-2</v>
      </c>
      <c r="BM61" s="151">
        <v>8.2474939999999997E-2</v>
      </c>
      <c r="BN61" s="151">
        <v>41.655687</v>
      </c>
      <c r="BO61" s="151">
        <v>10.970114499999999</v>
      </c>
      <c r="BP61" s="151">
        <v>1.937022901</v>
      </c>
      <c r="BQ61" s="6"/>
    </row>
    <row r="62" spans="1:69">
      <c r="A62" s="179">
        <v>26601</v>
      </c>
      <c r="B62" s="149" t="s">
        <v>1684</v>
      </c>
      <c r="E62" s="227" t="s">
        <v>1625</v>
      </c>
      <c r="F62" s="150">
        <v>62</v>
      </c>
      <c r="G62" s="149" t="s">
        <v>1684</v>
      </c>
      <c r="J62" s="151">
        <v>450.151163</v>
      </c>
      <c r="K62" s="151">
        <v>63.266511600000001</v>
      </c>
      <c r="L62" s="151">
        <v>15.982093000000001</v>
      </c>
      <c r="M62" s="151">
        <v>33.621744200000002</v>
      </c>
      <c r="N62" s="151">
        <v>20.117209299999999</v>
      </c>
      <c r="O62" s="151">
        <v>4.0871511600000003</v>
      </c>
      <c r="P62" s="151">
        <v>0.21661279</v>
      </c>
      <c r="Q62" s="151">
        <v>0.12157515000000001</v>
      </c>
      <c r="R62" s="151">
        <v>6.4804747100000002</v>
      </c>
      <c r="S62" s="151">
        <v>0.73916744000000001</v>
      </c>
      <c r="T62" s="151">
        <v>0.23919302000000001</v>
      </c>
      <c r="U62" s="151">
        <v>47.5847093</v>
      </c>
      <c r="V62" s="151">
        <v>0</v>
      </c>
      <c r="W62" s="151">
        <v>20.787407300000002</v>
      </c>
      <c r="X62" s="151">
        <v>4.7756976699999996</v>
      </c>
      <c r="Y62" s="151">
        <v>0.27899766999999998</v>
      </c>
      <c r="Z62" s="151">
        <v>16.5861965</v>
      </c>
      <c r="AA62" s="151">
        <v>0</v>
      </c>
      <c r="AB62" s="151">
        <v>4.0413482600000004</v>
      </c>
      <c r="AC62" s="151">
        <v>0</v>
      </c>
      <c r="AD62" s="151">
        <v>45.909958699999997</v>
      </c>
      <c r="AE62" s="151">
        <v>68.375443000000004</v>
      </c>
      <c r="AF62" s="151">
        <v>0</v>
      </c>
      <c r="AG62" s="151">
        <v>0</v>
      </c>
      <c r="AH62" s="151">
        <v>12.079733299999999</v>
      </c>
      <c r="AI62" s="151">
        <v>39.301453500000001</v>
      </c>
      <c r="AJ62" s="151">
        <v>0.96703488000000004</v>
      </c>
      <c r="AK62" s="151">
        <v>2.0998255800000001</v>
      </c>
      <c r="AL62" s="151">
        <v>142.20703499999999</v>
      </c>
      <c r="AM62" s="151">
        <v>1.16572093</v>
      </c>
      <c r="AN62" s="151">
        <v>257.62209300000001</v>
      </c>
      <c r="AO62" s="151">
        <v>583.20052299999998</v>
      </c>
      <c r="AP62" s="151">
        <v>2.2104069800000001</v>
      </c>
      <c r="AQ62" s="151">
        <v>2.6813953499999998</v>
      </c>
      <c r="AR62" s="151">
        <v>6.2211627900000002</v>
      </c>
      <c r="AS62" s="151">
        <v>12.818372099999999</v>
      </c>
      <c r="AT62" s="151">
        <v>12.4422674</v>
      </c>
      <c r="AU62" s="151">
        <v>0</v>
      </c>
      <c r="AV62" s="151">
        <v>0.34408139999999998</v>
      </c>
      <c r="AW62" s="151">
        <v>0.71069766999999995</v>
      </c>
      <c r="AX62" s="151">
        <v>0.98001163000000002</v>
      </c>
      <c r="AY62" s="151">
        <v>0.53207557999999999</v>
      </c>
      <c r="AZ62" s="151">
        <v>0.19040116000000001</v>
      </c>
      <c r="BA62" s="151">
        <v>0.20831395</v>
      </c>
      <c r="BB62" s="151">
        <v>0.82924419000000005</v>
      </c>
      <c r="BC62" s="151">
        <v>0.40884302</v>
      </c>
      <c r="BD62" s="151">
        <v>0.1409186</v>
      </c>
      <c r="BE62" s="151">
        <v>0.61202325999999996</v>
      </c>
      <c r="BF62" s="151">
        <v>0.67058139999999999</v>
      </c>
      <c r="BG62" s="151">
        <v>1.67501744</v>
      </c>
      <c r="BH62" s="151">
        <v>1.85566279</v>
      </c>
      <c r="BI62" s="151">
        <v>3.0786046499999999</v>
      </c>
      <c r="BJ62" s="151">
        <v>0.86275000000000002</v>
      </c>
      <c r="BK62" s="151">
        <v>0.57450581000000001</v>
      </c>
      <c r="BL62" s="151">
        <v>0.77273837000000001</v>
      </c>
      <c r="BM62" s="151">
        <v>0.58528488000000001</v>
      </c>
      <c r="BN62" s="151">
        <v>108.20011599999999</v>
      </c>
      <c r="BO62" s="151">
        <v>8.6741279099999993</v>
      </c>
      <c r="BP62" s="151">
        <v>9.8720930229999997</v>
      </c>
      <c r="BQ62" s="6"/>
    </row>
    <row r="63" spans="1:69">
      <c r="A63" s="179">
        <v>25617</v>
      </c>
      <c r="B63" s="149" t="s">
        <v>1685</v>
      </c>
      <c r="E63" t="s">
        <v>1686</v>
      </c>
      <c r="F63" s="150">
        <v>100</v>
      </c>
      <c r="G63" s="149" t="s">
        <v>1685</v>
      </c>
      <c r="J63" s="151">
        <v>85.387859899999995</v>
      </c>
      <c r="K63" s="151">
        <v>148.68749199999999</v>
      </c>
      <c r="L63" s="151">
        <v>2.2156132300000002</v>
      </c>
      <c r="M63" s="151">
        <v>3.1881035</v>
      </c>
      <c r="N63" s="151">
        <v>11.652615600000001</v>
      </c>
      <c r="O63" s="151">
        <v>0.88184046999999999</v>
      </c>
      <c r="P63" s="151">
        <v>3.6398689999999997E-2</v>
      </c>
      <c r="Q63" s="151">
        <v>2.4434529999999999E-2</v>
      </c>
      <c r="R63" s="151">
        <v>0.51625038999999995</v>
      </c>
      <c r="S63" s="151">
        <v>9.1308169999999994E-2</v>
      </c>
      <c r="T63" s="151">
        <v>4.4692219999999998E-2</v>
      </c>
      <c r="U63" s="151">
        <v>5.5738229600000002</v>
      </c>
      <c r="V63" s="151">
        <v>0</v>
      </c>
      <c r="W63" s="151">
        <v>3.3317794699999999</v>
      </c>
      <c r="X63" s="151">
        <v>0.68278209999999995</v>
      </c>
      <c r="Y63" s="151">
        <v>6.5774319999999997E-2</v>
      </c>
      <c r="Z63" s="151">
        <v>9.8701606999999996</v>
      </c>
      <c r="AA63" s="151">
        <v>0</v>
      </c>
      <c r="AB63" s="151">
        <v>0.61143287999999996</v>
      </c>
      <c r="AC63" s="151">
        <v>0</v>
      </c>
      <c r="AD63" s="151">
        <v>7.5364200400000003</v>
      </c>
      <c r="AE63" s="151">
        <v>7.1248601200000001</v>
      </c>
      <c r="AF63" s="151">
        <v>0</v>
      </c>
      <c r="AG63" s="151">
        <v>0</v>
      </c>
      <c r="AH63" s="151">
        <v>1.3256348200000001</v>
      </c>
      <c r="AI63" s="151">
        <v>19.0048222</v>
      </c>
      <c r="AJ63" s="151">
        <v>0.10072465999999999</v>
      </c>
      <c r="AK63" s="151">
        <v>0.70810068000000004</v>
      </c>
      <c r="AL63" s="151">
        <v>10.9647276</v>
      </c>
      <c r="AM63" s="151">
        <v>0.16102801999999999</v>
      </c>
      <c r="AN63" s="151">
        <v>33.703949399999999</v>
      </c>
      <c r="AO63" s="151">
        <v>57.200817100000002</v>
      </c>
      <c r="AP63" s="151">
        <v>0.21608171000000001</v>
      </c>
      <c r="AQ63" s="151">
        <v>0.16604499</v>
      </c>
      <c r="AR63" s="151">
        <v>0.52305447000000005</v>
      </c>
      <c r="AS63" s="151">
        <v>0.72990272</v>
      </c>
      <c r="AT63" s="151">
        <v>1.8290272400000001</v>
      </c>
      <c r="AU63" s="151">
        <v>0</v>
      </c>
      <c r="AV63" s="151">
        <v>1.586187E-2</v>
      </c>
      <c r="AW63" s="151">
        <v>4.576848E-2</v>
      </c>
      <c r="AX63" s="151">
        <v>6.2120620000000001E-2</v>
      </c>
      <c r="AY63" s="151">
        <v>3.5912449999999999E-2</v>
      </c>
      <c r="AZ63" s="151">
        <v>9.3774300000000008E-3</v>
      </c>
      <c r="BA63" s="151">
        <v>7.5194600000000004E-3</v>
      </c>
      <c r="BB63" s="151">
        <v>5.283463E-2</v>
      </c>
      <c r="BC63" s="151">
        <v>4.5776259999999999E-2</v>
      </c>
      <c r="BD63" s="151">
        <v>9.1147899999999994E-3</v>
      </c>
      <c r="BE63" s="151">
        <v>5.7291830000000002E-2</v>
      </c>
      <c r="BF63" s="151">
        <v>4.4608950000000001E-2</v>
      </c>
      <c r="BG63" s="151">
        <v>4.6402720000000001E-2</v>
      </c>
      <c r="BH63" s="151">
        <v>0.13610895000000001</v>
      </c>
      <c r="BI63" s="151">
        <v>0.12629377</v>
      </c>
      <c r="BJ63" s="151">
        <v>5.2140079999999998E-2</v>
      </c>
      <c r="BK63" s="151">
        <v>4.19572E-2</v>
      </c>
      <c r="BL63" s="151">
        <v>4.5891050000000003E-2</v>
      </c>
      <c r="BM63" s="151">
        <v>4.5455250000000003E-2</v>
      </c>
      <c r="BN63" s="151">
        <v>12.936965000000001</v>
      </c>
      <c r="BO63" s="151">
        <v>51.7577043</v>
      </c>
      <c r="BP63" s="151">
        <v>0.821011673</v>
      </c>
      <c r="BQ63" s="6"/>
    </row>
    <row r="64" spans="1:69">
      <c r="A64" s="179">
        <v>25106</v>
      </c>
      <c r="B64" s="149" t="s">
        <v>1687</v>
      </c>
      <c r="E64" t="s">
        <v>1686</v>
      </c>
      <c r="F64" s="150">
        <v>101</v>
      </c>
      <c r="G64" s="149" t="s">
        <v>1687</v>
      </c>
      <c r="J64" s="151">
        <v>82.404833800000006</v>
      </c>
      <c r="K64" s="151">
        <v>230.274169</v>
      </c>
      <c r="L64" s="151">
        <v>0.92173716000000006</v>
      </c>
      <c r="M64" s="151">
        <v>5.8187009099999996</v>
      </c>
      <c r="N64" s="151">
        <v>6.10373112</v>
      </c>
      <c r="O64" s="151">
        <v>1.63367069</v>
      </c>
      <c r="P64" s="151">
        <v>0.10352356</v>
      </c>
      <c r="Q64" s="151">
        <v>3.6309550000000003E-2</v>
      </c>
      <c r="R64" s="151">
        <v>0.24705514000000001</v>
      </c>
      <c r="S64" s="151">
        <v>0.31865422999999998</v>
      </c>
      <c r="T64" s="151">
        <v>9.3744110000000005E-2</v>
      </c>
      <c r="U64" s="151">
        <v>7.0720987900000001</v>
      </c>
      <c r="V64" s="151">
        <v>0</v>
      </c>
      <c r="W64" s="151">
        <v>7.6517829500000003</v>
      </c>
      <c r="X64" s="151">
        <v>1.0157703899999999</v>
      </c>
      <c r="Y64" s="151">
        <v>6.769849E-2</v>
      </c>
      <c r="Z64" s="151">
        <v>16.746242899999999</v>
      </c>
      <c r="AA64" s="151">
        <v>0</v>
      </c>
      <c r="AB64" s="151">
        <v>3.6312881400000001</v>
      </c>
      <c r="AC64" s="151">
        <v>4.2775830800000003</v>
      </c>
      <c r="AD64" s="151">
        <v>35.1274047</v>
      </c>
      <c r="AE64" s="151">
        <v>8.3732715300000002</v>
      </c>
      <c r="AF64" s="151">
        <v>0</v>
      </c>
      <c r="AG64" s="151">
        <v>0</v>
      </c>
      <c r="AH64" s="151">
        <v>22.059286199999999</v>
      </c>
      <c r="AI64" s="151">
        <v>17.879909399999999</v>
      </c>
      <c r="AJ64" s="151">
        <v>0.15918579999999999</v>
      </c>
      <c r="AK64" s="151">
        <v>0.71625377999999995</v>
      </c>
      <c r="AL64" s="151">
        <v>16.243685800000002</v>
      </c>
      <c r="AM64" s="151">
        <v>0.13732628</v>
      </c>
      <c r="AN64" s="151">
        <v>24.039274899999999</v>
      </c>
      <c r="AO64" s="151">
        <v>156.907704</v>
      </c>
      <c r="AP64" s="151">
        <v>0.31489425999999998</v>
      </c>
      <c r="AQ64" s="151">
        <v>0.37030211000000002</v>
      </c>
      <c r="AR64" s="151">
        <v>0.93649547</v>
      </c>
      <c r="AS64" s="151">
        <v>1.35546828</v>
      </c>
      <c r="AT64" s="151">
        <v>3.3645619299999998</v>
      </c>
      <c r="AU64" s="151">
        <v>0</v>
      </c>
      <c r="AV64" s="151">
        <v>1.4577039999999999E-2</v>
      </c>
      <c r="AW64" s="151">
        <v>3.0963750000000002E-2</v>
      </c>
      <c r="AX64" s="151">
        <v>5.2925979999999997E-2</v>
      </c>
      <c r="AY64" s="151">
        <v>3.0717520000000002E-2</v>
      </c>
      <c r="AZ64" s="151">
        <v>9.3247699999999996E-3</v>
      </c>
      <c r="BA64" s="151">
        <v>6.6722099999999996E-3</v>
      </c>
      <c r="BB64" s="151">
        <v>3.1135949999999999E-2</v>
      </c>
      <c r="BC64" s="151">
        <v>2.7435049999999999E-2</v>
      </c>
      <c r="BD64" s="151">
        <v>5.2598200000000001E-3</v>
      </c>
      <c r="BE64" s="151">
        <v>4.2191840000000001E-2</v>
      </c>
      <c r="BF64" s="151">
        <v>5.3181270000000003E-2</v>
      </c>
      <c r="BG64" s="151">
        <v>4.1799089999999997E-2</v>
      </c>
      <c r="BH64" s="151">
        <v>7.7064949999999993E-2</v>
      </c>
      <c r="BI64" s="151">
        <v>0.17724772999999999</v>
      </c>
      <c r="BJ64" s="151">
        <v>3.4554380000000003E-2</v>
      </c>
      <c r="BK64" s="151">
        <v>2.620544E-2</v>
      </c>
      <c r="BL64" s="151">
        <v>3.2132929999999997E-2</v>
      </c>
      <c r="BM64" s="151">
        <v>2.4191839999999999E-2</v>
      </c>
      <c r="BN64" s="151">
        <v>19.950649500000001</v>
      </c>
      <c r="BO64" s="151">
        <v>24.860634399999999</v>
      </c>
      <c r="BP64" s="151">
        <v>3.1389728099999998</v>
      </c>
      <c r="BQ64" s="6"/>
    </row>
    <row r="65" spans="1:69">
      <c r="A65" s="179">
        <v>25108</v>
      </c>
      <c r="B65" s="149" t="s">
        <v>1688</v>
      </c>
      <c r="E65" t="s">
        <v>1686</v>
      </c>
      <c r="F65" s="150">
        <v>102</v>
      </c>
      <c r="G65" s="149" t="s">
        <v>1688</v>
      </c>
      <c r="J65" s="151">
        <v>75.143504500000006</v>
      </c>
      <c r="K65" s="151">
        <v>231.086118</v>
      </c>
      <c r="L65" s="151">
        <v>0.72370091000000003</v>
      </c>
      <c r="M65" s="151">
        <v>5.8187009099999996</v>
      </c>
      <c r="N65" s="151">
        <v>4.3874169199999997</v>
      </c>
      <c r="O65" s="151">
        <v>1.8317069500000001</v>
      </c>
      <c r="P65" s="151">
        <v>5.0053779999999999E-2</v>
      </c>
      <c r="Q65" s="151">
        <v>3.0351960000000001E-2</v>
      </c>
      <c r="R65" s="151">
        <v>0.30663104000000002</v>
      </c>
      <c r="S65" s="151">
        <v>0.27587840000000002</v>
      </c>
      <c r="T65" s="151">
        <v>8.3050150000000003E-2</v>
      </c>
      <c r="U65" s="151">
        <v>7.7998820200000001</v>
      </c>
      <c r="V65" s="151">
        <v>0</v>
      </c>
      <c r="W65" s="151">
        <v>17.6940694</v>
      </c>
      <c r="X65" s="151">
        <v>0.58009063000000005</v>
      </c>
      <c r="Y65" s="151">
        <v>6.769849E-2</v>
      </c>
      <c r="Z65" s="151">
        <v>29.255532899999999</v>
      </c>
      <c r="AA65" s="151">
        <v>0</v>
      </c>
      <c r="AB65" s="151">
        <v>1.0914731900000001</v>
      </c>
      <c r="AC65" s="151">
        <v>0</v>
      </c>
      <c r="AD65" s="151">
        <v>13.2047914</v>
      </c>
      <c r="AE65" s="151">
        <v>16.965866500000001</v>
      </c>
      <c r="AF65" s="151">
        <v>0</v>
      </c>
      <c r="AG65" s="151">
        <v>0</v>
      </c>
      <c r="AH65" s="151">
        <v>25.139146</v>
      </c>
      <c r="AI65" s="151">
        <v>29.101963699999999</v>
      </c>
      <c r="AJ65" s="151">
        <v>0.13938217999999999</v>
      </c>
      <c r="AK65" s="151">
        <v>1.11232628</v>
      </c>
      <c r="AL65" s="151">
        <v>19.821540800000001</v>
      </c>
      <c r="AM65" s="151">
        <v>0.14392748999999999</v>
      </c>
      <c r="AN65" s="151">
        <v>22.058912400000001</v>
      </c>
      <c r="AO65" s="151">
        <v>179.35181299999999</v>
      </c>
      <c r="AP65" s="151">
        <v>0.96181269000000003</v>
      </c>
      <c r="AQ65" s="151">
        <v>0.31749244999999998</v>
      </c>
      <c r="AR65" s="151">
        <v>0.91669184000000004</v>
      </c>
      <c r="AS65" s="151">
        <v>1.35546828</v>
      </c>
      <c r="AT65" s="151">
        <v>3.3711631400000002</v>
      </c>
      <c r="AU65" s="151">
        <v>0</v>
      </c>
      <c r="AV65" s="151">
        <v>1.853776E-2</v>
      </c>
      <c r="AW65" s="151">
        <v>3.4264349999999999E-2</v>
      </c>
      <c r="AX65" s="151">
        <v>5.0285499999999997E-2</v>
      </c>
      <c r="AY65" s="151">
        <v>3.4018130000000001E-2</v>
      </c>
      <c r="AZ65" s="151">
        <v>1.196526E-2</v>
      </c>
      <c r="BA65" s="151">
        <v>7.9924499999999999E-3</v>
      </c>
      <c r="BB65" s="151">
        <v>3.2456190000000003E-2</v>
      </c>
      <c r="BC65" s="151">
        <v>3.2055889999999997E-2</v>
      </c>
      <c r="BD65" s="151">
        <v>7.9003000000000007E-3</v>
      </c>
      <c r="BE65" s="151">
        <v>4.0211480000000001E-2</v>
      </c>
      <c r="BF65" s="151">
        <v>4.922054E-2</v>
      </c>
      <c r="BG65" s="151">
        <v>6.160272E-2</v>
      </c>
      <c r="BH65" s="151">
        <v>0.10016918</v>
      </c>
      <c r="BI65" s="151">
        <v>0.16404531999999999</v>
      </c>
      <c r="BJ65" s="151">
        <v>4.2475829999999999E-2</v>
      </c>
      <c r="BK65" s="151">
        <v>3.214653E-2</v>
      </c>
      <c r="BL65" s="151">
        <v>3.5433529999999998E-2</v>
      </c>
      <c r="BM65" s="151">
        <v>2.5512079999999999E-2</v>
      </c>
      <c r="BN65" s="151">
        <v>17.554410900000001</v>
      </c>
      <c r="BO65" s="151">
        <v>22.933081600000001</v>
      </c>
      <c r="BP65" s="151">
        <v>3.1389728099999998</v>
      </c>
      <c r="BQ65" s="6"/>
    </row>
    <row r="66" spans="1:69">
      <c r="A66" s="179">
        <v>24103</v>
      </c>
      <c r="B66" s="149" t="s">
        <v>1689</v>
      </c>
      <c r="E66" t="s">
        <v>1686</v>
      </c>
      <c r="F66" s="150">
        <v>103</v>
      </c>
      <c r="G66" s="149" t="s">
        <v>1689</v>
      </c>
      <c r="J66" s="151">
        <v>68.163563600000003</v>
      </c>
      <c r="K66" s="151">
        <v>143.331165</v>
      </c>
      <c r="L66" s="151">
        <v>0.98597309</v>
      </c>
      <c r="M66" s="151">
        <v>4.4265549100000001</v>
      </c>
      <c r="N66" s="151">
        <v>5.5157170899999999</v>
      </c>
      <c r="O66" s="151">
        <v>1.74712</v>
      </c>
      <c r="P66" s="151">
        <v>2.917291E-2</v>
      </c>
      <c r="Q66" s="151">
        <v>4.2531359999999997E-2</v>
      </c>
      <c r="R66" s="151">
        <v>0.24306864</v>
      </c>
      <c r="S66" s="151">
        <v>0.26151964</v>
      </c>
      <c r="T66" s="151">
        <v>0.11282291</v>
      </c>
      <c r="U66" s="151">
        <v>8.6579370900000008</v>
      </c>
      <c r="V66" s="151">
        <v>0</v>
      </c>
      <c r="W66" s="151">
        <v>9.28007618</v>
      </c>
      <c r="X66" s="151">
        <v>0.36941817999999998</v>
      </c>
      <c r="Y66" s="151">
        <v>0.13177382000000001</v>
      </c>
      <c r="Z66" s="151">
        <v>25.4922051</v>
      </c>
      <c r="AA66" s="151">
        <v>0</v>
      </c>
      <c r="AB66" s="151">
        <v>4.9590468200000002</v>
      </c>
      <c r="AC66" s="151">
        <v>0.72</v>
      </c>
      <c r="AD66" s="151">
        <v>45.221364399999999</v>
      </c>
      <c r="AE66" s="151">
        <v>162.136943</v>
      </c>
      <c r="AF66" s="151">
        <v>0</v>
      </c>
      <c r="AG66" s="151">
        <v>0</v>
      </c>
      <c r="AH66" s="151">
        <v>28.4828349</v>
      </c>
      <c r="AI66" s="151">
        <v>27.048818199999999</v>
      </c>
      <c r="AJ66" s="151">
        <v>0.18905163999999999</v>
      </c>
      <c r="AK66" s="151">
        <v>0.86334544999999996</v>
      </c>
      <c r="AL66" s="151">
        <v>17.3336364</v>
      </c>
      <c r="AM66" s="151">
        <v>0.24794255000000001</v>
      </c>
      <c r="AN66" s="151">
        <v>27.702454500000002</v>
      </c>
      <c r="AO66" s="151">
        <v>255.48150899999999</v>
      </c>
      <c r="AP66" s="151">
        <v>0.73670181999999995</v>
      </c>
      <c r="AQ66" s="151">
        <v>0.39009818000000002</v>
      </c>
      <c r="AR66" s="151">
        <v>0.70827273000000002</v>
      </c>
      <c r="AS66" s="151">
        <v>1.0217454500000001</v>
      </c>
      <c r="AT66" s="151">
        <v>2.5637090900000001</v>
      </c>
      <c r="AU66" s="151">
        <v>0</v>
      </c>
      <c r="AV66" s="151">
        <v>1.6185450000000001E-2</v>
      </c>
      <c r="AW66" s="151">
        <v>3.2076359999999998E-2</v>
      </c>
      <c r="AX66" s="151">
        <v>5.5036359999999999E-2</v>
      </c>
      <c r="AY66" s="151">
        <v>3.5812730000000001E-2</v>
      </c>
      <c r="AZ66" s="151">
        <v>9.7254500000000001E-3</v>
      </c>
      <c r="BA66" s="151">
        <v>8.3763599999999994E-3</v>
      </c>
      <c r="BB66" s="151">
        <v>3.7576360000000003E-2</v>
      </c>
      <c r="BC66" s="151">
        <v>3.380727E-2</v>
      </c>
      <c r="BD66" s="151">
        <v>9.0381799999999998E-3</v>
      </c>
      <c r="BE66" s="151">
        <v>4.0463640000000002E-2</v>
      </c>
      <c r="BF66" s="151">
        <v>5.3598180000000002E-2</v>
      </c>
      <c r="BG66" s="151">
        <v>5.664545E-2</v>
      </c>
      <c r="BH66" s="151">
        <v>0.11003273</v>
      </c>
      <c r="BI66" s="151">
        <v>0.14771999999999999</v>
      </c>
      <c r="BJ66" s="151">
        <v>4.3058180000000001E-2</v>
      </c>
      <c r="BK66" s="151">
        <v>3.2027269999999997E-2</v>
      </c>
      <c r="BL66" s="151">
        <v>3.805091E-2</v>
      </c>
      <c r="BM66" s="151">
        <v>2.701636E-2</v>
      </c>
      <c r="BN66" s="151">
        <v>19.4758</v>
      </c>
      <c r="BO66" s="151">
        <v>26.394563600000001</v>
      </c>
      <c r="BP66" s="151">
        <v>4.843636364</v>
      </c>
      <c r="BQ66" s="6"/>
    </row>
    <row r="67" spans="1:69">
      <c r="A67" s="179">
        <v>24303</v>
      </c>
      <c r="B67" s="149" t="s">
        <v>1690</v>
      </c>
      <c r="E67" t="s">
        <v>1686</v>
      </c>
      <c r="F67" s="150">
        <v>104</v>
      </c>
      <c r="G67" s="149" t="s">
        <v>1690</v>
      </c>
      <c r="J67" s="151">
        <v>121</v>
      </c>
      <c r="K67" s="151">
        <v>101.65194</v>
      </c>
      <c r="L67" s="151">
        <v>1.5032240400000001</v>
      </c>
      <c r="M67" s="151">
        <v>7.3509836100000001</v>
      </c>
      <c r="N67" s="151">
        <v>11.2241257</v>
      </c>
      <c r="O67" s="151">
        <v>2.6854917999999999</v>
      </c>
      <c r="P67" s="151">
        <v>5.2972400000000003E-2</v>
      </c>
      <c r="Q67" s="151">
        <v>7.8383060000000004E-2</v>
      </c>
      <c r="R67" s="151">
        <v>0.36833127999999998</v>
      </c>
      <c r="S67" s="151">
        <v>0.47002622999999999</v>
      </c>
      <c r="T67" s="151">
        <v>0.22050326000000001</v>
      </c>
      <c r="U67" s="151">
        <v>13.1844372</v>
      </c>
      <c r="V67" s="151">
        <v>0</v>
      </c>
      <c r="W67" s="151">
        <v>13.272461399999999</v>
      </c>
      <c r="X67" s="151">
        <v>0.47336065999999999</v>
      </c>
      <c r="Y67" s="151">
        <v>0.10430929</v>
      </c>
      <c r="Z67" s="151">
        <v>29.864932799999998</v>
      </c>
      <c r="AA67" s="151">
        <v>0</v>
      </c>
      <c r="AB67" s="151">
        <v>3.0660607899999999</v>
      </c>
      <c r="AC67" s="151">
        <v>0</v>
      </c>
      <c r="AD67" s="151">
        <v>21.263427700000001</v>
      </c>
      <c r="AE67" s="151">
        <v>47.726378599999997</v>
      </c>
      <c r="AF67" s="151">
        <v>0</v>
      </c>
      <c r="AG67" s="151">
        <v>0</v>
      </c>
      <c r="AH67" s="151">
        <v>66.0095855</v>
      </c>
      <c r="AI67" s="151">
        <v>29.6614754</v>
      </c>
      <c r="AJ67" s="151">
        <v>0.36398907000000003</v>
      </c>
      <c r="AK67" s="151">
        <v>0.93734972999999999</v>
      </c>
      <c r="AL67" s="151">
        <v>26.341502699999999</v>
      </c>
      <c r="AM67" s="151">
        <v>0.32853552000000003</v>
      </c>
      <c r="AN67" s="151">
        <v>45.438524600000001</v>
      </c>
      <c r="AO67" s="151">
        <v>384.18376999999998</v>
      </c>
      <c r="AP67" s="151">
        <v>1.1403005500000001</v>
      </c>
      <c r="AQ67" s="151">
        <v>0.70196720999999995</v>
      </c>
      <c r="AR67" s="151">
        <v>1.18120219</v>
      </c>
      <c r="AS67" s="151">
        <v>1.6474043700000001</v>
      </c>
      <c r="AT67" s="151">
        <v>4.3170491799999997</v>
      </c>
      <c r="AU67" s="151">
        <v>0</v>
      </c>
      <c r="AV67" s="151">
        <v>2.4581970000000002E-2</v>
      </c>
      <c r="AW67" s="151">
        <v>5.0191260000000001E-2</v>
      </c>
      <c r="AX67" s="151">
        <v>8.7158470000000002E-2</v>
      </c>
      <c r="AY67" s="151">
        <v>6.1513659999999998E-2</v>
      </c>
      <c r="AZ67" s="151">
        <v>1.6150270000000001E-2</v>
      </c>
      <c r="BA67" s="151">
        <v>1.3688519999999999E-2</v>
      </c>
      <c r="BB67" s="151">
        <v>6.1890710000000002E-2</v>
      </c>
      <c r="BC67" s="151">
        <v>5.3803280000000002E-2</v>
      </c>
      <c r="BD67" s="151">
        <v>1.4322400000000001E-2</v>
      </c>
      <c r="BE67" s="151">
        <v>6.2912570000000001E-2</v>
      </c>
      <c r="BF67" s="151">
        <v>8.5882509999999995E-2</v>
      </c>
      <c r="BG67" s="151">
        <v>9.1136610000000007E-2</v>
      </c>
      <c r="BH67" s="151">
        <v>0.17248633999999999</v>
      </c>
      <c r="BI67" s="151">
        <v>0.25314207999999999</v>
      </c>
      <c r="BJ67" s="151">
        <v>6.3622949999999998E-2</v>
      </c>
      <c r="BK67" s="151">
        <v>5.0062839999999997E-2</v>
      </c>
      <c r="BL67" s="151">
        <v>6.0677599999999998E-2</v>
      </c>
      <c r="BM67" s="151">
        <v>4.3420769999999997E-2</v>
      </c>
      <c r="BN67" s="151">
        <v>32.577458999999998</v>
      </c>
      <c r="BO67" s="151">
        <v>49.939289600000002</v>
      </c>
      <c r="BP67" s="151">
        <v>8.3087431689999995</v>
      </c>
      <c r="BQ67" s="6"/>
    </row>
    <row r="68" spans="1:69">
      <c r="A68" s="179">
        <v>24603</v>
      </c>
      <c r="B68" s="149" t="s">
        <v>1691</v>
      </c>
      <c r="E68" t="s">
        <v>1686</v>
      </c>
      <c r="F68" s="150">
        <v>105</v>
      </c>
      <c r="G68" s="149" t="s">
        <v>1691</v>
      </c>
      <c r="J68" s="151">
        <v>58.206422000000003</v>
      </c>
      <c r="K68" s="151">
        <v>111.158624</v>
      </c>
      <c r="L68" s="151">
        <v>1.3582568800000001</v>
      </c>
      <c r="M68" s="151">
        <v>3.5169724800000002</v>
      </c>
      <c r="N68" s="151">
        <v>3.85385321</v>
      </c>
      <c r="O68" s="151">
        <v>2.95302752</v>
      </c>
      <c r="P68" s="151">
        <v>2.6162390000000001E-2</v>
      </c>
      <c r="Q68" s="151">
        <v>3.7979239999999997E-2</v>
      </c>
      <c r="R68" s="151">
        <v>0.22263188</v>
      </c>
      <c r="S68" s="151">
        <v>0.29511514</v>
      </c>
      <c r="T68" s="151">
        <v>8.1907110000000005E-2</v>
      </c>
      <c r="U68" s="151">
        <v>10.0078899</v>
      </c>
      <c r="V68" s="151">
        <v>0</v>
      </c>
      <c r="W68" s="151">
        <v>3.6221238499999999</v>
      </c>
      <c r="X68" s="151">
        <v>0.20688073000000001</v>
      </c>
      <c r="Y68" s="151">
        <v>0.36894494999999999</v>
      </c>
      <c r="Z68" s="151">
        <v>32.455981700000002</v>
      </c>
      <c r="AA68" s="151">
        <v>0</v>
      </c>
      <c r="AB68" s="151">
        <v>12.005464699999999</v>
      </c>
      <c r="AC68" s="151">
        <v>0</v>
      </c>
      <c r="AD68" s="151">
        <v>92.498483899999997</v>
      </c>
      <c r="AE68" s="151">
        <v>106.834266</v>
      </c>
      <c r="AF68" s="151">
        <v>0.40618899000000003</v>
      </c>
      <c r="AG68" s="151">
        <v>17.8237156</v>
      </c>
      <c r="AH68" s="151">
        <v>32.145908300000002</v>
      </c>
      <c r="AI68" s="151">
        <v>44.505045899999999</v>
      </c>
      <c r="AJ68" s="151">
        <v>0.13080733999999999</v>
      </c>
      <c r="AK68" s="151">
        <v>0.51708715999999999</v>
      </c>
      <c r="AL68" s="151">
        <v>13.007339399999999</v>
      </c>
      <c r="AM68" s="151">
        <v>0.44393578</v>
      </c>
      <c r="AN68" s="151">
        <v>34.515137600000003</v>
      </c>
      <c r="AO68" s="151">
        <v>165.759174</v>
      </c>
      <c r="AP68" s="151">
        <v>1.8687614699999999</v>
      </c>
      <c r="AQ68" s="151">
        <v>0.20924312</v>
      </c>
      <c r="AR68" s="151">
        <v>0.27302752000000002</v>
      </c>
      <c r="AS68" s="151">
        <v>2.1204128400000002</v>
      </c>
      <c r="AT68" s="151">
        <v>0.64426147</v>
      </c>
      <c r="AU68" s="151">
        <v>0</v>
      </c>
      <c r="AV68" s="151">
        <v>3.0614679999999998E-2</v>
      </c>
      <c r="AW68" s="151">
        <v>5.4577979999999998E-2</v>
      </c>
      <c r="AX68" s="151">
        <v>9.0275229999999998E-2</v>
      </c>
      <c r="AY68" s="151">
        <v>4.5990830000000003E-2</v>
      </c>
      <c r="AZ68" s="151">
        <v>1.6972480000000002E-2</v>
      </c>
      <c r="BA68" s="151">
        <v>1.3041280000000001E-2</v>
      </c>
      <c r="BB68" s="151">
        <v>5.6825689999999998E-2</v>
      </c>
      <c r="BC68" s="151">
        <v>5.3688069999999997E-2</v>
      </c>
      <c r="BD68" s="151">
        <v>1.1197250000000001E-2</v>
      </c>
      <c r="BE68" s="151">
        <v>7.2963299999999995E-2</v>
      </c>
      <c r="BF68" s="151">
        <v>8.9334860000000002E-2</v>
      </c>
      <c r="BG68" s="151">
        <v>8.319725E-2</v>
      </c>
      <c r="BH68" s="151">
        <v>0.1595367</v>
      </c>
      <c r="BI68" s="151">
        <v>0.20185321000000001</v>
      </c>
      <c r="BJ68" s="151">
        <v>8.5151379999999999E-2</v>
      </c>
      <c r="BK68" s="151">
        <v>5.6330280000000003E-2</v>
      </c>
      <c r="BL68" s="151">
        <v>6.1486239999999998E-2</v>
      </c>
      <c r="BM68" s="151">
        <v>3.9752290000000003E-2</v>
      </c>
      <c r="BN68" s="151">
        <v>20.038532100000001</v>
      </c>
      <c r="BO68" s="151">
        <v>33.107339400000001</v>
      </c>
      <c r="BP68" s="151">
        <v>1.3348623850000001</v>
      </c>
      <c r="BQ68" s="6"/>
    </row>
    <row r="69" spans="1:69">
      <c r="A69" s="179">
        <v>56601</v>
      </c>
      <c r="B69" s="149" t="s">
        <v>1692</v>
      </c>
      <c r="E69" t="s">
        <v>1686</v>
      </c>
      <c r="F69" s="150">
        <v>106</v>
      </c>
      <c r="G69" s="149" t="s">
        <v>1692</v>
      </c>
      <c r="J69" s="151">
        <v>187.97706400000001</v>
      </c>
      <c r="K69" s="151">
        <v>87.958165100000002</v>
      </c>
      <c r="L69" s="151">
        <v>15.6963303</v>
      </c>
      <c r="M69" s="151">
        <v>12.801376100000001</v>
      </c>
      <c r="N69" s="151">
        <v>2.16577982</v>
      </c>
      <c r="O69" s="151">
        <v>0.63192661000000006</v>
      </c>
      <c r="P69" s="151">
        <v>0.14122018</v>
      </c>
      <c r="Q69" s="151">
        <v>0.29527523</v>
      </c>
      <c r="R69" s="151">
        <v>0.20376147</v>
      </c>
      <c r="S69" s="151">
        <v>1.5890367000000001</v>
      </c>
      <c r="T69" s="151">
        <v>0.15839449999999999</v>
      </c>
      <c r="U69" s="151">
        <v>37.834862399999999</v>
      </c>
      <c r="V69" s="151">
        <v>2.1100917400000001</v>
      </c>
      <c r="W69" s="151">
        <v>1.2715596300000001</v>
      </c>
      <c r="X69" s="151">
        <v>4.5058497700000002</v>
      </c>
      <c r="Y69" s="151">
        <v>1.1496789000000001</v>
      </c>
      <c r="Z69" s="151">
        <v>4.3899082600000003</v>
      </c>
      <c r="AA69" s="151">
        <v>157.34756300000001</v>
      </c>
      <c r="AB69" s="151">
        <v>167.887609</v>
      </c>
      <c r="AC69" s="151">
        <v>0</v>
      </c>
      <c r="AD69" s="151">
        <v>111.033716</v>
      </c>
      <c r="AE69" s="151">
        <v>26.5362385</v>
      </c>
      <c r="AF69" s="151">
        <v>0.50146789000000003</v>
      </c>
      <c r="AG69" s="151">
        <v>22.0045872</v>
      </c>
      <c r="AH69" s="151">
        <v>37.5619266</v>
      </c>
      <c r="AI69" s="151">
        <v>34.031078000000001</v>
      </c>
      <c r="AJ69" s="151">
        <v>0.3402867</v>
      </c>
      <c r="AK69" s="151">
        <v>1.6273646799999999</v>
      </c>
      <c r="AL69" s="151">
        <v>25.292504600000001</v>
      </c>
      <c r="AM69" s="151">
        <v>7.4669719999999995E-2</v>
      </c>
      <c r="AN69" s="151">
        <v>217.50229400000001</v>
      </c>
      <c r="AO69" s="151">
        <v>161.71104199999999</v>
      </c>
      <c r="AP69" s="151">
        <v>66.068302799999998</v>
      </c>
      <c r="AQ69" s="151">
        <v>2.3376926600000001</v>
      </c>
      <c r="AR69" s="151">
        <v>3.0477981700000001</v>
      </c>
      <c r="AS69" s="151">
        <v>5.8025229400000002</v>
      </c>
      <c r="AT69" s="151">
        <v>1.8048119300000001</v>
      </c>
      <c r="AU69" s="151">
        <v>326.41009200000002</v>
      </c>
      <c r="AV69" s="151">
        <v>0.21630274999999999</v>
      </c>
      <c r="AW69" s="151">
        <v>0.97668807000000002</v>
      </c>
      <c r="AX69" s="151">
        <v>1.1284403700000001</v>
      </c>
      <c r="AY69" s="151">
        <v>0.66846788999999995</v>
      </c>
      <c r="AZ69" s="151">
        <v>0.48541284000000001</v>
      </c>
      <c r="BA69" s="151">
        <v>0.40868348999999998</v>
      </c>
      <c r="BB69" s="151">
        <v>1.3176055</v>
      </c>
      <c r="BC69" s="151">
        <v>0.47992660999999998</v>
      </c>
      <c r="BD69" s="151">
        <v>0.23592202000000001</v>
      </c>
      <c r="BE69" s="151">
        <v>0.97819266000000005</v>
      </c>
      <c r="BF69" s="151">
        <v>1.3849311900000001</v>
      </c>
      <c r="BG69" s="151">
        <v>0.71727982000000001</v>
      </c>
      <c r="BH69" s="151">
        <v>1.7093990800000001</v>
      </c>
      <c r="BI69" s="151">
        <v>2.2233211000000002</v>
      </c>
      <c r="BJ69" s="151">
        <v>0.65593119</v>
      </c>
      <c r="BK69" s="151">
        <v>0.54903670000000004</v>
      </c>
      <c r="BL69" s="151">
        <v>1.17772477</v>
      </c>
      <c r="BM69" s="151">
        <v>0.36259633000000002</v>
      </c>
      <c r="BN69" s="151">
        <v>7.7366972499999997</v>
      </c>
      <c r="BO69" s="151">
        <v>5.15917431</v>
      </c>
      <c r="BP69" s="151">
        <v>1.3348623850000001</v>
      </c>
      <c r="BQ69" s="6"/>
    </row>
    <row r="70" spans="1:69">
      <c r="A70" s="179">
        <v>12303</v>
      </c>
      <c r="B70" s="149" t="s">
        <v>1693</v>
      </c>
      <c r="E70" t="s">
        <v>1686</v>
      </c>
      <c r="F70" s="150">
        <v>107</v>
      </c>
      <c r="G70" s="149" t="s">
        <v>1693</v>
      </c>
      <c r="J70" s="151">
        <v>245.157692</v>
      </c>
      <c r="K70" s="151">
        <v>18.441961500000001</v>
      </c>
      <c r="L70" s="151">
        <v>6.3571538500000004</v>
      </c>
      <c r="M70" s="151">
        <v>5.1971153799999996</v>
      </c>
      <c r="N70" s="151">
        <v>42.057000000000002</v>
      </c>
      <c r="O70" s="151">
        <v>2.81865385</v>
      </c>
      <c r="P70" s="151">
        <v>6.4768850000000003E-2</v>
      </c>
      <c r="Q70" s="151">
        <v>3.2979620000000001E-2</v>
      </c>
      <c r="R70" s="151">
        <v>0.92554846000000002</v>
      </c>
      <c r="S70" s="151">
        <v>0.28885231</v>
      </c>
      <c r="T70" s="151">
        <v>6.0656540000000002E-2</v>
      </c>
      <c r="U70" s="151">
        <v>6.4510384600000004</v>
      </c>
      <c r="V70" s="151">
        <v>0</v>
      </c>
      <c r="W70" s="151">
        <v>1.72303096</v>
      </c>
      <c r="X70" s="151">
        <v>3.96680769</v>
      </c>
      <c r="Y70" s="151">
        <v>0.27322769000000002</v>
      </c>
      <c r="Z70" s="151">
        <v>8.6968461500000007</v>
      </c>
      <c r="AA70" s="151">
        <v>0</v>
      </c>
      <c r="AB70" s="151">
        <v>0.27951230999999999</v>
      </c>
      <c r="AC70" s="151">
        <v>0</v>
      </c>
      <c r="AD70" s="151">
        <v>4.6172492299999996</v>
      </c>
      <c r="AE70" s="151">
        <v>5.33045423</v>
      </c>
      <c r="AF70" s="151">
        <v>0</v>
      </c>
      <c r="AG70" s="151">
        <v>0</v>
      </c>
      <c r="AH70" s="151">
        <v>0.68092962000000001</v>
      </c>
      <c r="AI70" s="151">
        <v>10.7069615</v>
      </c>
      <c r="AJ70" s="151">
        <v>0.15469231</v>
      </c>
      <c r="AK70" s="151">
        <v>2.32319231</v>
      </c>
      <c r="AL70" s="151">
        <v>36.4208462</v>
      </c>
      <c r="AM70" s="151">
        <v>0.42159999999999997</v>
      </c>
      <c r="AN70" s="151">
        <v>84.434615399999998</v>
      </c>
      <c r="AO70" s="151">
        <v>142.555431</v>
      </c>
      <c r="AP70" s="151">
        <v>19.8413462</v>
      </c>
      <c r="AQ70" s="151">
        <v>0.97884614999999997</v>
      </c>
      <c r="AR70" s="151">
        <v>0.79488462000000004</v>
      </c>
      <c r="AS70" s="151">
        <v>1.0549615400000001</v>
      </c>
      <c r="AT70" s="151">
        <v>2.88</v>
      </c>
      <c r="AU70" s="151">
        <v>0</v>
      </c>
      <c r="AV70" s="151">
        <v>0.13658845999999999</v>
      </c>
      <c r="AW70" s="151">
        <v>0.18445385</v>
      </c>
      <c r="AX70" s="151">
        <v>0.41122692</v>
      </c>
      <c r="AY70" s="151">
        <v>0.16667308</v>
      </c>
      <c r="AZ70" s="151">
        <v>0.13071922999999999</v>
      </c>
      <c r="BA70" s="151">
        <v>0.12945000000000001</v>
      </c>
      <c r="BB70" s="151">
        <v>0.28398076999999999</v>
      </c>
      <c r="BC70" s="151">
        <v>0.18044230999999999</v>
      </c>
      <c r="BD70" s="151">
        <v>7.3953850000000002E-2</v>
      </c>
      <c r="BE70" s="151">
        <v>0.26886537999999999</v>
      </c>
      <c r="BF70" s="151">
        <v>0.33260384999999998</v>
      </c>
      <c r="BG70" s="151">
        <v>0.2737</v>
      </c>
      <c r="BH70" s="151">
        <v>0.31462691999999998</v>
      </c>
      <c r="BI70" s="151">
        <v>2.1049423100000002</v>
      </c>
      <c r="BJ70" s="151">
        <v>0.24890768999999999</v>
      </c>
      <c r="BK70" s="151">
        <v>0.62716923000000002</v>
      </c>
      <c r="BL70" s="151">
        <v>0.30070384999999999</v>
      </c>
      <c r="BM70" s="151">
        <v>0.16156538000000001</v>
      </c>
      <c r="BN70" s="151">
        <v>3.58076923</v>
      </c>
      <c r="BO70" s="151">
        <v>134.32619199999999</v>
      </c>
      <c r="BP70" s="151">
        <v>0.86538461499999997</v>
      </c>
      <c r="BQ70" s="6"/>
    </row>
    <row r="71" spans="1:69">
      <c r="A71" s="179">
        <v>13103</v>
      </c>
      <c r="B71" s="149" t="s">
        <v>1694</v>
      </c>
      <c r="E71" t="s">
        <v>1686</v>
      </c>
      <c r="F71" s="150">
        <v>108</v>
      </c>
      <c r="G71" s="149" t="s">
        <v>1694</v>
      </c>
      <c r="J71" s="151">
        <v>56.481998500000003</v>
      </c>
      <c r="K71" s="151">
        <v>113.64532800000001</v>
      </c>
      <c r="L71" s="151">
        <v>2.5787376000000002</v>
      </c>
      <c r="M71" s="151">
        <v>2.3080244099999998</v>
      </c>
      <c r="N71" s="151">
        <v>5.9112776499999997</v>
      </c>
      <c r="O71" s="151">
        <v>1.18028986</v>
      </c>
      <c r="P71" s="151">
        <v>2.0283510000000001E-2</v>
      </c>
      <c r="Q71" s="151">
        <v>1.1999009999999999E-2</v>
      </c>
      <c r="R71" s="151">
        <v>0.15571599999999999</v>
      </c>
      <c r="S71" s="151">
        <v>0.18177056</v>
      </c>
      <c r="T71" s="151">
        <v>3.0822579999999999E-2</v>
      </c>
      <c r="U71" s="151">
        <v>4.0267925199999999</v>
      </c>
      <c r="V71" s="151">
        <v>0</v>
      </c>
      <c r="W71" s="151">
        <v>0.84381079000000003</v>
      </c>
      <c r="X71" s="151">
        <v>0.30480168000000002</v>
      </c>
      <c r="Y71" s="151">
        <v>4.5357479999999999E-2</v>
      </c>
      <c r="Z71" s="151">
        <v>5.0703750599999999</v>
      </c>
      <c r="AA71" s="151">
        <v>0</v>
      </c>
      <c r="AB71" s="151">
        <v>0.67335968999999996</v>
      </c>
      <c r="AC71" s="151">
        <v>0</v>
      </c>
      <c r="AD71" s="151">
        <v>7.8097341299999998</v>
      </c>
      <c r="AE71" s="151">
        <v>2.9304386</v>
      </c>
      <c r="AF71" s="151">
        <v>0</v>
      </c>
      <c r="AG71" s="151">
        <v>0</v>
      </c>
      <c r="AH71" s="151">
        <v>0.50095197999999996</v>
      </c>
      <c r="AI71" s="151">
        <v>8.6025181199999992</v>
      </c>
      <c r="AJ71" s="151">
        <v>8.6020819999999998E-2</v>
      </c>
      <c r="AK71" s="151">
        <v>0.73292095999999995</v>
      </c>
      <c r="AL71" s="151">
        <v>13.860862900000001</v>
      </c>
      <c r="AM71" s="151">
        <v>0.29659573</v>
      </c>
      <c r="AN71" s="151">
        <v>29.665964899999999</v>
      </c>
      <c r="AO71" s="151">
        <v>99.446490299999994</v>
      </c>
      <c r="AP71" s="151">
        <v>5.1730434799999996</v>
      </c>
      <c r="AQ71" s="151">
        <v>0.2904352</v>
      </c>
      <c r="AR71" s="151">
        <v>0.37189930999999998</v>
      </c>
      <c r="AS71" s="151">
        <v>0.51667695999999996</v>
      </c>
      <c r="AT71" s="151">
        <v>1.3115320399999999</v>
      </c>
      <c r="AU71" s="151">
        <v>0</v>
      </c>
      <c r="AV71" s="151">
        <v>7.0374519999999996E-2</v>
      </c>
      <c r="AW71" s="151">
        <v>0.1023669</v>
      </c>
      <c r="AX71" s="151">
        <v>0.18410412000000001</v>
      </c>
      <c r="AY71" s="151">
        <v>0.1716926</v>
      </c>
      <c r="AZ71" s="151">
        <v>3.0233409999999999E-2</v>
      </c>
      <c r="BA71" s="151">
        <v>2.3225019999999999E-2</v>
      </c>
      <c r="BB71" s="151">
        <v>0.15208162</v>
      </c>
      <c r="BC71" s="151">
        <v>7.9828380000000004E-2</v>
      </c>
      <c r="BD71" s="151">
        <v>2.7395880000000001E-2</v>
      </c>
      <c r="BE71" s="151">
        <v>0.12417696</v>
      </c>
      <c r="BF71" s="151">
        <v>0.11422387000000001</v>
      </c>
      <c r="BG71" s="151">
        <v>0.18405758999999999</v>
      </c>
      <c r="BH71" s="151">
        <v>0.28482189000000002</v>
      </c>
      <c r="BI71" s="151">
        <v>0.43929748000000002</v>
      </c>
      <c r="BJ71" s="151">
        <v>0.10235584</v>
      </c>
      <c r="BK71" s="151">
        <v>0.11417315</v>
      </c>
      <c r="BL71" s="151">
        <v>0.12269375</v>
      </c>
      <c r="BM71" s="151">
        <v>7.5988559999999997E-2</v>
      </c>
      <c r="BN71" s="151">
        <v>4.6769603399999999</v>
      </c>
      <c r="BO71" s="151">
        <v>57.822681199999998</v>
      </c>
      <c r="BP71" s="151">
        <v>0.316170862</v>
      </c>
      <c r="BQ71" s="6"/>
    </row>
    <row r="72" spans="1:69">
      <c r="A72" s="179">
        <v>13104</v>
      </c>
      <c r="B72" s="149" t="s">
        <v>1695</v>
      </c>
      <c r="E72" t="s">
        <v>1686</v>
      </c>
      <c r="F72" s="150">
        <v>109</v>
      </c>
      <c r="G72" s="149" t="s">
        <v>1695</v>
      </c>
      <c r="J72" s="151">
        <v>87.299323200000003</v>
      </c>
      <c r="K72" s="151">
        <v>131.507383</v>
      </c>
      <c r="L72" s="151">
        <v>2.7295912900000001</v>
      </c>
      <c r="M72" s="151">
        <v>5.1136239100000003</v>
      </c>
      <c r="N72" s="151">
        <v>6.6082756600000003</v>
      </c>
      <c r="O72" s="151">
        <v>2.38598898</v>
      </c>
      <c r="P72" s="151">
        <v>4.1259339999999999E-2</v>
      </c>
      <c r="Q72" s="151">
        <v>3.7141880000000002E-2</v>
      </c>
      <c r="R72" s="151">
        <v>0.35326616999999999</v>
      </c>
      <c r="S72" s="151">
        <v>0.44152965</v>
      </c>
      <c r="T72" s="151">
        <v>6.2932269999999998E-2</v>
      </c>
      <c r="U72" s="151">
        <v>10.4612813</v>
      </c>
      <c r="V72" s="151">
        <v>0</v>
      </c>
      <c r="W72" s="151">
        <v>1.1389041799999999</v>
      </c>
      <c r="X72" s="151">
        <v>1.9247865200000001</v>
      </c>
      <c r="Y72" s="151">
        <v>0.28235578</v>
      </c>
      <c r="Z72" s="151">
        <v>1.51496648</v>
      </c>
      <c r="AA72" s="151">
        <v>0</v>
      </c>
      <c r="AB72" s="151">
        <v>2.4831785200000001</v>
      </c>
      <c r="AC72" s="151">
        <v>1.028828E-2</v>
      </c>
      <c r="AD72" s="151">
        <v>27.516230199999999</v>
      </c>
      <c r="AE72" s="151">
        <v>8.4339527299999997</v>
      </c>
      <c r="AF72" s="151">
        <v>8.5406250000000003E-2</v>
      </c>
      <c r="AG72" s="151">
        <v>3.8327343800000002</v>
      </c>
      <c r="AH72" s="151">
        <v>6.9588719899999996</v>
      </c>
      <c r="AI72" s="151">
        <v>31.904351599999998</v>
      </c>
      <c r="AJ72" s="151">
        <v>0.15186949</v>
      </c>
      <c r="AK72" s="151">
        <v>1.3063699200000001</v>
      </c>
      <c r="AL72" s="151">
        <v>27.0690086</v>
      </c>
      <c r="AM72" s="151">
        <v>0.51017926000000002</v>
      </c>
      <c r="AN72" s="151">
        <v>44.703408400000001</v>
      </c>
      <c r="AO72" s="151">
        <v>168.590003</v>
      </c>
      <c r="AP72" s="151">
        <v>1.0065629300000001</v>
      </c>
      <c r="AQ72" s="151">
        <v>0.37531683999999998</v>
      </c>
      <c r="AR72" s="151">
        <v>0.32688176000000002</v>
      </c>
      <c r="AS72" s="151">
        <v>3.1939729699999999</v>
      </c>
      <c r="AT72" s="151">
        <v>0.85564468999999999</v>
      </c>
      <c r="AU72" s="151">
        <v>0</v>
      </c>
      <c r="AV72" s="151">
        <v>7.2250170000000002E-2</v>
      </c>
      <c r="AW72" s="151">
        <v>9.0298359999999994E-2</v>
      </c>
      <c r="AX72" s="151">
        <v>0.19347866</v>
      </c>
      <c r="AY72" s="151">
        <v>0.15843455000000001</v>
      </c>
      <c r="AZ72" s="151">
        <v>3.108897E-2</v>
      </c>
      <c r="BA72" s="151">
        <v>1.8078199999999999E-2</v>
      </c>
      <c r="BB72" s="151">
        <v>0.14886821</v>
      </c>
      <c r="BC72" s="151">
        <v>7.8043989999999994E-2</v>
      </c>
      <c r="BD72" s="151">
        <v>2.653523E-2</v>
      </c>
      <c r="BE72" s="151">
        <v>0.10938452999999999</v>
      </c>
      <c r="BF72" s="151">
        <v>0.12261656999999999</v>
      </c>
      <c r="BG72" s="151">
        <v>0.17278637999999999</v>
      </c>
      <c r="BH72" s="151">
        <v>0.34676269999999998</v>
      </c>
      <c r="BI72" s="151">
        <v>0.49786195999999999</v>
      </c>
      <c r="BJ72" s="151">
        <v>0.10592213</v>
      </c>
      <c r="BK72" s="151">
        <v>0.10703815</v>
      </c>
      <c r="BL72" s="151">
        <v>0.13488099000000001</v>
      </c>
      <c r="BM72" s="151">
        <v>7.98933E-2</v>
      </c>
      <c r="BN72" s="151">
        <v>6.2780859400000004</v>
      </c>
      <c r="BO72" s="151">
        <v>76.5235859</v>
      </c>
      <c r="BP72" s="151">
        <v>0.67841796899999995</v>
      </c>
      <c r="BQ72" s="6"/>
    </row>
    <row r="73" spans="1:69">
      <c r="A73" s="179">
        <v>13105</v>
      </c>
      <c r="B73" s="149" t="s">
        <v>1696</v>
      </c>
      <c r="E73" t="s">
        <v>1686</v>
      </c>
      <c r="F73" s="150">
        <v>110</v>
      </c>
      <c r="G73" s="149" t="s">
        <v>1696</v>
      </c>
      <c r="J73" s="151">
        <v>58.396567500000003</v>
      </c>
      <c r="K73" s="151">
        <v>113.575446</v>
      </c>
      <c r="L73" s="151">
        <v>2.9214454600000002</v>
      </c>
      <c r="M73" s="151">
        <v>2.2783485899999998</v>
      </c>
      <c r="N73" s="151">
        <v>6.4578871099999997</v>
      </c>
      <c r="O73" s="151">
        <v>0.49104500000000001</v>
      </c>
      <c r="P73" s="151">
        <v>1.86657E-2</v>
      </c>
      <c r="Q73" s="151">
        <v>1.738373E-2</v>
      </c>
      <c r="R73" s="151">
        <v>0.19858798999999999</v>
      </c>
      <c r="S73" s="151">
        <v>2.0946759999999998E-2</v>
      </c>
      <c r="T73" s="151">
        <v>3.8327689999999998E-2</v>
      </c>
      <c r="U73" s="151">
        <v>5.6230644500000002</v>
      </c>
      <c r="V73" s="151">
        <v>0</v>
      </c>
      <c r="W73" s="151">
        <v>0.84381079000000003</v>
      </c>
      <c r="X73" s="151">
        <v>0.10855835</v>
      </c>
      <c r="Y73" s="151">
        <v>6.6293290000000005E-2</v>
      </c>
      <c r="Z73" s="151">
        <v>4.2758289100000004</v>
      </c>
      <c r="AA73" s="151">
        <v>0</v>
      </c>
      <c r="AB73" s="151">
        <v>0.77195999000000004</v>
      </c>
      <c r="AC73" s="151">
        <v>0</v>
      </c>
      <c r="AD73" s="151">
        <v>9.3796807399999995</v>
      </c>
      <c r="AE73" s="151">
        <v>2.9304386</v>
      </c>
      <c r="AF73" s="151">
        <v>0</v>
      </c>
      <c r="AG73" s="151">
        <v>0</v>
      </c>
      <c r="AH73" s="151">
        <v>0.50095197999999996</v>
      </c>
      <c r="AI73" s="151">
        <v>8.7297795199999992</v>
      </c>
      <c r="AJ73" s="151">
        <v>7.3825020000000005E-2</v>
      </c>
      <c r="AK73" s="151">
        <v>0.65061603000000001</v>
      </c>
      <c r="AL73" s="151">
        <v>10.371548900000001</v>
      </c>
      <c r="AM73" s="151">
        <v>0.20278185000000001</v>
      </c>
      <c r="AN73" s="151">
        <v>33.864758399999999</v>
      </c>
      <c r="AO73" s="151">
        <v>69.496647600000003</v>
      </c>
      <c r="AP73" s="151">
        <v>0.37321892000000001</v>
      </c>
      <c r="AQ73" s="151">
        <v>0.33463303</v>
      </c>
      <c r="AR73" s="151">
        <v>0.34796719999999998</v>
      </c>
      <c r="AS73" s="151">
        <v>0.51284783</v>
      </c>
      <c r="AT73" s="151">
        <v>1.26079596</v>
      </c>
      <c r="AU73" s="151">
        <v>0</v>
      </c>
      <c r="AV73" s="151">
        <v>4.3218900000000001E-3</v>
      </c>
      <c r="AW73" s="151">
        <v>7.5957300000000002E-3</v>
      </c>
      <c r="AX73" s="151">
        <v>1.179291E-2</v>
      </c>
      <c r="AY73" s="151">
        <v>8.9542300000000005E-3</v>
      </c>
      <c r="AZ73" s="151">
        <v>2.4721600000000002E-3</v>
      </c>
      <c r="BA73" s="151">
        <v>3.12204E-3</v>
      </c>
      <c r="BB73" s="151">
        <v>8.4889400000000004E-3</v>
      </c>
      <c r="BC73" s="151">
        <v>7.0747500000000003E-3</v>
      </c>
      <c r="BD73" s="151">
        <v>2.5064800000000002E-3</v>
      </c>
      <c r="BE73" s="151">
        <v>9.3028199999999998E-3</v>
      </c>
      <c r="BF73" s="151">
        <v>8.9225799999999994E-3</v>
      </c>
      <c r="BG73" s="151">
        <v>2.131922E-2</v>
      </c>
      <c r="BH73" s="151">
        <v>2.6355070000000001E-2</v>
      </c>
      <c r="BI73" s="151">
        <v>3.7237989999999999E-2</v>
      </c>
      <c r="BJ73" s="151">
        <v>1.045652E-2</v>
      </c>
      <c r="BK73" s="151">
        <v>8.8718500000000006E-3</v>
      </c>
      <c r="BL73" s="151">
        <v>7.8195999999999995E-3</v>
      </c>
      <c r="BM73" s="151">
        <v>6.10679E-3</v>
      </c>
      <c r="BN73" s="151">
        <v>4.0604691099999997</v>
      </c>
      <c r="BO73" s="151">
        <v>55.908112099999997</v>
      </c>
      <c r="BP73" s="151">
        <v>0.316170862</v>
      </c>
      <c r="BQ73" s="6"/>
    </row>
    <row r="74" spans="1:69">
      <c r="A74" s="179">
        <v>21302</v>
      </c>
      <c r="B74" s="149" t="s">
        <v>1697</v>
      </c>
      <c r="E74" t="s">
        <v>1686</v>
      </c>
      <c r="F74" s="150">
        <v>111</v>
      </c>
      <c r="G74" s="149" t="s">
        <v>1697</v>
      </c>
      <c r="J74" s="151">
        <v>202.14942500000001</v>
      </c>
      <c r="K74" s="151">
        <v>173.29183900000001</v>
      </c>
      <c r="L74" s="151">
        <v>7.1130651299999998</v>
      </c>
      <c r="M74" s="151">
        <v>12.0077011</v>
      </c>
      <c r="N74" s="151">
        <v>13.2333333</v>
      </c>
      <c r="O74" s="151">
        <v>6.8414176199999996</v>
      </c>
      <c r="P74" s="151">
        <v>0.29359692999999998</v>
      </c>
      <c r="Q74" s="151">
        <v>0.41881791000000002</v>
      </c>
      <c r="R74" s="151">
        <v>2.7165530699999998</v>
      </c>
      <c r="S74" s="151">
        <v>0.46863601999999999</v>
      </c>
      <c r="T74" s="151">
        <v>0.29146359999999999</v>
      </c>
      <c r="U74" s="151">
        <v>98.274367799999993</v>
      </c>
      <c r="V74" s="151">
        <v>0</v>
      </c>
      <c r="W74" s="151">
        <v>55.448516499999997</v>
      </c>
      <c r="X74" s="151">
        <v>2.8586973200000001</v>
      </c>
      <c r="Y74" s="151">
        <v>3.12867586</v>
      </c>
      <c r="Z74" s="151">
        <v>177.744123</v>
      </c>
      <c r="AA74" s="151">
        <v>0</v>
      </c>
      <c r="AB74" s="151">
        <v>782.87429899999995</v>
      </c>
      <c r="AC74" s="151">
        <v>0</v>
      </c>
      <c r="AD74" s="151">
        <v>9398.9437899999994</v>
      </c>
      <c r="AE74" s="151">
        <v>6870.3486199999998</v>
      </c>
      <c r="AF74" s="151">
        <v>0</v>
      </c>
      <c r="AG74" s="151">
        <v>0</v>
      </c>
      <c r="AH74" s="151">
        <v>180.95427699999999</v>
      </c>
      <c r="AI74" s="151">
        <v>370.038276</v>
      </c>
      <c r="AJ74" s="151">
        <v>0.51114943000000002</v>
      </c>
      <c r="AK74" s="151">
        <v>8.0729118799999995</v>
      </c>
      <c r="AL74" s="151">
        <v>107.389234</v>
      </c>
      <c r="AM74" s="151">
        <v>1.21898851</v>
      </c>
      <c r="AN74" s="151">
        <v>79.808199200000004</v>
      </c>
      <c r="AO74" s="151">
        <v>1285.2867000000001</v>
      </c>
      <c r="AP74" s="151">
        <v>1.5224137900000001</v>
      </c>
      <c r="AQ74" s="151">
        <v>1.3738314199999999</v>
      </c>
      <c r="AR74" s="151">
        <v>2.2978927200000001</v>
      </c>
      <c r="AS74" s="151">
        <v>2.45015326</v>
      </c>
      <c r="AT74" s="151">
        <v>7.0621072800000002</v>
      </c>
      <c r="AU74" s="151">
        <v>0</v>
      </c>
      <c r="AV74" s="151">
        <v>0.19308046000000001</v>
      </c>
      <c r="AW74" s="151">
        <v>0.21329885000000001</v>
      </c>
      <c r="AX74" s="151">
        <v>0.43257854000000001</v>
      </c>
      <c r="AY74" s="151">
        <v>0.25714176</v>
      </c>
      <c r="AZ74" s="151">
        <v>0.10589655000000001</v>
      </c>
      <c r="BA74" s="151">
        <v>7.0049810000000004E-2</v>
      </c>
      <c r="BB74" s="151">
        <v>0.26946360000000003</v>
      </c>
      <c r="BC74" s="151">
        <v>0.26742146</v>
      </c>
      <c r="BD74" s="151">
        <v>6.2842910000000002E-2</v>
      </c>
      <c r="BE74" s="151">
        <v>0.27827969000000002</v>
      </c>
      <c r="BF74" s="151">
        <v>0.53541379</v>
      </c>
      <c r="BG74" s="151">
        <v>0.43352107000000001</v>
      </c>
      <c r="BH74" s="151">
        <v>0.55730650999999998</v>
      </c>
      <c r="BI74" s="151">
        <v>1.03814176</v>
      </c>
      <c r="BJ74" s="151">
        <v>0.29194252999999998</v>
      </c>
      <c r="BK74" s="151">
        <v>0.29100383000000002</v>
      </c>
      <c r="BL74" s="151">
        <v>0.26910345000000002</v>
      </c>
      <c r="BM74" s="151">
        <v>0.22129884999999999</v>
      </c>
      <c r="BN74" s="151">
        <v>21.923678200000001</v>
      </c>
      <c r="BO74" s="151">
        <v>21.944329499999998</v>
      </c>
      <c r="BP74" s="151">
        <v>3.233716475</v>
      </c>
      <c r="BQ74" s="6"/>
    </row>
    <row r="75" spans="1:69">
      <c r="A75" s="179">
        <v>21303</v>
      </c>
      <c r="B75" s="149" t="s">
        <v>213</v>
      </c>
      <c r="E75" t="s">
        <v>1686</v>
      </c>
      <c r="F75" s="150">
        <v>112</v>
      </c>
      <c r="G75" s="149" t="s">
        <v>213</v>
      </c>
      <c r="J75" s="151">
        <v>161.183908</v>
      </c>
      <c r="K75" s="151">
        <v>183.442184</v>
      </c>
      <c r="L75" s="151">
        <v>5.6868582400000003</v>
      </c>
      <c r="M75" s="151">
        <v>11.158046000000001</v>
      </c>
      <c r="N75" s="151">
        <v>7.51333333</v>
      </c>
      <c r="O75" s="151">
        <v>5.17245211</v>
      </c>
      <c r="P75" s="151">
        <v>6.0093489999999999E-2</v>
      </c>
      <c r="Q75" s="151">
        <v>0.18603515000000001</v>
      </c>
      <c r="R75" s="151">
        <v>1.7580358199999999</v>
      </c>
      <c r="S75" s="151">
        <v>0.40718774000000002</v>
      </c>
      <c r="T75" s="151">
        <v>0.35291188000000001</v>
      </c>
      <c r="U75" s="151">
        <v>148.82885099999999</v>
      </c>
      <c r="V75" s="151">
        <v>0</v>
      </c>
      <c r="W75" s="151">
        <v>37.4421082</v>
      </c>
      <c r="X75" s="151">
        <v>0.79524903999999996</v>
      </c>
      <c r="Y75" s="151">
        <v>2.0210896599999999</v>
      </c>
      <c r="Z75" s="151">
        <v>486.09976499999999</v>
      </c>
      <c r="AA75" s="151">
        <v>0</v>
      </c>
      <c r="AB75" s="151">
        <v>703.416831</v>
      </c>
      <c r="AC75" s="151">
        <v>0</v>
      </c>
      <c r="AD75" s="151">
        <v>8445.3623100000004</v>
      </c>
      <c r="AE75" s="151">
        <v>5069.9250599999996</v>
      </c>
      <c r="AF75" s="151">
        <v>0</v>
      </c>
      <c r="AG75" s="151">
        <v>0</v>
      </c>
      <c r="AH75" s="151">
        <v>25.0969111</v>
      </c>
      <c r="AI75" s="151">
        <v>141.435517</v>
      </c>
      <c r="AJ75" s="151">
        <v>0.37459769999999998</v>
      </c>
      <c r="AK75" s="151">
        <v>3.7639463599999998</v>
      </c>
      <c r="AL75" s="151">
        <v>70.444406099999995</v>
      </c>
      <c r="AM75" s="151">
        <v>1.8349885100000001</v>
      </c>
      <c r="AN75" s="151">
        <v>93.630268200000003</v>
      </c>
      <c r="AO75" s="151">
        <v>1059.21774</v>
      </c>
      <c r="AP75" s="151">
        <v>3.3279310299999998</v>
      </c>
      <c r="AQ75" s="151">
        <v>1.6317624500000001</v>
      </c>
      <c r="AR75" s="151">
        <v>1.9185823799999999</v>
      </c>
      <c r="AS75" s="151">
        <v>2.4349808400000001</v>
      </c>
      <c r="AT75" s="151">
        <v>6.47038314</v>
      </c>
      <c r="AU75" s="151">
        <v>0</v>
      </c>
      <c r="AV75" s="151">
        <v>8.8390800000000005E-2</v>
      </c>
      <c r="AW75" s="151">
        <v>0.17081609</v>
      </c>
      <c r="AX75" s="151">
        <v>0.32788888999999999</v>
      </c>
      <c r="AY75" s="151">
        <v>0.18734866</v>
      </c>
      <c r="AZ75" s="151">
        <v>5.5827590000000003E-2</v>
      </c>
      <c r="BA75" s="151">
        <v>4.1222219999999997E-2</v>
      </c>
      <c r="BB75" s="151">
        <v>0.21332567</v>
      </c>
      <c r="BC75" s="151">
        <v>0.18549041999999999</v>
      </c>
      <c r="BD75" s="151">
        <v>5.9808430000000003E-2</v>
      </c>
      <c r="BE75" s="151">
        <v>0.22669349</v>
      </c>
      <c r="BF75" s="151">
        <v>0.26837930999999998</v>
      </c>
      <c r="BG75" s="151">
        <v>0.30607279999999998</v>
      </c>
      <c r="BH75" s="151">
        <v>0.41468581999999998</v>
      </c>
      <c r="BI75" s="151">
        <v>0.72559004000000005</v>
      </c>
      <c r="BJ75" s="151">
        <v>0.2358046</v>
      </c>
      <c r="BK75" s="151">
        <v>0.18479693</v>
      </c>
      <c r="BL75" s="151">
        <v>0.17655172</v>
      </c>
      <c r="BM75" s="151">
        <v>0.15454023</v>
      </c>
      <c r="BN75" s="151">
        <v>375.44092000000001</v>
      </c>
      <c r="BO75" s="151">
        <v>24.993984699999999</v>
      </c>
      <c r="BP75" s="151">
        <v>3.233716475</v>
      </c>
      <c r="BQ75" s="6"/>
    </row>
    <row r="76" spans="1:69">
      <c r="A76" s="179">
        <v>21304</v>
      </c>
      <c r="B76" s="149" t="s">
        <v>217</v>
      </c>
      <c r="E76" t="s">
        <v>1686</v>
      </c>
      <c r="F76" s="150">
        <v>113</v>
      </c>
      <c r="G76" s="149" t="s">
        <v>217</v>
      </c>
      <c r="J76" s="151">
        <v>162.70114899999999</v>
      </c>
      <c r="K76" s="151">
        <v>184.07942499999999</v>
      </c>
      <c r="L76" s="151">
        <v>4.5792720300000003</v>
      </c>
      <c r="M76" s="151">
        <v>10.8697701</v>
      </c>
      <c r="N76" s="151">
        <v>9.8043678199999995</v>
      </c>
      <c r="O76" s="151">
        <v>4.5352107300000002</v>
      </c>
      <c r="P76" s="151">
        <v>4.7803829999999999E-2</v>
      </c>
      <c r="Q76" s="151">
        <v>0.55574895000000002</v>
      </c>
      <c r="R76" s="151">
        <v>0.79951857999999998</v>
      </c>
      <c r="S76" s="151">
        <v>0.72671876999999996</v>
      </c>
      <c r="T76" s="151">
        <v>0.4020705</v>
      </c>
      <c r="U76" s="151">
        <v>108.682644</v>
      </c>
      <c r="V76" s="151">
        <v>0</v>
      </c>
      <c r="W76" s="151">
        <v>59.233432899999997</v>
      </c>
      <c r="X76" s="151">
        <v>2.1607662799999998</v>
      </c>
      <c r="Y76" s="151">
        <v>6.3848279999999993E-2</v>
      </c>
      <c r="Z76" s="151">
        <v>359.04581999999999</v>
      </c>
      <c r="AA76" s="151">
        <v>0</v>
      </c>
      <c r="AB76" s="151">
        <v>223.785045</v>
      </c>
      <c r="AC76" s="151">
        <v>0</v>
      </c>
      <c r="AD76" s="151">
        <v>2680.1619999999998</v>
      </c>
      <c r="AE76" s="151">
        <v>3904.63634</v>
      </c>
      <c r="AF76" s="151">
        <v>0</v>
      </c>
      <c r="AG76" s="151">
        <v>0</v>
      </c>
      <c r="AH76" s="151">
        <v>318.74179400000003</v>
      </c>
      <c r="AI76" s="151">
        <v>182.65896599999999</v>
      </c>
      <c r="AJ76" s="151">
        <v>0.31390804999999999</v>
      </c>
      <c r="AK76" s="151">
        <v>3.9156705000000001</v>
      </c>
      <c r="AL76" s="151">
        <v>285.89268199999998</v>
      </c>
      <c r="AM76" s="151">
        <v>2.09291954</v>
      </c>
      <c r="AN76" s="151">
        <v>66.319923399999993</v>
      </c>
      <c r="AO76" s="151">
        <v>409.777739</v>
      </c>
      <c r="AP76" s="151">
        <v>9.5182758599999993</v>
      </c>
      <c r="AQ76" s="151">
        <v>0.87314175999999999</v>
      </c>
      <c r="AR76" s="151">
        <v>1.7972030699999999</v>
      </c>
      <c r="AS76" s="151">
        <v>2.45015326</v>
      </c>
      <c r="AT76" s="151">
        <v>6.3186590000000002</v>
      </c>
      <c r="AU76" s="151">
        <v>0</v>
      </c>
      <c r="AV76" s="151">
        <v>7.0183910000000002E-2</v>
      </c>
      <c r="AW76" s="151">
        <v>0.11012644000000001</v>
      </c>
      <c r="AX76" s="151">
        <v>0.22926820000000001</v>
      </c>
      <c r="AY76" s="151">
        <v>0.15852106999999999</v>
      </c>
      <c r="AZ76" s="151">
        <v>3.4586209999999999E-2</v>
      </c>
      <c r="BA76" s="151">
        <v>3.2118769999999998E-2</v>
      </c>
      <c r="BB76" s="151">
        <v>0.13746359999999999</v>
      </c>
      <c r="BC76" s="151">
        <v>0.12783525000000001</v>
      </c>
      <c r="BD76" s="151">
        <v>5.5256699999999999E-2</v>
      </c>
      <c r="BE76" s="151">
        <v>0.12959003999999999</v>
      </c>
      <c r="BF76" s="151">
        <v>0.22437931</v>
      </c>
      <c r="BG76" s="151">
        <v>0.25296934999999998</v>
      </c>
      <c r="BH76" s="151">
        <v>0.33427203</v>
      </c>
      <c r="BI76" s="151">
        <v>0.55565900000000001</v>
      </c>
      <c r="BJ76" s="151">
        <v>0.18725286999999999</v>
      </c>
      <c r="BK76" s="151">
        <v>0.14686589999999999</v>
      </c>
      <c r="BL76" s="151">
        <v>0.14317241</v>
      </c>
      <c r="BM76" s="151">
        <v>0.10750575</v>
      </c>
      <c r="BN76" s="151">
        <v>58.307126400000001</v>
      </c>
      <c r="BO76" s="151">
        <v>81.981570899999994</v>
      </c>
      <c r="BP76" s="151">
        <v>3.233716475</v>
      </c>
      <c r="BQ76" s="6"/>
    </row>
    <row r="77" spans="1:69">
      <c r="A77" s="179">
        <v>21305</v>
      </c>
      <c r="B77" s="149" t="s">
        <v>221</v>
      </c>
      <c r="E77" t="s">
        <v>1686</v>
      </c>
      <c r="F77" s="150">
        <v>114</v>
      </c>
      <c r="G77" s="149" t="s">
        <v>221</v>
      </c>
      <c r="J77" s="151">
        <v>190.011494</v>
      </c>
      <c r="K77" s="151">
        <v>176.918046</v>
      </c>
      <c r="L77" s="151">
        <v>3.8965134099999998</v>
      </c>
      <c r="M77" s="151">
        <v>10.975977</v>
      </c>
      <c r="N77" s="151">
        <v>15.7367816</v>
      </c>
      <c r="O77" s="151">
        <v>6.8565900400000004</v>
      </c>
      <c r="P77" s="151">
        <v>0.19527969000000001</v>
      </c>
      <c r="Q77" s="151">
        <v>0.61052136000000001</v>
      </c>
      <c r="R77" s="151">
        <v>1.3472427199999999</v>
      </c>
      <c r="S77" s="151">
        <v>0.13681533000000001</v>
      </c>
      <c r="T77" s="151">
        <v>0.23001532999999999</v>
      </c>
      <c r="U77" s="151">
        <v>46.976436800000002</v>
      </c>
      <c r="V77" s="151">
        <v>0</v>
      </c>
      <c r="W77" s="151">
        <v>37.370694700000001</v>
      </c>
      <c r="X77" s="151">
        <v>0.44628351999999999</v>
      </c>
      <c r="Y77" s="151">
        <v>6.3848279999999993E-2</v>
      </c>
      <c r="Z77" s="151">
        <v>22.138730299999999</v>
      </c>
      <c r="AA77" s="151">
        <v>0</v>
      </c>
      <c r="AB77" s="151">
        <v>262.024362</v>
      </c>
      <c r="AC77" s="151">
        <v>0</v>
      </c>
      <c r="AD77" s="151">
        <v>3139.45372</v>
      </c>
      <c r="AE77" s="151">
        <v>17.716092</v>
      </c>
      <c r="AF77" s="151">
        <v>0</v>
      </c>
      <c r="AG77" s="151">
        <v>0</v>
      </c>
      <c r="AH77" s="151">
        <v>2.4866356299999999</v>
      </c>
      <c r="AI77" s="151">
        <v>176.33206899999999</v>
      </c>
      <c r="AJ77" s="151">
        <v>0.31390804999999999</v>
      </c>
      <c r="AK77" s="151">
        <v>3.9156705000000001</v>
      </c>
      <c r="AL77" s="151">
        <v>43.7713027</v>
      </c>
      <c r="AM77" s="151">
        <v>0.37843677999999997</v>
      </c>
      <c r="AN77" s="151">
        <v>74.588888900000001</v>
      </c>
      <c r="AO77" s="151">
        <v>440.50187699999998</v>
      </c>
      <c r="AP77" s="151">
        <v>1.5224137900000001</v>
      </c>
      <c r="AQ77" s="151">
        <v>1.11590038</v>
      </c>
      <c r="AR77" s="151">
        <v>1.6454789299999999</v>
      </c>
      <c r="AS77" s="151">
        <v>2.3742911900000001</v>
      </c>
      <c r="AT77" s="151">
        <v>6.0152107299999997</v>
      </c>
      <c r="AU77" s="151">
        <v>0</v>
      </c>
      <c r="AV77" s="151">
        <v>1.7080459999999999E-2</v>
      </c>
      <c r="AW77" s="151">
        <v>3.122989E-2</v>
      </c>
      <c r="AX77" s="151">
        <v>4.5681989999999999E-2</v>
      </c>
      <c r="AY77" s="151">
        <v>3.562452E-2</v>
      </c>
      <c r="AZ77" s="151">
        <v>1.334483E-2</v>
      </c>
      <c r="BA77" s="151">
        <v>1.391188E-2</v>
      </c>
      <c r="BB77" s="151">
        <v>3.8842910000000001E-2</v>
      </c>
      <c r="BC77" s="151">
        <v>3.224904E-2</v>
      </c>
      <c r="BD77" s="151">
        <v>9.7394600000000001E-3</v>
      </c>
      <c r="BE77" s="151">
        <v>3.7038309999999998E-2</v>
      </c>
      <c r="BF77" s="151">
        <v>4.8379310000000002E-2</v>
      </c>
      <c r="BG77" s="151">
        <v>0.13007279999999999</v>
      </c>
      <c r="BH77" s="151">
        <v>0.11427203</v>
      </c>
      <c r="BI77" s="151">
        <v>0.24614175999999999</v>
      </c>
      <c r="BJ77" s="151">
        <v>5.070115E-2</v>
      </c>
      <c r="BK77" s="151">
        <v>3.1555560000000003E-2</v>
      </c>
      <c r="BL77" s="151">
        <v>3.3931030000000001E-2</v>
      </c>
      <c r="BM77" s="151">
        <v>2.557471E-2</v>
      </c>
      <c r="BN77" s="151">
        <v>21.923678200000001</v>
      </c>
      <c r="BO77" s="151">
        <v>9.8063984699999995</v>
      </c>
      <c r="BP77" s="151">
        <v>3.233716475</v>
      </c>
      <c r="BQ77" s="6"/>
    </row>
    <row r="78" spans="1:69">
      <c r="A78" s="180">
        <v>21306</v>
      </c>
      <c r="B78" s="149" t="s">
        <v>1701</v>
      </c>
      <c r="E78" t="s">
        <v>1686</v>
      </c>
      <c r="F78" s="150">
        <v>115</v>
      </c>
      <c r="G78" s="149" t="s">
        <v>1701</v>
      </c>
      <c r="J78" s="151">
        <v>164.218391</v>
      </c>
      <c r="K78" s="151">
        <v>181.667011</v>
      </c>
      <c r="L78" s="151">
        <v>4.7765134099999997</v>
      </c>
      <c r="M78" s="151">
        <v>11.2794253</v>
      </c>
      <c r="N78" s="151">
        <v>7.4678160900000004</v>
      </c>
      <c r="O78" s="151">
        <v>7.8731417600000002</v>
      </c>
      <c r="P78" s="151">
        <v>0.10925211</v>
      </c>
      <c r="Q78" s="151">
        <v>0.29557998000000002</v>
      </c>
      <c r="R78" s="151">
        <v>1.22400479</v>
      </c>
      <c r="S78" s="151">
        <v>0.13681533000000001</v>
      </c>
      <c r="T78" s="151">
        <v>0.34062221999999998</v>
      </c>
      <c r="U78" s="151">
        <v>59.087209199999997</v>
      </c>
      <c r="V78" s="151">
        <v>0</v>
      </c>
      <c r="W78" s="151">
        <v>55.009833399999998</v>
      </c>
      <c r="X78" s="151">
        <v>0.44628351999999999</v>
      </c>
      <c r="Y78" s="151">
        <v>6.3848279999999993E-2</v>
      </c>
      <c r="Z78" s="151">
        <v>22.138730299999999</v>
      </c>
      <c r="AA78" s="151">
        <v>0</v>
      </c>
      <c r="AB78" s="151">
        <v>260.593996</v>
      </c>
      <c r="AC78" s="151">
        <v>0</v>
      </c>
      <c r="AD78" s="151">
        <v>3127.1709500000002</v>
      </c>
      <c r="AE78" s="151">
        <v>17.716092</v>
      </c>
      <c r="AF78" s="151">
        <v>0</v>
      </c>
      <c r="AG78" s="151">
        <v>0</v>
      </c>
      <c r="AH78" s="151">
        <v>2.4866356299999999</v>
      </c>
      <c r="AI78" s="151">
        <v>156.48655199999999</v>
      </c>
      <c r="AJ78" s="151">
        <v>0.45045976999999998</v>
      </c>
      <c r="AK78" s="151">
        <v>5.3115325699999998</v>
      </c>
      <c r="AL78" s="151">
        <v>118.540958</v>
      </c>
      <c r="AM78" s="151">
        <v>0.13567815999999999</v>
      </c>
      <c r="AN78" s="151">
        <v>62.450957899999999</v>
      </c>
      <c r="AO78" s="151">
        <v>545.03980799999999</v>
      </c>
      <c r="AP78" s="151">
        <v>0.15689655</v>
      </c>
      <c r="AQ78" s="151">
        <v>1.08555556</v>
      </c>
      <c r="AR78" s="151">
        <v>1.6454789299999999</v>
      </c>
      <c r="AS78" s="151">
        <v>2.3742911900000001</v>
      </c>
      <c r="AT78" s="151">
        <v>6.0152107299999997</v>
      </c>
      <c r="AU78" s="151">
        <v>0</v>
      </c>
      <c r="AV78" s="151">
        <v>1.7080459999999999E-2</v>
      </c>
      <c r="AW78" s="151">
        <v>3.122989E-2</v>
      </c>
      <c r="AX78" s="151">
        <v>4.5681989999999999E-2</v>
      </c>
      <c r="AY78" s="151">
        <v>3.562452E-2</v>
      </c>
      <c r="AZ78" s="151">
        <v>1.334483E-2</v>
      </c>
      <c r="BA78" s="151">
        <v>1.391188E-2</v>
      </c>
      <c r="BB78" s="151">
        <v>3.8842910000000001E-2</v>
      </c>
      <c r="BC78" s="151">
        <v>3.224904E-2</v>
      </c>
      <c r="BD78" s="151">
        <v>9.7394600000000001E-3</v>
      </c>
      <c r="BE78" s="151">
        <v>3.7038309999999998E-2</v>
      </c>
      <c r="BF78" s="151">
        <v>4.8379310000000002E-2</v>
      </c>
      <c r="BG78" s="151">
        <v>0.13007279999999999</v>
      </c>
      <c r="BH78" s="151">
        <v>0.11427203</v>
      </c>
      <c r="BI78" s="151">
        <v>0.24614175999999999</v>
      </c>
      <c r="BJ78" s="151">
        <v>5.070115E-2</v>
      </c>
      <c r="BK78" s="151">
        <v>3.1555560000000003E-2</v>
      </c>
      <c r="BL78" s="151">
        <v>3.3931030000000001E-2</v>
      </c>
      <c r="BM78" s="151">
        <v>2.557471E-2</v>
      </c>
      <c r="BN78" s="151">
        <v>21.923678200000001</v>
      </c>
      <c r="BO78" s="151">
        <v>11.3236398</v>
      </c>
      <c r="BP78" s="151">
        <v>3.233716475</v>
      </c>
      <c r="BQ78" s="6"/>
    </row>
    <row r="79" spans="1:69">
      <c r="A79" s="179">
        <v>21307</v>
      </c>
      <c r="B79" s="149" t="s">
        <v>1702</v>
      </c>
      <c r="E79" t="s">
        <v>1686</v>
      </c>
      <c r="F79" s="150">
        <v>116</v>
      </c>
      <c r="G79" s="149" t="s">
        <v>1702</v>
      </c>
      <c r="J79" s="151">
        <v>168.770115</v>
      </c>
      <c r="K79" s="151">
        <v>182.57735600000001</v>
      </c>
      <c r="L79" s="151">
        <v>4.6854789300000004</v>
      </c>
      <c r="M79" s="151">
        <v>11.0670115</v>
      </c>
      <c r="N79" s="151">
        <v>10.836092000000001</v>
      </c>
      <c r="O79" s="151">
        <v>4.4138314200000002</v>
      </c>
      <c r="P79" s="151">
        <v>0.17070038000000001</v>
      </c>
      <c r="Q79" s="151">
        <v>0.39143169999999999</v>
      </c>
      <c r="R79" s="151">
        <v>1.3746289300000001</v>
      </c>
      <c r="S79" s="151">
        <v>0.57924291000000006</v>
      </c>
      <c r="T79" s="151">
        <v>0.36520153</v>
      </c>
      <c r="U79" s="151">
        <v>31.364023</v>
      </c>
      <c r="V79" s="151">
        <v>0</v>
      </c>
      <c r="W79" s="151">
        <v>44.318209699999997</v>
      </c>
      <c r="X79" s="151">
        <v>3.5718007699999998</v>
      </c>
      <c r="Y79" s="151">
        <v>6.3848279999999993E-2</v>
      </c>
      <c r="Z79" s="151">
        <v>369.03882700000003</v>
      </c>
      <c r="AA79" s="151">
        <v>0</v>
      </c>
      <c r="AB79" s="151">
        <v>213.51003299999999</v>
      </c>
      <c r="AC79" s="151">
        <v>0</v>
      </c>
      <c r="AD79" s="151">
        <v>2562.0584100000001</v>
      </c>
      <c r="AE79" s="151">
        <v>8073.6929300000002</v>
      </c>
      <c r="AF79" s="151">
        <v>0</v>
      </c>
      <c r="AG79" s="151">
        <v>0</v>
      </c>
      <c r="AH79" s="151">
        <v>61.9058621</v>
      </c>
      <c r="AI79" s="151">
        <v>74.676896600000006</v>
      </c>
      <c r="AJ79" s="151">
        <v>0.42011493999999999</v>
      </c>
      <c r="AK79" s="151">
        <v>3.9460153299999998</v>
      </c>
      <c r="AL79" s="151">
        <v>71.961647499999998</v>
      </c>
      <c r="AM79" s="151">
        <v>1.8653333299999999</v>
      </c>
      <c r="AN79" s="151">
        <v>177.07854399999999</v>
      </c>
      <c r="AO79" s="151">
        <v>787.63153299999999</v>
      </c>
      <c r="AP79" s="151">
        <v>2.2506896599999999</v>
      </c>
      <c r="AQ79" s="151">
        <v>0.64555556000000003</v>
      </c>
      <c r="AR79" s="151">
        <v>2.0551341000000001</v>
      </c>
      <c r="AS79" s="151">
        <v>2.4046360199999999</v>
      </c>
      <c r="AT79" s="151">
        <v>6.4855555599999999</v>
      </c>
      <c r="AU79" s="151">
        <v>0</v>
      </c>
      <c r="AV79" s="151">
        <v>0.12177011</v>
      </c>
      <c r="AW79" s="151">
        <v>0.36805747</v>
      </c>
      <c r="AX79" s="151">
        <v>0.61161303</v>
      </c>
      <c r="AY79" s="151">
        <v>0.34817625000000002</v>
      </c>
      <c r="AZ79" s="151">
        <v>7.7068970000000001E-2</v>
      </c>
      <c r="BA79" s="151">
        <v>6.8532570000000001E-2</v>
      </c>
      <c r="BB79" s="151">
        <v>0.44698083999999999</v>
      </c>
      <c r="BC79" s="151">
        <v>0.3205249</v>
      </c>
      <c r="BD79" s="151">
        <v>0.12201533000000001</v>
      </c>
      <c r="BE79" s="151">
        <v>0.40876245</v>
      </c>
      <c r="BF79" s="151">
        <v>0.40796552000000003</v>
      </c>
      <c r="BG79" s="151">
        <v>0.51393487000000004</v>
      </c>
      <c r="BH79" s="151">
        <v>0.86682375</v>
      </c>
      <c r="BI79" s="151">
        <v>1.1640728</v>
      </c>
      <c r="BJ79" s="151">
        <v>0.40270115000000001</v>
      </c>
      <c r="BK79" s="151">
        <v>0.36686590000000002</v>
      </c>
      <c r="BL79" s="151">
        <v>0.33131033999999998</v>
      </c>
      <c r="BM79" s="151">
        <v>0.24709195</v>
      </c>
      <c r="BN79" s="151">
        <v>52.769195400000001</v>
      </c>
      <c r="BO79" s="151">
        <v>64.836743299999995</v>
      </c>
      <c r="BP79" s="151">
        <v>3.233716475</v>
      </c>
      <c r="BQ79" s="6"/>
    </row>
    <row r="80" spans="1:69">
      <c r="A80" s="179">
        <v>21308</v>
      </c>
      <c r="B80" s="149" t="s">
        <v>1703</v>
      </c>
      <c r="E80" t="s">
        <v>1686</v>
      </c>
      <c r="F80" s="150">
        <v>117</v>
      </c>
      <c r="G80" s="149" t="s">
        <v>1703</v>
      </c>
      <c r="J80" s="151">
        <v>202.14942500000001</v>
      </c>
      <c r="K80" s="151">
        <v>168.90701100000001</v>
      </c>
      <c r="L80" s="151">
        <v>8.2661685800000004</v>
      </c>
      <c r="M80" s="151">
        <v>10.778735599999999</v>
      </c>
      <c r="N80" s="151">
        <v>14.507816099999999</v>
      </c>
      <c r="O80" s="151">
        <v>7.8276245199999996</v>
      </c>
      <c r="P80" s="151">
        <v>6.0093489999999999E-2</v>
      </c>
      <c r="Q80" s="151">
        <v>0.14495584</v>
      </c>
      <c r="R80" s="151">
        <v>1.07338065</v>
      </c>
      <c r="S80" s="151">
        <v>0.54237394999999999</v>
      </c>
      <c r="T80" s="151">
        <v>0.34062221999999998</v>
      </c>
      <c r="U80" s="151">
        <v>67.792988500000007</v>
      </c>
      <c r="V80" s="151">
        <v>0</v>
      </c>
      <c r="W80" s="151">
        <v>50.612801099999999</v>
      </c>
      <c r="X80" s="151">
        <v>0.44628351999999999</v>
      </c>
      <c r="Y80" s="151">
        <v>6.3848279999999993E-2</v>
      </c>
      <c r="Z80" s="151">
        <v>661.69117200000005</v>
      </c>
      <c r="AA80" s="151">
        <v>0</v>
      </c>
      <c r="AB80" s="151">
        <v>1192.89058</v>
      </c>
      <c r="AC80" s="151">
        <v>0</v>
      </c>
      <c r="AD80" s="151">
        <v>14319.9265</v>
      </c>
      <c r="AE80" s="151">
        <v>2459.8357999999998</v>
      </c>
      <c r="AF80" s="151">
        <v>0</v>
      </c>
      <c r="AG80" s="151">
        <v>0</v>
      </c>
      <c r="AH80" s="151">
        <v>167.83165600000001</v>
      </c>
      <c r="AI80" s="151">
        <v>984.263103</v>
      </c>
      <c r="AJ80" s="151">
        <v>0.76908045999999997</v>
      </c>
      <c r="AK80" s="151">
        <v>22.4260153</v>
      </c>
      <c r="AL80" s="151">
        <v>416.37544100000002</v>
      </c>
      <c r="AM80" s="151">
        <v>2.9274022999999998</v>
      </c>
      <c r="AN80" s="151">
        <v>128.22337200000001</v>
      </c>
      <c r="AO80" s="151">
        <v>1156.3211899999999</v>
      </c>
      <c r="AP80" s="151">
        <v>29.606551700000001</v>
      </c>
      <c r="AQ80" s="151">
        <v>0.82762451999999997</v>
      </c>
      <c r="AR80" s="151">
        <v>1.78203065</v>
      </c>
      <c r="AS80" s="151">
        <v>2.4046360199999999</v>
      </c>
      <c r="AT80" s="151">
        <v>6.3034865900000003</v>
      </c>
      <c r="AU80" s="151">
        <v>0</v>
      </c>
      <c r="AV80" s="151">
        <v>0.12177011</v>
      </c>
      <c r="AW80" s="151">
        <v>0.24819540000000001</v>
      </c>
      <c r="AX80" s="151">
        <v>0.45685440999999999</v>
      </c>
      <c r="AY80" s="151">
        <v>0.30417624999999998</v>
      </c>
      <c r="AZ80" s="151">
        <v>8.0103450000000007E-2</v>
      </c>
      <c r="BA80" s="151">
        <v>5.1842909999999999E-2</v>
      </c>
      <c r="BB80" s="151">
        <v>0.30739464</v>
      </c>
      <c r="BC80" s="151">
        <v>0.26893869999999997</v>
      </c>
      <c r="BD80" s="151">
        <v>5.829119E-2</v>
      </c>
      <c r="BE80" s="151">
        <v>0.26159004000000002</v>
      </c>
      <c r="BF80" s="151">
        <v>0.50051723999999997</v>
      </c>
      <c r="BG80" s="151">
        <v>0.44110727999999999</v>
      </c>
      <c r="BH80" s="151">
        <v>0.69840996</v>
      </c>
      <c r="BI80" s="151">
        <v>0.87883142000000003</v>
      </c>
      <c r="BJ80" s="151">
        <v>0.37842529000000003</v>
      </c>
      <c r="BK80" s="151">
        <v>0.32134866000000001</v>
      </c>
      <c r="BL80" s="151">
        <v>0.31765516999999999</v>
      </c>
      <c r="BM80" s="151">
        <v>0.20916092</v>
      </c>
      <c r="BN80" s="151">
        <v>61.660229899999997</v>
      </c>
      <c r="BO80" s="151">
        <v>17.999501899999998</v>
      </c>
      <c r="BP80" s="151">
        <v>3.233716475</v>
      </c>
      <c r="BQ80" s="6"/>
    </row>
    <row r="81" spans="1:69">
      <c r="A81" s="179">
        <v>21309</v>
      </c>
      <c r="B81" s="149" t="s">
        <v>1704</v>
      </c>
      <c r="E81" t="s">
        <v>1686</v>
      </c>
      <c r="F81" s="150">
        <v>118</v>
      </c>
      <c r="G81" s="149" t="s">
        <v>1704</v>
      </c>
      <c r="J81" s="151">
        <v>173.32183900000001</v>
      </c>
      <c r="K81" s="151">
        <v>177.61597699999999</v>
      </c>
      <c r="L81" s="151">
        <v>5.3530651300000001</v>
      </c>
      <c r="M81" s="151">
        <v>10.8090805</v>
      </c>
      <c r="N81" s="151">
        <v>9.24298851</v>
      </c>
      <c r="O81" s="151">
        <v>9.9517624500000004</v>
      </c>
      <c r="P81" s="151">
        <v>0.14612106999999999</v>
      </c>
      <c r="Q81" s="151">
        <v>0.81591791000000002</v>
      </c>
      <c r="R81" s="151">
        <v>1.8401944400000001</v>
      </c>
      <c r="S81" s="151">
        <v>0.13681533000000001</v>
      </c>
      <c r="T81" s="151">
        <v>0.84449808000000004</v>
      </c>
      <c r="U81" s="151">
        <v>96.044022999999996</v>
      </c>
      <c r="V81" s="151">
        <v>0</v>
      </c>
      <c r="W81" s="151">
        <v>61.896136900000002</v>
      </c>
      <c r="X81" s="151">
        <v>0.44628351999999999</v>
      </c>
      <c r="Y81" s="151">
        <v>6.3848279999999993E-2</v>
      </c>
      <c r="Z81" s="151">
        <v>22.138730299999999</v>
      </c>
      <c r="AA81" s="151">
        <v>0</v>
      </c>
      <c r="AB81" s="151">
        <v>401.924621</v>
      </c>
      <c r="AC81" s="151">
        <v>0</v>
      </c>
      <c r="AD81" s="151">
        <v>4819.1491699999997</v>
      </c>
      <c r="AE81" s="151">
        <v>17.716092</v>
      </c>
      <c r="AF81" s="151">
        <v>0</v>
      </c>
      <c r="AG81" s="151">
        <v>0</v>
      </c>
      <c r="AH81" s="151">
        <v>2.4866356299999999</v>
      </c>
      <c r="AI81" s="151">
        <v>195.540345</v>
      </c>
      <c r="AJ81" s="151">
        <v>0.25321839000000002</v>
      </c>
      <c r="AK81" s="151">
        <v>15.294980799999999</v>
      </c>
      <c r="AL81" s="151">
        <v>77.772682000000003</v>
      </c>
      <c r="AM81" s="151">
        <v>0.32229885000000003</v>
      </c>
      <c r="AN81" s="151">
        <v>110.274406</v>
      </c>
      <c r="AO81" s="151">
        <v>467.326705</v>
      </c>
      <c r="AP81" s="151">
        <v>1.5224137900000001</v>
      </c>
      <c r="AQ81" s="151">
        <v>2.57245211</v>
      </c>
      <c r="AR81" s="151">
        <v>1.6454789299999999</v>
      </c>
      <c r="AS81" s="151">
        <v>2.3742911900000001</v>
      </c>
      <c r="AT81" s="151">
        <v>6.0152107299999997</v>
      </c>
      <c r="AU81" s="151">
        <v>0</v>
      </c>
      <c r="AV81" s="151">
        <v>1.7080459999999999E-2</v>
      </c>
      <c r="AW81" s="151">
        <v>3.122989E-2</v>
      </c>
      <c r="AX81" s="151">
        <v>4.5681989999999999E-2</v>
      </c>
      <c r="AY81" s="151">
        <v>3.562452E-2</v>
      </c>
      <c r="AZ81" s="151">
        <v>1.334483E-2</v>
      </c>
      <c r="BA81" s="151">
        <v>1.391188E-2</v>
      </c>
      <c r="BB81" s="151">
        <v>3.8842910000000001E-2</v>
      </c>
      <c r="BC81" s="151">
        <v>3.224904E-2</v>
      </c>
      <c r="BD81" s="151">
        <v>9.7394600000000001E-3</v>
      </c>
      <c r="BE81" s="151">
        <v>3.7038309999999998E-2</v>
      </c>
      <c r="BF81" s="151">
        <v>4.8379310000000002E-2</v>
      </c>
      <c r="BG81" s="151">
        <v>0.13007279999999999</v>
      </c>
      <c r="BH81" s="151">
        <v>0.11427203</v>
      </c>
      <c r="BI81" s="151">
        <v>0.24614175999999999</v>
      </c>
      <c r="BJ81" s="151">
        <v>5.070115E-2</v>
      </c>
      <c r="BK81" s="151">
        <v>3.1555560000000003E-2</v>
      </c>
      <c r="BL81" s="151">
        <v>3.3931030000000001E-2</v>
      </c>
      <c r="BM81" s="151">
        <v>2.557471E-2</v>
      </c>
      <c r="BN81" s="151">
        <v>21.923678200000001</v>
      </c>
      <c r="BO81" s="151">
        <v>28.013294999999999</v>
      </c>
      <c r="BP81" s="151">
        <v>3.233716475</v>
      </c>
      <c r="BQ81" s="6"/>
    </row>
    <row r="82" spans="1:69">
      <c r="A82" s="179">
        <v>21311</v>
      </c>
      <c r="B82" s="149" t="s">
        <v>1705</v>
      </c>
      <c r="E82" t="s">
        <v>1686</v>
      </c>
      <c r="F82" s="150">
        <v>119</v>
      </c>
      <c r="G82" s="149" t="s">
        <v>1705</v>
      </c>
      <c r="J82" s="151">
        <v>124.770115</v>
      </c>
      <c r="K82" s="151">
        <v>44.7663218</v>
      </c>
      <c r="L82" s="151">
        <v>0.98340996000000003</v>
      </c>
      <c r="M82" s="151">
        <v>10.399425300000001</v>
      </c>
      <c r="N82" s="151">
        <v>6.6029885100000003</v>
      </c>
      <c r="O82" s="151">
        <v>1.22762452</v>
      </c>
      <c r="P82" s="151">
        <v>2.3224519999999998E-2</v>
      </c>
      <c r="Q82" s="151">
        <v>6.2797220000000001E-2</v>
      </c>
      <c r="R82" s="151">
        <v>0.11486341</v>
      </c>
      <c r="S82" s="151">
        <v>0.13681533000000001</v>
      </c>
      <c r="T82" s="151">
        <v>0.10711877</v>
      </c>
      <c r="U82" s="151">
        <v>4.5998850600000001</v>
      </c>
      <c r="V82" s="151">
        <v>0</v>
      </c>
      <c r="W82" s="151">
        <v>91.553150400000007</v>
      </c>
      <c r="X82" s="151">
        <v>0.44628351999999999</v>
      </c>
      <c r="Y82" s="151">
        <v>6.3848279999999993E-2</v>
      </c>
      <c r="Z82" s="151">
        <v>22.138730299999999</v>
      </c>
      <c r="AA82" s="151">
        <v>0</v>
      </c>
      <c r="AB82" s="151">
        <v>1.3566241400000001</v>
      </c>
      <c r="AC82" s="151">
        <v>0</v>
      </c>
      <c r="AD82" s="151">
        <v>16.269996599999999</v>
      </c>
      <c r="AE82" s="151">
        <v>17.716092</v>
      </c>
      <c r="AF82" s="151">
        <v>0</v>
      </c>
      <c r="AG82" s="151">
        <v>0</v>
      </c>
      <c r="AH82" s="151">
        <v>2.4866356299999999</v>
      </c>
      <c r="AI82" s="151">
        <v>2320.04241</v>
      </c>
      <c r="AJ82" s="151">
        <v>13.271149400000001</v>
      </c>
      <c r="AK82" s="151">
        <v>29.708773900000001</v>
      </c>
      <c r="AL82" s="151">
        <v>634.09957899999995</v>
      </c>
      <c r="AM82" s="151">
        <v>4.6874022999999996</v>
      </c>
      <c r="AN82" s="151">
        <v>946.01647500000001</v>
      </c>
      <c r="AO82" s="151">
        <v>4417.7832600000002</v>
      </c>
      <c r="AP82" s="151">
        <v>0.15689655</v>
      </c>
      <c r="AQ82" s="151">
        <v>12.631762500000001</v>
      </c>
      <c r="AR82" s="151">
        <v>1.6454789299999999</v>
      </c>
      <c r="AS82" s="151">
        <v>2.3742911900000001</v>
      </c>
      <c r="AT82" s="151">
        <v>6.0152107299999997</v>
      </c>
      <c r="AU82" s="151">
        <v>0</v>
      </c>
      <c r="AV82" s="151">
        <v>1.7080459999999999E-2</v>
      </c>
      <c r="AW82" s="151">
        <v>3.122989E-2</v>
      </c>
      <c r="AX82" s="151">
        <v>4.5681989999999999E-2</v>
      </c>
      <c r="AY82" s="151">
        <v>3.562452E-2</v>
      </c>
      <c r="AZ82" s="151">
        <v>1.334483E-2</v>
      </c>
      <c r="BA82" s="151">
        <v>1.391188E-2</v>
      </c>
      <c r="BB82" s="151">
        <v>3.8842910000000001E-2</v>
      </c>
      <c r="BC82" s="151">
        <v>3.224904E-2</v>
      </c>
      <c r="BD82" s="151">
        <v>9.7394600000000001E-3</v>
      </c>
      <c r="BE82" s="151">
        <v>3.7038309999999998E-2</v>
      </c>
      <c r="BF82" s="151">
        <v>4.8379310000000002E-2</v>
      </c>
      <c r="BG82" s="151">
        <v>0.13007279999999999</v>
      </c>
      <c r="BH82" s="151">
        <v>0.11427203</v>
      </c>
      <c r="BI82" s="151">
        <v>0.24614175999999999</v>
      </c>
      <c r="BJ82" s="151">
        <v>5.070115E-2</v>
      </c>
      <c r="BK82" s="151">
        <v>3.1555560000000003E-2</v>
      </c>
      <c r="BL82" s="151">
        <v>3.3931030000000001E-2</v>
      </c>
      <c r="BM82" s="151">
        <v>2.557471E-2</v>
      </c>
      <c r="BN82" s="151">
        <v>21.923678200000001</v>
      </c>
      <c r="BO82" s="151">
        <v>6.77191571</v>
      </c>
      <c r="BP82" s="151">
        <v>3.233716475</v>
      </c>
      <c r="BQ82" s="6"/>
    </row>
    <row r="83" spans="1:69">
      <c r="A83" s="179">
        <v>21312</v>
      </c>
      <c r="B83" s="149" t="s">
        <v>248</v>
      </c>
      <c r="E83" t="s">
        <v>1686</v>
      </c>
      <c r="F83" s="150">
        <v>120</v>
      </c>
      <c r="G83" s="149" t="s">
        <v>248</v>
      </c>
      <c r="J83" s="151">
        <v>166.828046</v>
      </c>
      <c r="K83" s="151">
        <v>179.45183900000001</v>
      </c>
      <c r="L83" s="151">
        <v>4.7765134099999997</v>
      </c>
      <c r="M83" s="151">
        <v>11.0670115</v>
      </c>
      <c r="N83" s="151">
        <v>10.487126399999999</v>
      </c>
      <c r="O83" s="151">
        <v>7.3117624499999998</v>
      </c>
      <c r="P83" s="151">
        <v>9.6962450000000006E-2</v>
      </c>
      <c r="Q83" s="151">
        <v>0.76114550000000003</v>
      </c>
      <c r="R83" s="151">
        <v>0.85429100000000002</v>
      </c>
      <c r="S83" s="151">
        <v>0.64069118999999997</v>
      </c>
      <c r="T83" s="151">
        <v>0.31604291000000001</v>
      </c>
      <c r="U83" s="151">
        <v>36.233609199999997</v>
      </c>
      <c r="V83" s="151">
        <v>0</v>
      </c>
      <c r="W83" s="151">
        <v>48.225549299999997</v>
      </c>
      <c r="X83" s="151">
        <v>1.97869732</v>
      </c>
      <c r="Y83" s="151">
        <v>0.44315862</v>
      </c>
      <c r="Z83" s="151">
        <v>341.91495099999997</v>
      </c>
      <c r="AA83" s="151">
        <v>0</v>
      </c>
      <c r="AB83" s="151">
        <v>1.3566241400000001</v>
      </c>
      <c r="AC83" s="151">
        <v>0</v>
      </c>
      <c r="AD83" s="151">
        <v>1426.95172</v>
      </c>
      <c r="AE83" s="151">
        <v>17.716092</v>
      </c>
      <c r="AF83" s="151">
        <v>0</v>
      </c>
      <c r="AG83" s="151">
        <v>0</v>
      </c>
      <c r="AH83" s="151">
        <v>2.4866356299999999</v>
      </c>
      <c r="AI83" s="151">
        <v>334.12517200000002</v>
      </c>
      <c r="AJ83" s="151">
        <v>0.37459769999999998</v>
      </c>
      <c r="AK83" s="151">
        <v>4.6136015300000004</v>
      </c>
      <c r="AL83" s="151">
        <v>87.756130299999995</v>
      </c>
      <c r="AM83" s="151">
        <v>2.53291954</v>
      </c>
      <c r="AN83" s="151">
        <v>76.257854399999999</v>
      </c>
      <c r="AO83" s="151">
        <v>790.66601500000002</v>
      </c>
      <c r="AP83" s="151">
        <v>2.2810344800000002</v>
      </c>
      <c r="AQ83" s="151">
        <v>1.82900383</v>
      </c>
      <c r="AR83" s="151">
        <v>1.82754789</v>
      </c>
      <c r="AS83" s="151">
        <v>2.51084291</v>
      </c>
      <c r="AT83" s="151">
        <v>6.34900383</v>
      </c>
      <c r="AU83" s="151">
        <v>0</v>
      </c>
      <c r="AV83" s="151">
        <v>8.3839079999999996E-2</v>
      </c>
      <c r="AW83" s="151">
        <v>0.21481608999999999</v>
      </c>
      <c r="AX83" s="151">
        <v>0.3870613</v>
      </c>
      <c r="AY83" s="151">
        <v>0.17824520999999999</v>
      </c>
      <c r="AZ83" s="151">
        <v>8.0103450000000007E-2</v>
      </c>
      <c r="BA83" s="151">
        <v>4.7291189999999997E-2</v>
      </c>
      <c r="BB83" s="151">
        <v>0.25580842999999998</v>
      </c>
      <c r="BC83" s="151">
        <v>0.22038696999999999</v>
      </c>
      <c r="BD83" s="151">
        <v>5.0704979999999997E-2</v>
      </c>
      <c r="BE83" s="151">
        <v>0.26765899999999998</v>
      </c>
      <c r="BF83" s="151">
        <v>0.29568966000000002</v>
      </c>
      <c r="BG83" s="151">
        <v>0.32124521</v>
      </c>
      <c r="BH83" s="151">
        <v>0.49509962000000002</v>
      </c>
      <c r="BI83" s="151">
        <v>0.76503831</v>
      </c>
      <c r="BJ83" s="151">
        <v>0.3238046</v>
      </c>
      <c r="BK83" s="151">
        <v>0.21059004000000001</v>
      </c>
      <c r="BL83" s="151">
        <v>0.19172413999999999</v>
      </c>
      <c r="BM83" s="151">
        <v>0.17729885000000001</v>
      </c>
      <c r="BN83" s="151">
        <v>86.011954000000003</v>
      </c>
      <c r="BO83" s="151">
        <v>34.810536399999997</v>
      </c>
      <c r="BP83" s="151">
        <v>3.233716475</v>
      </c>
      <c r="BQ83" s="6"/>
    </row>
    <row r="84" spans="1:69">
      <c r="A84" s="179">
        <v>21313</v>
      </c>
      <c r="B84" s="149" t="s">
        <v>1706</v>
      </c>
      <c r="E84" t="s">
        <v>1686</v>
      </c>
      <c r="F84" s="150">
        <v>121</v>
      </c>
      <c r="G84" s="149" t="s">
        <v>1706</v>
      </c>
      <c r="J84" s="151">
        <v>170.81839099999999</v>
      </c>
      <c r="K84" s="151">
        <v>178.541494</v>
      </c>
      <c r="L84" s="151">
        <v>6.3240996200000001</v>
      </c>
      <c r="M84" s="151">
        <v>11.1732184</v>
      </c>
      <c r="N84" s="151">
        <v>10.2595402</v>
      </c>
      <c r="O84" s="151">
        <v>7.1752107299999999</v>
      </c>
      <c r="P84" s="151">
        <v>0.12154176</v>
      </c>
      <c r="Q84" s="151">
        <v>0.30927307999999998</v>
      </c>
      <c r="R84" s="151">
        <v>0.90906341000000002</v>
      </c>
      <c r="S84" s="151">
        <v>0.45634636000000001</v>
      </c>
      <c r="T84" s="151">
        <v>0.32833256999999999</v>
      </c>
      <c r="U84" s="151">
        <v>86.3791954</v>
      </c>
      <c r="V84" s="151">
        <v>0</v>
      </c>
      <c r="W84" s="151">
        <v>67.905074200000001</v>
      </c>
      <c r="X84" s="151">
        <v>8.6393869700000003</v>
      </c>
      <c r="Y84" s="151">
        <v>0.92867586000000002</v>
      </c>
      <c r="Z84" s="151">
        <v>296.23263400000002</v>
      </c>
      <c r="AA84" s="151">
        <v>0</v>
      </c>
      <c r="AB84" s="151">
        <v>164.07712100000001</v>
      </c>
      <c r="AC84" s="151">
        <v>0</v>
      </c>
      <c r="AD84" s="151">
        <v>3453.0843599999998</v>
      </c>
      <c r="AE84" s="151">
        <v>17.716092</v>
      </c>
      <c r="AF84" s="151">
        <v>0</v>
      </c>
      <c r="AG84" s="151">
        <v>0</v>
      </c>
      <c r="AH84" s="151">
        <v>2.4866356299999999</v>
      </c>
      <c r="AI84" s="151">
        <v>303.78034500000001</v>
      </c>
      <c r="AJ84" s="151">
        <v>0.58701148999999997</v>
      </c>
      <c r="AK84" s="151">
        <v>4.8867049800000002</v>
      </c>
      <c r="AL84" s="151">
        <v>92.641647500000005</v>
      </c>
      <c r="AM84" s="151">
        <v>0.75774713000000005</v>
      </c>
      <c r="AN84" s="151">
        <v>127.919923</v>
      </c>
      <c r="AO84" s="151">
        <v>737.56256699999994</v>
      </c>
      <c r="AP84" s="151">
        <v>12.3403448</v>
      </c>
      <c r="AQ84" s="151">
        <v>1.3738314199999999</v>
      </c>
      <c r="AR84" s="151">
        <v>1.8578927199999999</v>
      </c>
      <c r="AS84" s="151">
        <v>2.4198084299999998</v>
      </c>
      <c r="AT84" s="151">
        <v>6.5007279699999998</v>
      </c>
      <c r="AU84" s="151">
        <v>0</v>
      </c>
      <c r="AV84" s="151">
        <v>0.11873562999999999</v>
      </c>
      <c r="AW84" s="151">
        <v>0.20267816</v>
      </c>
      <c r="AX84" s="151">
        <v>0.39616475000000001</v>
      </c>
      <c r="AY84" s="151">
        <v>0.32541762000000002</v>
      </c>
      <c r="AZ84" s="151">
        <v>5.2793100000000003E-2</v>
      </c>
      <c r="BA84" s="151">
        <v>6.8532570000000001E-2</v>
      </c>
      <c r="BB84" s="151">
        <v>0.22698083999999999</v>
      </c>
      <c r="BC84" s="151">
        <v>0.2507318</v>
      </c>
      <c r="BD84" s="151">
        <v>7.9532569999999997E-2</v>
      </c>
      <c r="BE84" s="151">
        <v>0.22517624999999999</v>
      </c>
      <c r="BF84" s="151">
        <v>0.40037930999999999</v>
      </c>
      <c r="BG84" s="151">
        <v>0.43655556000000001</v>
      </c>
      <c r="BH84" s="151">
        <v>0.69385823999999996</v>
      </c>
      <c r="BI84" s="151">
        <v>1.2429693500000001</v>
      </c>
      <c r="BJ84" s="151">
        <v>0.33442528999999999</v>
      </c>
      <c r="BK84" s="151">
        <v>0.28038313999999998</v>
      </c>
      <c r="BL84" s="151">
        <v>0.30703448</v>
      </c>
      <c r="BM84" s="151">
        <v>0.19702299000000001</v>
      </c>
      <c r="BN84" s="151">
        <v>79.609195400000004</v>
      </c>
      <c r="BO84" s="151">
        <v>59.405019199999998</v>
      </c>
      <c r="BP84" s="151">
        <v>3.233716475</v>
      </c>
      <c r="BQ84" s="6"/>
    </row>
    <row r="85" spans="1:69">
      <c r="A85" s="179">
        <v>21315</v>
      </c>
      <c r="B85" s="149" t="s">
        <v>1707</v>
      </c>
      <c r="E85" t="s">
        <v>1686</v>
      </c>
      <c r="F85" s="150">
        <v>122</v>
      </c>
      <c r="G85" s="149" t="s">
        <v>1707</v>
      </c>
      <c r="J85" s="151">
        <v>173.32183900000001</v>
      </c>
      <c r="K85" s="151">
        <v>182.395287</v>
      </c>
      <c r="L85" s="151">
        <v>3.7903065100000002</v>
      </c>
      <c r="M85" s="151">
        <v>11.4463218</v>
      </c>
      <c r="N85" s="151">
        <v>11.716092</v>
      </c>
      <c r="O85" s="151">
        <v>5.1421072800000003</v>
      </c>
      <c r="P85" s="151">
        <v>0.12154176</v>
      </c>
      <c r="Q85" s="151">
        <v>0.18603515000000001</v>
      </c>
      <c r="R85" s="151">
        <v>1.2103116899999999</v>
      </c>
      <c r="S85" s="151">
        <v>0.30887049999999999</v>
      </c>
      <c r="T85" s="151">
        <v>0.32833256999999999</v>
      </c>
      <c r="U85" s="151">
        <v>56.388491999999999</v>
      </c>
      <c r="V85" s="151">
        <v>0</v>
      </c>
      <c r="W85" s="151">
        <v>76.607321400000004</v>
      </c>
      <c r="X85" s="151">
        <v>2.5552490400000001</v>
      </c>
      <c r="Y85" s="151">
        <v>6.3848279999999993E-2</v>
      </c>
      <c r="Z85" s="151">
        <v>286.23962699999998</v>
      </c>
      <c r="AA85" s="151">
        <v>0</v>
      </c>
      <c r="AB85" s="151">
        <v>205.96452600000001</v>
      </c>
      <c r="AC85" s="151">
        <v>0</v>
      </c>
      <c r="AD85" s="151">
        <v>2470.2000699999999</v>
      </c>
      <c r="AE85" s="151">
        <v>2302.3643499999998</v>
      </c>
      <c r="AF85" s="151">
        <v>0</v>
      </c>
      <c r="AG85" s="151">
        <v>0</v>
      </c>
      <c r="AH85" s="151">
        <v>32.288107199999999</v>
      </c>
      <c r="AI85" s="151">
        <v>236.96103400000001</v>
      </c>
      <c r="AJ85" s="151">
        <v>0.32908046000000002</v>
      </c>
      <c r="AK85" s="151">
        <v>4.8867049800000002</v>
      </c>
      <c r="AL85" s="151">
        <v>44.954751000000002</v>
      </c>
      <c r="AM85" s="151">
        <v>1.5011954000000001</v>
      </c>
      <c r="AN85" s="151">
        <v>81.750268199999994</v>
      </c>
      <c r="AO85" s="151">
        <v>520.09636</v>
      </c>
      <c r="AP85" s="151">
        <v>50.301724100000001</v>
      </c>
      <c r="AQ85" s="151">
        <v>1.0703831399999999</v>
      </c>
      <c r="AR85" s="151">
        <v>1.8730651300000001</v>
      </c>
      <c r="AS85" s="151">
        <v>2.4198084299999998</v>
      </c>
      <c r="AT85" s="151">
        <v>6.3945210699999997</v>
      </c>
      <c r="AU85" s="151">
        <v>0</v>
      </c>
      <c r="AV85" s="151">
        <v>8.3839079999999996E-2</v>
      </c>
      <c r="AW85" s="151">
        <v>0.1526092</v>
      </c>
      <c r="AX85" s="151">
        <v>0.27781992</v>
      </c>
      <c r="AY85" s="151">
        <v>0.21617624999999999</v>
      </c>
      <c r="AZ85" s="151">
        <v>4.6724139999999997E-2</v>
      </c>
      <c r="BA85" s="151">
        <v>4.273946E-2</v>
      </c>
      <c r="BB85" s="151">
        <v>0.24063602000000001</v>
      </c>
      <c r="BC85" s="151">
        <v>0.16728351999999999</v>
      </c>
      <c r="BD85" s="151">
        <v>5.6773949999999997E-2</v>
      </c>
      <c r="BE85" s="151">
        <v>0.18117625000000001</v>
      </c>
      <c r="BF85" s="151">
        <v>0.31389655</v>
      </c>
      <c r="BG85" s="151">
        <v>0.29241761999999999</v>
      </c>
      <c r="BH85" s="151">
        <v>0.44199617000000002</v>
      </c>
      <c r="BI85" s="151">
        <v>0.82269349000000003</v>
      </c>
      <c r="BJ85" s="151">
        <v>0.2358046</v>
      </c>
      <c r="BK85" s="151">
        <v>0.16810728</v>
      </c>
      <c r="BL85" s="151">
        <v>0.19324137999999999</v>
      </c>
      <c r="BM85" s="151">
        <v>0.12874712999999999</v>
      </c>
      <c r="BN85" s="151">
        <v>63.754022999999997</v>
      </c>
      <c r="BO85" s="151">
        <v>9.8063984699999995</v>
      </c>
      <c r="BP85" s="151">
        <v>3.233716475</v>
      </c>
      <c r="BQ85" s="6"/>
    </row>
    <row r="86" spans="1:69">
      <c r="A86" s="179">
        <v>21316</v>
      </c>
      <c r="B86" s="149" t="s">
        <v>1708</v>
      </c>
      <c r="E86" t="s">
        <v>1686</v>
      </c>
      <c r="F86" s="150">
        <v>123</v>
      </c>
      <c r="G86" s="149" t="s">
        <v>1708</v>
      </c>
      <c r="J86" s="151">
        <v>170.28735599999999</v>
      </c>
      <c r="K86" s="151">
        <v>178.101494</v>
      </c>
      <c r="L86" s="151">
        <v>6.0509961700000003</v>
      </c>
      <c r="M86" s="151">
        <v>11.188390800000001</v>
      </c>
      <c r="N86" s="151">
        <v>6.7547126400000002</v>
      </c>
      <c r="O86" s="151">
        <v>10.2096935</v>
      </c>
      <c r="P86" s="151">
        <v>8.4672800000000006E-2</v>
      </c>
      <c r="Q86" s="151">
        <v>0.14495584</v>
      </c>
      <c r="R86" s="151">
        <v>1.63479789</v>
      </c>
      <c r="S86" s="151">
        <v>0.91106359999999997</v>
      </c>
      <c r="T86" s="151">
        <v>0.29146359999999999</v>
      </c>
      <c r="U86" s="151">
        <v>50.693678200000001</v>
      </c>
      <c r="V86" s="151">
        <v>0</v>
      </c>
      <c r="W86" s="151">
        <v>114.19123500000001</v>
      </c>
      <c r="X86" s="151">
        <v>5.8324904200000001</v>
      </c>
      <c r="Y86" s="151">
        <v>3.8569517200000001</v>
      </c>
      <c r="Z86" s="151">
        <v>413.29357199999998</v>
      </c>
      <c r="AA86" s="151">
        <v>0</v>
      </c>
      <c r="AB86" s="151">
        <v>175.17885799999999</v>
      </c>
      <c r="AC86" s="151">
        <v>47.241434499999997</v>
      </c>
      <c r="AD86" s="151">
        <v>1946.00386</v>
      </c>
      <c r="AE86" s="151">
        <v>8351.8924900000002</v>
      </c>
      <c r="AF86" s="151">
        <v>0</v>
      </c>
      <c r="AG86" s="151">
        <v>0</v>
      </c>
      <c r="AH86" s="151">
        <v>39.623652200000002</v>
      </c>
      <c r="AI86" s="151">
        <v>257.41344800000002</v>
      </c>
      <c r="AJ86" s="151">
        <v>0.43528736000000001</v>
      </c>
      <c r="AK86" s="151">
        <v>2.7322222200000001</v>
      </c>
      <c r="AL86" s="151">
        <v>65.437509599999998</v>
      </c>
      <c r="AM86" s="151">
        <v>1.59222989</v>
      </c>
      <c r="AN86" s="151">
        <v>65.242682000000002</v>
      </c>
      <c r="AO86" s="151">
        <v>727.67015300000003</v>
      </c>
      <c r="AP86" s="151">
        <v>0.83965517000000001</v>
      </c>
      <c r="AQ86" s="151">
        <v>0.82762451999999997</v>
      </c>
      <c r="AR86" s="151">
        <v>1.9944444400000001</v>
      </c>
      <c r="AS86" s="151">
        <v>2.3894636</v>
      </c>
      <c r="AT86" s="151">
        <v>6.5007279699999998</v>
      </c>
      <c r="AU86" s="151">
        <v>0</v>
      </c>
      <c r="AV86" s="151">
        <v>0.10963218</v>
      </c>
      <c r="AW86" s="151">
        <v>0.23150575000000001</v>
      </c>
      <c r="AX86" s="151">
        <v>0.39313027</v>
      </c>
      <c r="AY86" s="151">
        <v>0.23134866000000001</v>
      </c>
      <c r="AZ86" s="151">
        <v>4.0655169999999997E-2</v>
      </c>
      <c r="BA86" s="151">
        <v>4.5773950000000001E-2</v>
      </c>
      <c r="BB86" s="151">
        <v>0.22546359999999999</v>
      </c>
      <c r="BC86" s="151">
        <v>0.24011110999999999</v>
      </c>
      <c r="BD86" s="151">
        <v>9.773946E-2</v>
      </c>
      <c r="BE86" s="151">
        <v>0.24641762</v>
      </c>
      <c r="BF86" s="151">
        <v>0.34575862000000002</v>
      </c>
      <c r="BG86" s="151">
        <v>0.39862451999999998</v>
      </c>
      <c r="BH86" s="151">
        <v>0.90172030999999997</v>
      </c>
      <c r="BI86" s="151">
        <v>0.90310727999999996</v>
      </c>
      <c r="BJ86" s="151">
        <v>0.32077011</v>
      </c>
      <c r="BK86" s="151">
        <v>0.25003830999999999</v>
      </c>
      <c r="BL86" s="151">
        <v>0.24482759000000001</v>
      </c>
      <c r="BM86" s="151">
        <v>0.20764368</v>
      </c>
      <c r="BN86" s="151">
        <v>113.38298899999999</v>
      </c>
      <c r="BO86" s="151">
        <v>68.963639799999996</v>
      </c>
      <c r="BP86" s="151">
        <v>74.544061299999996</v>
      </c>
      <c r="BQ86" s="6"/>
    </row>
    <row r="87" spans="1:69">
      <c r="A87" s="179">
        <v>21321</v>
      </c>
      <c r="B87" s="149" t="s">
        <v>278</v>
      </c>
      <c r="E87" t="s">
        <v>1686</v>
      </c>
      <c r="F87" s="150">
        <v>124</v>
      </c>
      <c r="G87" s="149" t="s">
        <v>278</v>
      </c>
      <c r="J87" s="151">
        <v>199.11494300000001</v>
      </c>
      <c r="K87" s="151">
        <v>177.358046</v>
      </c>
      <c r="L87" s="151">
        <v>4.0937547900000002</v>
      </c>
      <c r="M87" s="151">
        <v>11.1125287</v>
      </c>
      <c r="N87" s="151">
        <v>19.9395402</v>
      </c>
      <c r="O87" s="151">
        <v>1.9862452100000001</v>
      </c>
      <c r="P87" s="151">
        <v>7.2383139999999999E-2</v>
      </c>
      <c r="Q87" s="151">
        <v>0.28188688000000001</v>
      </c>
      <c r="R87" s="151">
        <v>0.93644961999999998</v>
      </c>
      <c r="S87" s="151">
        <v>0.13681533000000001</v>
      </c>
      <c r="T87" s="151">
        <v>0.26688429000000002</v>
      </c>
      <c r="U87" s="151">
        <v>38.055057499999997</v>
      </c>
      <c r="V87" s="151">
        <v>0</v>
      </c>
      <c r="W87" s="151">
        <v>50.235329700000001</v>
      </c>
      <c r="X87" s="151">
        <v>0.44628351999999999</v>
      </c>
      <c r="Y87" s="151">
        <v>2.2790206899999998</v>
      </c>
      <c r="Z87" s="151">
        <v>379.031834</v>
      </c>
      <c r="AA87" s="151">
        <v>0</v>
      </c>
      <c r="AB87" s="151">
        <v>696.85552099999995</v>
      </c>
      <c r="AC87" s="151">
        <v>0</v>
      </c>
      <c r="AD87" s="151">
        <v>8362.2567600000002</v>
      </c>
      <c r="AE87" s="151">
        <v>17.716092</v>
      </c>
      <c r="AF87" s="151">
        <v>0</v>
      </c>
      <c r="AG87" s="151">
        <v>0</v>
      </c>
      <c r="AH87" s="151">
        <v>2.4866356299999999</v>
      </c>
      <c r="AI87" s="151">
        <v>61.0217241</v>
      </c>
      <c r="AJ87" s="151">
        <v>0.25321839000000002</v>
      </c>
      <c r="AK87" s="151">
        <v>3.4604980799999998</v>
      </c>
      <c r="AL87" s="151">
        <v>54.786475099999997</v>
      </c>
      <c r="AM87" s="151">
        <v>0.50588506</v>
      </c>
      <c r="AN87" s="151">
        <v>98.181992300000005</v>
      </c>
      <c r="AO87" s="151">
        <v>475.07980800000001</v>
      </c>
      <c r="AP87" s="151">
        <v>1.5224137900000001</v>
      </c>
      <c r="AQ87" s="151">
        <v>1.1310728000000001</v>
      </c>
      <c r="AR87" s="151">
        <v>1.6454789299999999</v>
      </c>
      <c r="AS87" s="151">
        <v>2.3742911900000001</v>
      </c>
      <c r="AT87" s="151">
        <v>6.0152107299999997</v>
      </c>
      <c r="AU87" s="151">
        <v>0</v>
      </c>
      <c r="AV87" s="151">
        <v>1.7080459999999999E-2</v>
      </c>
      <c r="AW87" s="151">
        <v>3.122989E-2</v>
      </c>
      <c r="AX87" s="151">
        <v>4.5681989999999999E-2</v>
      </c>
      <c r="AY87" s="151">
        <v>3.562452E-2</v>
      </c>
      <c r="AZ87" s="151">
        <v>1.334483E-2</v>
      </c>
      <c r="BA87" s="151">
        <v>1.391188E-2</v>
      </c>
      <c r="BB87" s="151">
        <v>3.8842910000000001E-2</v>
      </c>
      <c r="BC87" s="151">
        <v>3.224904E-2</v>
      </c>
      <c r="BD87" s="151">
        <v>9.7394600000000001E-3</v>
      </c>
      <c r="BE87" s="151">
        <v>3.7038309999999998E-2</v>
      </c>
      <c r="BF87" s="151">
        <v>4.8379310000000002E-2</v>
      </c>
      <c r="BG87" s="151">
        <v>0.13007279999999999</v>
      </c>
      <c r="BH87" s="151">
        <v>0.11427203</v>
      </c>
      <c r="BI87" s="151">
        <v>0.24614175999999999</v>
      </c>
      <c r="BJ87" s="151">
        <v>5.070115E-2</v>
      </c>
      <c r="BK87" s="151">
        <v>3.1555560000000003E-2</v>
      </c>
      <c r="BL87" s="151">
        <v>3.3931030000000001E-2</v>
      </c>
      <c r="BM87" s="151">
        <v>2.557471E-2</v>
      </c>
      <c r="BN87" s="151">
        <v>21.923678200000001</v>
      </c>
      <c r="BO87" s="151">
        <v>6.77191571</v>
      </c>
      <c r="BP87" s="151">
        <v>3.233716475</v>
      </c>
      <c r="BQ87" s="6"/>
    </row>
    <row r="88" spans="1:69">
      <c r="A88" s="179">
        <v>23301</v>
      </c>
      <c r="B88" s="149" t="s">
        <v>1710</v>
      </c>
      <c r="E88" t="s">
        <v>1686</v>
      </c>
      <c r="F88" s="150">
        <v>125</v>
      </c>
      <c r="G88" s="149" t="s">
        <v>1710</v>
      </c>
      <c r="J88" s="151">
        <v>346.19856900000002</v>
      </c>
      <c r="K88" s="151">
        <v>90.599212899999998</v>
      </c>
      <c r="L88" s="151">
        <v>19.0936673</v>
      </c>
      <c r="M88" s="151">
        <v>7.0550268300000001</v>
      </c>
      <c r="N88" s="151">
        <v>52.948551000000002</v>
      </c>
      <c r="O88" s="151">
        <v>9.7481574200000001</v>
      </c>
      <c r="P88" s="151">
        <v>0.57096177000000004</v>
      </c>
      <c r="Q88" s="151">
        <v>0.20319166</v>
      </c>
      <c r="R88" s="151">
        <v>1.72346377</v>
      </c>
      <c r="S88" s="151">
        <v>1.1308297</v>
      </c>
      <c r="T88" s="151">
        <v>0.34912358999999998</v>
      </c>
      <c r="U88" s="151">
        <v>250.18769499999999</v>
      </c>
      <c r="V88" s="151">
        <v>0</v>
      </c>
      <c r="W88" s="151">
        <v>15.023384500000001</v>
      </c>
      <c r="X88" s="151">
        <v>0.47237924999999997</v>
      </c>
      <c r="Y88" s="151">
        <v>0.19470054000000001</v>
      </c>
      <c r="Z88" s="151">
        <v>27.748500499999999</v>
      </c>
      <c r="AA88" s="151">
        <v>0</v>
      </c>
      <c r="AB88" s="151">
        <v>10.467011400000001</v>
      </c>
      <c r="AC88" s="151">
        <v>1.9964221799999999</v>
      </c>
      <c r="AD88" s="151">
        <v>97.301726400000007</v>
      </c>
      <c r="AE88" s="151">
        <v>363.75124299999999</v>
      </c>
      <c r="AF88" s="151">
        <v>0</v>
      </c>
      <c r="AG88" s="151">
        <v>0</v>
      </c>
      <c r="AH88" s="151">
        <v>46.034500100000002</v>
      </c>
      <c r="AI88" s="151">
        <v>122.08275500000001</v>
      </c>
      <c r="AJ88" s="151">
        <v>0.88944186000000003</v>
      </c>
      <c r="AK88" s="151">
        <v>7.0807692299999996</v>
      </c>
      <c r="AL88" s="151">
        <v>267.41232600000001</v>
      </c>
      <c r="AM88" s="151">
        <v>1.35769589</v>
      </c>
      <c r="AN88" s="151">
        <v>440.74953499999998</v>
      </c>
      <c r="AO88" s="151">
        <v>1037.17614</v>
      </c>
      <c r="AP88" s="151">
        <v>6.5135420399999999</v>
      </c>
      <c r="AQ88" s="151">
        <v>3.0665116299999999</v>
      </c>
      <c r="AR88" s="151">
        <v>1.2193577799999999</v>
      </c>
      <c r="AS88" s="151">
        <v>1.47196064</v>
      </c>
      <c r="AT88" s="151">
        <v>3.9711001800000001</v>
      </c>
      <c r="AU88" s="151">
        <v>0</v>
      </c>
      <c r="AV88" s="151">
        <v>0.57816279000000004</v>
      </c>
      <c r="AW88" s="151">
        <v>0.76880680000000001</v>
      </c>
      <c r="AX88" s="151">
        <v>1.4428014300000001</v>
      </c>
      <c r="AY88" s="151">
        <v>1.27296064</v>
      </c>
      <c r="AZ88" s="151">
        <v>0.26707334999999999</v>
      </c>
      <c r="BA88" s="151">
        <v>0.20831664</v>
      </c>
      <c r="BB88" s="151">
        <v>1.09884436</v>
      </c>
      <c r="BC88" s="151">
        <v>0.72408766000000002</v>
      </c>
      <c r="BD88" s="151">
        <v>0.23480501000000001</v>
      </c>
      <c r="BE88" s="151">
        <v>0.90064937</v>
      </c>
      <c r="BF88" s="151">
        <v>0.87732558000000005</v>
      </c>
      <c r="BG88" s="151">
        <v>1.2998246899999999</v>
      </c>
      <c r="BH88" s="151">
        <v>2.3093559899999998</v>
      </c>
      <c r="BI88" s="151">
        <v>3.5972307699999999</v>
      </c>
      <c r="BJ88" s="151">
        <v>0.78100716000000003</v>
      </c>
      <c r="BK88" s="151">
        <v>0.84418426000000002</v>
      </c>
      <c r="BL88" s="151">
        <v>0.94719677999999996</v>
      </c>
      <c r="BM88" s="151">
        <v>0.61399999999999999</v>
      </c>
      <c r="BN88" s="151">
        <v>20.3253667</v>
      </c>
      <c r="BO88" s="151">
        <v>27.761484800000002</v>
      </c>
      <c r="BP88" s="151">
        <v>8.5259391769999997</v>
      </c>
      <c r="BQ88" s="6"/>
    </row>
    <row r="89" spans="1:69">
      <c r="A89" s="179">
        <v>25306</v>
      </c>
      <c r="B89" s="149" t="s">
        <v>1711</v>
      </c>
      <c r="E89" t="s">
        <v>1686</v>
      </c>
      <c r="F89" s="150">
        <v>126</v>
      </c>
      <c r="G89" s="149" t="s">
        <v>1711</v>
      </c>
      <c r="J89" s="151">
        <v>82.100712599999994</v>
      </c>
      <c r="K89" s="151">
        <v>153.97985700000001</v>
      </c>
      <c r="L89" s="151">
        <v>1.01598575</v>
      </c>
      <c r="M89" s="151">
        <v>6.72382423</v>
      </c>
      <c r="N89" s="151">
        <v>3.4659382399999998</v>
      </c>
      <c r="O89" s="151">
        <v>2.5168646099999998</v>
      </c>
      <c r="P89" s="151">
        <v>6.7806409999999998E-2</v>
      </c>
      <c r="Q89" s="151">
        <v>2.7555699999999999E-2</v>
      </c>
      <c r="R89" s="151">
        <v>0.41167220999999998</v>
      </c>
      <c r="S89" s="151">
        <v>0.41381686000000001</v>
      </c>
      <c r="T89" s="151">
        <v>9.4179100000000002E-2</v>
      </c>
      <c r="U89" s="151">
        <v>10.4563361</v>
      </c>
      <c r="V89" s="151">
        <v>0</v>
      </c>
      <c r="W89" s="151">
        <v>26.677032499999999</v>
      </c>
      <c r="X89" s="151">
        <v>0.98019002</v>
      </c>
      <c r="Y89" s="151">
        <v>9.3882190000000004E-2</v>
      </c>
      <c r="Z89" s="151">
        <v>38.311578900000001</v>
      </c>
      <c r="AA89" s="151">
        <v>0</v>
      </c>
      <c r="AB89" s="151">
        <v>1.0716384800000001</v>
      </c>
      <c r="AC89" s="151">
        <v>0</v>
      </c>
      <c r="AD89" s="151">
        <v>12.985472</v>
      </c>
      <c r="AE89" s="151">
        <v>28.114885300000001</v>
      </c>
      <c r="AF89" s="151">
        <v>0</v>
      </c>
      <c r="AG89" s="151">
        <v>0</v>
      </c>
      <c r="AH89" s="151">
        <v>6.8793303999999997</v>
      </c>
      <c r="AI89" s="151">
        <v>45.197102100000002</v>
      </c>
      <c r="AJ89" s="151">
        <v>0.10145843</v>
      </c>
      <c r="AK89" s="151">
        <v>1.55551069</v>
      </c>
      <c r="AL89" s="151">
        <v>27.355938200000001</v>
      </c>
      <c r="AM89" s="151">
        <v>0.18620903</v>
      </c>
      <c r="AN89" s="151">
        <v>28.377149599999999</v>
      </c>
      <c r="AO89" s="151">
        <v>219.603634</v>
      </c>
      <c r="AP89" s="151">
        <v>1.4519002400000001</v>
      </c>
      <c r="AQ89" s="151">
        <v>0.30684085999999999</v>
      </c>
      <c r="AR89" s="151">
        <v>1.0584560599999999</v>
      </c>
      <c r="AS89" s="151">
        <v>1.5733966699999999</v>
      </c>
      <c r="AT89" s="151">
        <v>3.8767933499999998</v>
      </c>
      <c r="AU89" s="151">
        <v>0</v>
      </c>
      <c r="AV89" s="151">
        <v>3.0866979999999999E-2</v>
      </c>
      <c r="AW89" s="151">
        <v>5.3192400000000001E-2</v>
      </c>
      <c r="AX89" s="151">
        <v>7.4137770000000006E-2</v>
      </c>
      <c r="AY89" s="151">
        <v>4.9874109999999999E-2</v>
      </c>
      <c r="AZ89" s="151">
        <v>1.8923990000000002E-2</v>
      </c>
      <c r="BA89" s="151">
        <v>1.531829E-2</v>
      </c>
      <c r="BB89" s="151">
        <v>4.7296909999999998E-2</v>
      </c>
      <c r="BC89" s="151">
        <v>4.88076E-2</v>
      </c>
      <c r="BD89" s="151">
        <v>1.1216149999999999E-2</v>
      </c>
      <c r="BE89" s="151">
        <v>6.420903E-2</v>
      </c>
      <c r="BF89" s="151">
        <v>7.2800480000000001E-2</v>
      </c>
      <c r="BG89" s="151">
        <v>0.12545606000000001</v>
      </c>
      <c r="BH89" s="151">
        <v>0.15351069000000001</v>
      </c>
      <c r="BI89" s="151">
        <v>0.25652493999999998</v>
      </c>
      <c r="BJ89" s="151">
        <v>7.0665080000000005E-2</v>
      </c>
      <c r="BK89" s="151">
        <v>5.3608080000000002E-2</v>
      </c>
      <c r="BL89" s="151">
        <v>5.4175769999999998E-2</v>
      </c>
      <c r="BM89" s="151">
        <v>3.9885990000000003E-2</v>
      </c>
      <c r="BN89" s="151">
        <v>22.332826600000001</v>
      </c>
      <c r="BO89" s="151">
        <v>20.890094999999999</v>
      </c>
      <c r="BP89" s="151">
        <v>1.5225653210000001</v>
      </c>
      <c r="BQ89" s="6"/>
    </row>
    <row r="90" spans="1:69">
      <c r="A90" s="179">
        <v>25310</v>
      </c>
      <c r="B90" s="149" t="s">
        <v>1712</v>
      </c>
      <c r="E90" t="s">
        <v>1686</v>
      </c>
      <c r="F90" s="150">
        <v>127</v>
      </c>
      <c r="G90" s="149" t="s">
        <v>1712</v>
      </c>
      <c r="J90" s="151">
        <v>98.162470299999995</v>
      </c>
      <c r="K90" s="151">
        <v>149.82674600000001</v>
      </c>
      <c r="L90" s="151">
        <v>1.5781472700000001</v>
      </c>
      <c r="M90" s="151">
        <v>6.7811876499999997</v>
      </c>
      <c r="N90" s="151">
        <v>7.2289786200000004</v>
      </c>
      <c r="O90" s="151">
        <v>1.8285035599999999</v>
      </c>
      <c r="P90" s="151">
        <v>3.9927789999999998E-2</v>
      </c>
      <c r="Q90" s="151">
        <v>2.7555699999999999E-2</v>
      </c>
      <c r="R90" s="151">
        <v>0.30813123999999997</v>
      </c>
      <c r="S90" s="151">
        <v>6.9980520000000004E-2</v>
      </c>
      <c r="T90" s="151">
        <v>9.4179100000000002E-2</v>
      </c>
      <c r="U90" s="151">
        <v>5.2563420399999998</v>
      </c>
      <c r="V90" s="151">
        <v>0</v>
      </c>
      <c r="W90" s="151">
        <v>8.4675883600000006</v>
      </c>
      <c r="X90" s="151">
        <v>0.29182898000000002</v>
      </c>
      <c r="Y90" s="151">
        <v>0.18566366000000001</v>
      </c>
      <c r="Z90" s="151">
        <v>23.833280999999999</v>
      </c>
      <c r="AA90" s="151">
        <v>0</v>
      </c>
      <c r="AB90" s="151">
        <v>0.83931663000000001</v>
      </c>
      <c r="AC90" s="151">
        <v>0</v>
      </c>
      <c r="AD90" s="151">
        <v>10.197609699999999</v>
      </c>
      <c r="AE90" s="151">
        <v>11.118218499999999</v>
      </c>
      <c r="AF90" s="151">
        <v>0</v>
      </c>
      <c r="AG90" s="151">
        <v>0</v>
      </c>
      <c r="AH90" s="151">
        <v>1.52663492</v>
      </c>
      <c r="AI90" s="151">
        <v>32.749239899999999</v>
      </c>
      <c r="AJ90" s="151">
        <v>0.34238479999999999</v>
      </c>
      <c r="AK90" s="151">
        <v>1.32605701</v>
      </c>
      <c r="AL90" s="151">
        <v>23.432280299999999</v>
      </c>
      <c r="AM90" s="151">
        <v>0.25504513000000001</v>
      </c>
      <c r="AN90" s="151">
        <v>49.027980999999997</v>
      </c>
      <c r="AO90" s="151">
        <v>219.603634</v>
      </c>
      <c r="AP90" s="151">
        <v>0.13254157</v>
      </c>
      <c r="AQ90" s="151">
        <v>0.76574821999999998</v>
      </c>
      <c r="AR90" s="151">
        <v>1.024038</v>
      </c>
      <c r="AS90" s="151">
        <v>1.5619239899999999</v>
      </c>
      <c r="AT90" s="151">
        <v>3.7850118799999999</v>
      </c>
      <c r="AU90" s="151">
        <v>0</v>
      </c>
      <c r="AV90" s="151">
        <v>7.9216200000000007E-3</v>
      </c>
      <c r="AW90" s="151">
        <v>1.418527E-2</v>
      </c>
      <c r="AX90" s="151">
        <v>2.251069E-2</v>
      </c>
      <c r="AY90" s="151">
        <v>1.8897859999999999E-2</v>
      </c>
      <c r="AZ90" s="151">
        <v>5.1567699999999998E-3</v>
      </c>
      <c r="BA90" s="151">
        <v>7.2874100000000002E-3</v>
      </c>
      <c r="BB90" s="151">
        <v>1.8615199999999998E-2</v>
      </c>
      <c r="BC90" s="151">
        <v>1.553682E-2</v>
      </c>
      <c r="BD90" s="151">
        <v>4.3325400000000002E-3</v>
      </c>
      <c r="BE90" s="151">
        <v>1.8318290000000001E-2</v>
      </c>
      <c r="BF90" s="151">
        <v>2.1173399999999998E-2</v>
      </c>
      <c r="BG90" s="151">
        <v>5.4325419999999999E-2</v>
      </c>
      <c r="BH90" s="151">
        <v>5.7140139999999999E-2</v>
      </c>
      <c r="BI90" s="151">
        <v>9.3612829999999994E-2</v>
      </c>
      <c r="BJ90" s="151">
        <v>2.0185270000000002E-2</v>
      </c>
      <c r="BK90" s="151">
        <v>1.6895489999999999E-2</v>
      </c>
      <c r="BL90" s="151">
        <v>1.7463179999999998E-2</v>
      </c>
      <c r="BM90" s="151">
        <v>1.349881E-2</v>
      </c>
      <c r="BN90" s="151">
        <v>23.285059400000002</v>
      </c>
      <c r="BO90" s="151">
        <v>4.1399762500000001</v>
      </c>
      <c r="BP90" s="151">
        <v>1.5225653210000001</v>
      </c>
      <c r="BQ90" s="6"/>
    </row>
    <row r="91" spans="1:69">
      <c r="A91" s="179">
        <v>24307</v>
      </c>
      <c r="B91" s="149" t="s">
        <v>1713</v>
      </c>
      <c r="E91" t="s">
        <v>1686</v>
      </c>
      <c r="F91" s="150">
        <v>128</v>
      </c>
      <c r="G91" s="149" t="s">
        <v>1713</v>
      </c>
      <c r="J91" s="151">
        <v>149.131148</v>
      </c>
      <c r="K91" s="151">
        <v>94.146038300000001</v>
      </c>
      <c r="L91" s="151">
        <v>1.74191257</v>
      </c>
      <c r="M91" s="151">
        <v>7.3467213100000004</v>
      </c>
      <c r="N91" s="151">
        <v>17.6005191</v>
      </c>
      <c r="O91" s="151">
        <v>3.4953278700000001</v>
      </c>
      <c r="P91" s="151">
        <v>7.7139620000000006E-2</v>
      </c>
      <c r="Q91" s="151">
        <v>7.8383060000000004E-2</v>
      </c>
      <c r="R91" s="151">
        <v>0.55297390999999996</v>
      </c>
      <c r="S91" s="151">
        <v>0.25691148000000003</v>
      </c>
      <c r="T91" s="151">
        <v>0.29300490000000001</v>
      </c>
      <c r="U91" s="151">
        <v>12.491047</v>
      </c>
      <c r="V91" s="151">
        <v>0</v>
      </c>
      <c r="W91" s="151">
        <v>13.722772900000001</v>
      </c>
      <c r="X91" s="151">
        <v>0.41368852</v>
      </c>
      <c r="Y91" s="151">
        <v>1.08037486</v>
      </c>
      <c r="Z91" s="151">
        <v>16.1062443</v>
      </c>
      <c r="AA91" s="151">
        <v>0</v>
      </c>
      <c r="AB91" s="151">
        <v>1.6850771899999999</v>
      </c>
      <c r="AC91" s="151">
        <v>0</v>
      </c>
      <c r="AD91" s="151">
        <v>20.469362100000001</v>
      </c>
      <c r="AE91" s="151">
        <v>13.339886699999999</v>
      </c>
      <c r="AF91" s="151">
        <v>0</v>
      </c>
      <c r="AG91" s="151">
        <v>0</v>
      </c>
      <c r="AH91" s="151">
        <v>65.3329035</v>
      </c>
      <c r="AI91" s="151">
        <v>32.218852499999997</v>
      </c>
      <c r="AJ91" s="151">
        <v>0.40234973000000002</v>
      </c>
      <c r="AK91" s="151">
        <v>1.09931694</v>
      </c>
      <c r="AL91" s="151">
        <v>31.8824863</v>
      </c>
      <c r="AM91" s="151">
        <v>0.27397813999999998</v>
      </c>
      <c r="AN91" s="151">
        <v>62.913934400000002</v>
      </c>
      <c r="AO91" s="151">
        <v>476.83114799999998</v>
      </c>
      <c r="AP91" s="151">
        <v>0.80784153000000003</v>
      </c>
      <c r="AQ91" s="151">
        <v>0.71475409999999995</v>
      </c>
      <c r="AR91" s="151">
        <v>1.15136612</v>
      </c>
      <c r="AS91" s="151">
        <v>1.6431420800000001</v>
      </c>
      <c r="AT91" s="151">
        <v>4.2701639299999998</v>
      </c>
      <c r="AU91" s="151">
        <v>0</v>
      </c>
      <c r="AV91" s="151">
        <v>1.520492E-2</v>
      </c>
      <c r="AW91" s="151">
        <v>3.3568309999999997E-2</v>
      </c>
      <c r="AX91" s="151">
        <v>5.9027320000000001E-2</v>
      </c>
      <c r="AY91" s="151">
        <v>4.8726779999999997E-2</v>
      </c>
      <c r="AZ91" s="151">
        <v>1.146175E-2</v>
      </c>
      <c r="BA91" s="151">
        <v>1.070492E-2</v>
      </c>
      <c r="BB91" s="151">
        <v>4.5693989999999997E-2</v>
      </c>
      <c r="BC91" s="151">
        <v>3.7606559999999997E-2</v>
      </c>
      <c r="BD91" s="151">
        <v>1.13388E-2</v>
      </c>
      <c r="BE91" s="151">
        <v>3.9896170000000002E-2</v>
      </c>
      <c r="BF91" s="151">
        <v>5.7325139999999997E-2</v>
      </c>
      <c r="BG91" s="151">
        <v>7.2808739999999997E-2</v>
      </c>
      <c r="BH91" s="151">
        <v>0.12645355</v>
      </c>
      <c r="BI91" s="151">
        <v>0.20710929</v>
      </c>
      <c r="BJ91" s="151">
        <v>3.7622950000000002E-2</v>
      </c>
      <c r="BK91" s="151">
        <v>3.386612E-2</v>
      </c>
      <c r="BL91" s="151">
        <v>4.1497270000000003E-2</v>
      </c>
      <c r="BM91" s="151">
        <v>3.1486340000000002E-2</v>
      </c>
      <c r="BN91" s="151">
        <v>27.607623</v>
      </c>
      <c r="BO91" s="151">
        <v>38.648469900000002</v>
      </c>
      <c r="BP91" s="151">
        <v>8.3087431689999995</v>
      </c>
      <c r="BQ91" s="6"/>
    </row>
    <row r="92" spans="1:69">
      <c r="A92" s="179">
        <v>25314</v>
      </c>
      <c r="B92" s="149" t="s">
        <v>1714</v>
      </c>
      <c r="E92" t="s">
        <v>1686</v>
      </c>
      <c r="F92" s="150">
        <v>129</v>
      </c>
      <c r="G92" s="149" t="s">
        <v>1714</v>
      </c>
      <c r="J92" s="151">
        <v>332.67391300000003</v>
      </c>
      <c r="K92" s="151">
        <v>173.60398599999999</v>
      </c>
      <c r="L92" s="151">
        <v>3.9236231899999998</v>
      </c>
      <c r="M92" s="151">
        <v>24.116087</v>
      </c>
      <c r="N92" s="151">
        <v>24.5847826</v>
      </c>
      <c r="O92" s="151">
        <v>2.7815941999999998</v>
      </c>
      <c r="P92" s="151">
        <v>0.12755216999999999</v>
      </c>
      <c r="Q92" s="151">
        <v>0.12980543</v>
      </c>
      <c r="R92" s="151">
        <v>0.90339928000000003</v>
      </c>
      <c r="S92" s="151">
        <v>4.5547829999999997E-2</v>
      </c>
      <c r="T92" s="151">
        <v>0.10413514</v>
      </c>
      <c r="U92" s="151">
        <v>16.963913000000002</v>
      </c>
      <c r="V92" s="151">
        <v>0</v>
      </c>
      <c r="W92" s="151">
        <v>167.840383</v>
      </c>
      <c r="X92" s="151">
        <v>0.35927535999999999</v>
      </c>
      <c r="Y92" s="151">
        <v>0.52891593999999997</v>
      </c>
      <c r="Z92" s="151">
        <v>44.478368099999997</v>
      </c>
      <c r="AA92" s="151">
        <v>0</v>
      </c>
      <c r="AB92" s="151">
        <v>20.552613000000001</v>
      </c>
      <c r="AC92" s="151">
        <v>0</v>
      </c>
      <c r="AD92" s="151">
        <v>246.99691200000001</v>
      </c>
      <c r="AE92" s="151">
        <v>11.892898600000001</v>
      </c>
      <c r="AF92" s="151">
        <v>0</v>
      </c>
      <c r="AG92" s="151">
        <v>0</v>
      </c>
      <c r="AH92" s="151">
        <v>1.53988551</v>
      </c>
      <c r="AI92" s="151">
        <v>57.481087000000002</v>
      </c>
      <c r="AJ92" s="151">
        <v>0.30681159000000002</v>
      </c>
      <c r="AK92" s="151">
        <v>5.1602173899999997</v>
      </c>
      <c r="AL92" s="151">
        <v>44.0347826</v>
      </c>
      <c r="AM92" s="151">
        <v>0.12691304</v>
      </c>
      <c r="AN92" s="151">
        <v>56.559710099999997</v>
      </c>
      <c r="AO92" s="151">
        <v>415.49826100000001</v>
      </c>
      <c r="AP92" s="151">
        <v>0.12760869999999999</v>
      </c>
      <c r="AQ92" s="151">
        <v>1.0730434799999999</v>
      </c>
      <c r="AR92" s="151">
        <v>3.6464492800000001</v>
      </c>
      <c r="AS92" s="151">
        <v>5.3122463800000004</v>
      </c>
      <c r="AT92" s="151">
        <v>13.5073188</v>
      </c>
      <c r="AU92" s="151">
        <v>0</v>
      </c>
      <c r="AV92" s="151">
        <v>9.0869599999999998E-3</v>
      </c>
      <c r="AW92" s="151">
        <v>1.7333330000000001E-2</v>
      </c>
      <c r="AX92" s="151">
        <v>2.5768119999999999E-2</v>
      </c>
      <c r="AY92" s="151">
        <v>1.7652169999999998E-2</v>
      </c>
      <c r="AZ92" s="151">
        <v>7.0942000000000002E-3</v>
      </c>
      <c r="BA92" s="151">
        <v>6.2681200000000003E-3</v>
      </c>
      <c r="BB92" s="151">
        <v>2.1130429999999999E-2</v>
      </c>
      <c r="BC92" s="151">
        <v>1.7108700000000001E-2</v>
      </c>
      <c r="BD92" s="151">
        <v>5.6376799999999999E-3</v>
      </c>
      <c r="BE92" s="151">
        <v>2.01087E-2</v>
      </c>
      <c r="BF92" s="151">
        <v>2.4471010000000001E-2</v>
      </c>
      <c r="BG92" s="151">
        <v>5.7043480000000001E-2</v>
      </c>
      <c r="BH92" s="151">
        <v>6.1311589999999999E-2</v>
      </c>
      <c r="BI92" s="151">
        <v>0.12301449</v>
      </c>
      <c r="BJ92" s="151">
        <v>2.7021739999999999E-2</v>
      </c>
      <c r="BK92" s="151">
        <v>1.5028990000000001E-2</v>
      </c>
      <c r="BL92" s="151">
        <v>1.7898549999999999E-2</v>
      </c>
      <c r="BM92" s="151">
        <v>1.2543479999999999E-2</v>
      </c>
      <c r="BN92" s="151">
        <v>17.723188400000002</v>
      </c>
      <c r="BO92" s="151">
        <v>5.7475362299999997</v>
      </c>
      <c r="BP92" s="151">
        <v>1.956521739</v>
      </c>
      <c r="BQ92" s="6"/>
    </row>
    <row r="93" spans="1:69">
      <c r="A93" s="179">
        <v>25316</v>
      </c>
      <c r="B93" s="149" t="s">
        <v>1715</v>
      </c>
      <c r="E93" t="s">
        <v>1686</v>
      </c>
      <c r="F93" s="150">
        <v>130</v>
      </c>
      <c r="G93" s="149" t="s">
        <v>1715</v>
      </c>
      <c r="J93" s="151">
        <v>105.046081</v>
      </c>
      <c r="K93" s="151">
        <v>147.23391899999999</v>
      </c>
      <c r="L93" s="151">
        <v>1.45194774</v>
      </c>
      <c r="M93" s="151">
        <v>6.7008788600000004</v>
      </c>
      <c r="N93" s="151">
        <v>8.8695724499999997</v>
      </c>
      <c r="O93" s="151">
        <v>2.2874109300000001</v>
      </c>
      <c r="P93" s="151">
        <v>3.9927789999999998E-2</v>
      </c>
      <c r="Q93" s="151">
        <v>3.79098E-2</v>
      </c>
      <c r="R93" s="151">
        <v>0.30813123999999997</v>
      </c>
      <c r="S93" s="151">
        <v>0.29300949999999998</v>
      </c>
      <c r="T93" s="151">
        <v>8.5890079999999994E-2</v>
      </c>
      <c r="U93" s="151">
        <v>18.068003099999999</v>
      </c>
      <c r="V93" s="151">
        <v>0</v>
      </c>
      <c r="W93" s="151">
        <v>17.550282899999999</v>
      </c>
      <c r="X93" s="151">
        <v>9.2519952500000002</v>
      </c>
      <c r="Y93" s="151">
        <v>0.15124561</v>
      </c>
      <c r="Z93" s="151">
        <v>31.388387600000001</v>
      </c>
      <c r="AA93" s="151">
        <v>0</v>
      </c>
      <c r="AB93" s="151">
        <v>1.37830333</v>
      </c>
      <c r="AC93" s="151">
        <v>0</v>
      </c>
      <c r="AD93" s="151">
        <v>16.702621600000001</v>
      </c>
      <c r="AE93" s="151">
        <v>258.30867000000001</v>
      </c>
      <c r="AF93" s="151">
        <v>0</v>
      </c>
      <c r="AG93" s="151">
        <v>0</v>
      </c>
      <c r="AH93" s="151">
        <v>8.8494197099999994</v>
      </c>
      <c r="AI93" s="151">
        <v>27.517696000000001</v>
      </c>
      <c r="AJ93" s="151">
        <v>0.10145843</v>
      </c>
      <c r="AK93" s="151">
        <v>1.32605701</v>
      </c>
      <c r="AL93" s="151">
        <v>71.617553400000006</v>
      </c>
      <c r="AM93" s="151">
        <v>0.50744418000000002</v>
      </c>
      <c r="AN93" s="151">
        <v>29.9489074</v>
      </c>
      <c r="AO93" s="151">
        <v>208.21125900000001</v>
      </c>
      <c r="AP93" s="151">
        <v>0.13254157</v>
      </c>
      <c r="AQ93" s="151">
        <v>0.44451306000000002</v>
      </c>
      <c r="AR93" s="151">
        <v>1.1043467899999999</v>
      </c>
      <c r="AS93" s="151">
        <v>1.6078147300000001</v>
      </c>
      <c r="AT93" s="151">
        <v>3.8767933499999998</v>
      </c>
      <c r="AU93" s="151">
        <v>0</v>
      </c>
      <c r="AV93" s="151">
        <v>1.365796E-2</v>
      </c>
      <c r="AW93" s="151">
        <v>2.3363419999999999E-2</v>
      </c>
      <c r="AX93" s="151">
        <v>4.0866979999999997E-2</v>
      </c>
      <c r="AY93" s="151">
        <v>4.0695960000000003E-2</v>
      </c>
      <c r="AZ93" s="151">
        <v>8.5985699999999998E-3</v>
      </c>
      <c r="BA93" s="151">
        <v>2.9085509999999998E-2</v>
      </c>
      <c r="BB93" s="151">
        <v>4.1560569999999998E-2</v>
      </c>
      <c r="BC93" s="151">
        <v>3.1598569999999999E-2</v>
      </c>
      <c r="BD93" s="151">
        <v>1.0068880000000001E-2</v>
      </c>
      <c r="BE93" s="151">
        <v>3.6674579999999998E-2</v>
      </c>
      <c r="BF93" s="151">
        <v>4.9855110000000001E-2</v>
      </c>
      <c r="BG93" s="151">
        <v>7.1534440000000005E-2</v>
      </c>
      <c r="BH93" s="151">
        <v>0.12597625000000001</v>
      </c>
      <c r="BI93" s="151">
        <v>0.17506888000000001</v>
      </c>
      <c r="BJ93" s="151">
        <v>4.8866979999999997E-2</v>
      </c>
      <c r="BK93" s="151">
        <v>3.4104509999999998E-2</v>
      </c>
      <c r="BL93" s="151">
        <v>3.8114009999999997E-2</v>
      </c>
      <c r="BM93" s="151">
        <v>3.8738719999999997E-2</v>
      </c>
      <c r="BN93" s="151">
        <v>23.181805199999999</v>
      </c>
      <c r="BO93" s="151">
        <v>29.4716627</v>
      </c>
      <c r="BP93" s="151">
        <v>1.5225653210000001</v>
      </c>
      <c r="BQ93" s="6"/>
    </row>
    <row r="94" spans="1:69">
      <c r="A94" s="179">
        <v>25605</v>
      </c>
      <c r="B94" s="149" t="s">
        <v>1716</v>
      </c>
      <c r="E94" t="s">
        <v>1686</v>
      </c>
      <c r="F94" s="150">
        <v>131</v>
      </c>
      <c r="G94" s="149" t="s">
        <v>1716</v>
      </c>
      <c r="J94" s="151">
        <v>98.442446000000004</v>
      </c>
      <c r="K94" s="151">
        <v>103.020647</v>
      </c>
      <c r="L94" s="151">
        <v>3.5598561200000001</v>
      </c>
      <c r="M94" s="151">
        <v>3.5194244600000002</v>
      </c>
      <c r="N94" s="151">
        <v>10.404028800000001</v>
      </c>
      <c r="O94" s="151">
        <v>5.4609352500000004</v>
      </c>
      <c r="P94" s="151">
        <v>8.1960790000000006E-2</v>
      </c>
      <c r="Q94" s="151">
        <v>0.12004595</v>
      </c>
      <c r="R94" s="151">
        <v>1.0406897500000001</v>
      </c>
      <c r="S94" s="151">
        <v>0.20887085999999999</v>
      </c>
      <c r="T94" s="151">
        <v>0.27110215999999998</v>
      </c>
      <c r="U94" s="151">
        <v>22.146546799999999</v>
      </c>
      <c r="V94" s="151">
        <v>0</v>
      </c>
      <c r="W94" s="151">
        <v>10.499647700000001</v>
      </c>
      <c r="X94" s="151">
        <v>7.6353956800000002</v>
      </c>
      <c r="Y94" s="151">
        <v>1.7659352500000001</v>
      </c>
      <c r="Z94" s="151">
        <v>35.159490599999998</v>
      </c>
      <c r="AA94" s="151">
        <v>0</v>
      </c>
      <c r="AB94" s="151">
        <v>61.531212600000003</v>
      </c>
      <c r="AC94" s="151">
        <v>24.649640300000002</v>
      </c>
      <c r="AD94" s="151">
        <v>657.39460799999995</v>
      </c>
      <c r="AE94" s="151">
        <v>769.79823699999997</v>
      </c>
      <c r="AF94" s="151">
        <v>2.22965612</v>
      </c>
      <c r="AG94" s="151">
        <v>97.838093499999999</v>
      </c>
      <c r="AH94" s="151">
        <v>169.11670000000001</v>
      </c>
      <c r="AI94" s="151">
        <v>101.958879</v>
      </c>
      <c r="AJ94" s="151">
        <v>0.15816690999999999</v>
      </c>
      <c r="AK94" s="151">
        <v>0.83605216000000004</v>
      </c>
      <c r="AL94" s="151">
        <v>22.4826561</v>
      </c>
      <c r="AM94" s="151">
        <v>0.45264029</v>
      </c>
      <c r="AN94" s="151">
        <v>49.597887800000002</v>
      </c>
      <c r="AO94" s="151">
        <v>230.266133</v>
      </c>
      <c r="AP94" s="151">
        <v>1.4778057600000001</v>
      </c>
      <c r="AQ94" s="151">
        <v>0.44623201000000001</v>
      </c>
      <c r="AR94" s="151">
        <v>0.32330935</v>
      </c>
      <c r="AS94" s="151">
        <v>1.94755396</v>
      </c>
      <c r="AT94" s="151">
        <v>0.79260072000000004</v>
      </c>
      <c r="AU94" s="151">
        <v>0</v>
      </c>
      <c r="AV94" s="151">
        <v>7.5237410000000005E-2</v>
      </c>
      <c r="AW94" s="151">
        <v>0.11284892000000001</v>
      </c>
      <c r="AX94" s="151">
        <v>0.17861871000000001</v>
      </c>
      <c r="AY94" s="151">
        <v>0.12839568000000001</v>
      </c>
      <c r="AZ94" s="151">
        <v>3.2971220000000002E-2</v>
      </c>
      <c r="BA94" s="151">
        <v>3.1874100000000002E-2</v>
      </c>
      <c r="BB94" s="151">
        <v>0.13085611999999999</v>
      </c>
      <c r="BC94" s="151">
        <v>0.12569064999999999</v>
      </c>
      <c r="BD94" s="151">
        <v>2.1514390000000001E-2</v>
      </c>
      <c r="BE94" s="151">
        <v>0.14927338000000001</v>
      </c>
      <c r="BF94" s="151">
        <v>0.17118344999999999</v>
      </c>
      <c r="BG94" s="151">
        <v>0.20685252000000001</v>
      </c>
      <c r="BH94" s="151">
        <v>0.48553596999999998</v>
      </c>
      <c r="BI94" s="151">
        <v>0.58434531999999995</v>
      </c>
      <c r="BJ94" s="151">
        <v>0.14596762999999999</v>
      </c>
      <c r="BK94" s="151">
        <v>0.13369064999999999</v>
      </c>
      <c r="BL94" s="151">
        <v>0.12491367</v>
      </c>
      <c r="BM94" s="151">
        <v>8.0798560000000005E-2</v>
      </c>
      <c r="BN94" s="151">
        <v>54.475179900000001</v>
      </c>
      <c r="BO94" s="151">
        <v>25.379928100000001</v>
      </c>
      <c r="BP94" s="151">
        <v>5.5359712229999998</v>
      </c>
      <c r="BQ94" s="6"/>
    </row>
    <row r="95" spans="1:69">
      <c r="A95" s="179">
        <v>25606</v>
      </c>
      <c r="B95" s="149" t="s">
        <v>1717</v>
      </c>
      <c r="E95" t="s">
        <v>1686</v>
      </c>
      <c r="F95" s="150">
        <v>132</v>
      </c>
      <c r="G95" s="149" t="s">
        <v>1717</v>
      </c>
      <c r="J95" s="151">
        <v>83.226618700000003</v>
      </c>
      <c r="K95" s="151">
        <v>108.001295</v>
      </c>
      <c r="L95" s="151">
        <v>3.4888489200000001</v>
      </c>
      <c r="M95" s="151">
        <v>3.6817266200000001</v>
      </c>
      <c r="N95" s="151">
        <v>6.8536690599999996</v>
      </c>
      <c r="O95" s="151">
        <v>4.5479856099999996</v>
      </c>
      <c r="P95" s="151">
        <v>0.13617248000000001</v>
      </c>
      <c r="Q95" s="151">
        <v>6.217023E-2</v>
      </c>
      <c r="R95" s="151">
        <v>0.95312211999999996</v>
      </c>
      <c r="S95" s="151">
        <v>0.18734353000000001</v>
      </c>
      <c r="T95" s="151">
        <v>0.18884567999999999</v>
      </c>
      <c r="U95" s="151">
        <v>9.5180036000000001</v>
      </c>
      <c r="V95" s="151">
        <v>0</v>
      </c>
      <c r="W95" s="151">
        <v>11.1420189</v>
      </c>
      <c r="X95" s="151">
        <v>0.76798560999999999</v>
      </c>
      <c r="Y95" s="151">
        <v>1.5326259</v>
      </c>
      <c r="Z95" s="151">
        <v>24.354731699999999</v>
      </c>
      <c r="AA95" s="151">
        <v>0</v>
      </c>
      <c r="AB95" s="151">
        <v>50.422441399999997</v>
      </c>
      <c r="AC95" s="151">
        <v>0</v>
      </c>
      <c r="AD95" s="151">
        <v>536.38952300000005</v>
      </c>
      <c r="AE95" s="151">
        <v>378.69061199999999</v>
      </c>
      <c r="AF95" s="151">
        <v>2.22965612</v>
      </c>
      <c r="AG95" s="151">
        <v>97.838093499999999</v>
      </c>
      <c r="AH95" s="151">
        <v>175.06548000000001</v>
      </c>
      <c r="AI95" s="151">
        <v>31.6862031</v>
      </c>
      <c r="AJ95" s="151">
        <v>0.24056061000000001</v>
      </c>
      <c r="AK95" s="151">
        <v>1.2925269800000001</v>
      </c>
      <c r="AL95" s="151">
        <v>20.7772662</v>
      </c>
      <c r="AM95" s="151">
        <v>0.28019423999999998</v>
      </c>
      <c r="AN95" s="151">
        <v>41.192360399999998</v>
      </c>
      <c r="AO95" s="151">
        <v>222.58721199999999</v>
      </c>
      <c r="AP95" s="151">
        <v>3.83118705</v>
      </c>
      <c r="AQ95" s="151">
        <v>0.48046762999999998</v>
      </c>
      <c r="AR95" s="151">
        <v>0.35374101000000002</v>
      </c>
      <c r="AS95" s="151">
        <v>1.94755396</v>
      </c>
      <c r="AT95" s="151">
        <v>0.79260072000000004</v>
      </c>
      <c r="AU95" s="151">
        <v>0</v>
      </c>
      <c r="AV95" s="151">
        <v>4.9877699999999997E-2</v>
      </c>
      <c r="AW95" s="151">
        <v>0.10676259</v>
      </c>
      <c r="AX95" s="151">
        <v>0.17456115</v>
      </c>
      <c r="AY95" s="151">
        <v>0.13143885</v>
      </c>
      <c r="AZ95" s="151">
        <v>3.5000000000000003E-2</v>
      </c>
      <c r="BA95" s="151">
        <v>3.1874100000000002E-2</v>
      </c>
      <c r="BB95" s="151">
        <v>0.11259711999999999</v>
      </c>
      <c r="BC95" s="151">
        <v>0.10033093999999999</v>
      </c>
      <c r="BD95" s="151">
        <v>1.948561E-2</v>
      </c>
      <c r="BE95" s="151">
        <v>0.13912949999999999</v>
      </c>
      <c r="BF95" s="151">
        <v>0.15191007000000001</v>
      </c>
      <c r="BG95" s="151">
        <v>0.16627697999999999</v>
      </c>
      <c r="BH95" s="151">
        <v>0.29483093999999999</v>
      </c>
      <c r="BI95" s="151">
        <v>0.50826618999999995</v>
      </c>
      <c r="BJ95" s="151">
        <v>0.15103957000000001</v>
      </c>
      <c r="BK95" s="151">
        <v>0.13673381000000001</v>
      </c>
      <c r="BL95" s="151">
        <v>0.11679856</v>
      </c>
      <c r="BM95" s="151">
        <v>7.6741009999999998E-2</v>
      </c>
      <c r="BN95" s="151">
        <v>33.812086299999997</v>
      </c>
      <c r="BO95" s="151">
        <v>51.216402899999999</v>
      </c>
      <c r="BP95" s="151">
        <v>5.5359712229999998</v>
      </c>
      <c r="BQ95" s="6"/>
    </row>
    <row r="96" spans="1:69">
      <c r="A96" s="179">
        <v>25609</v>
      </c>
      <c r="B96" s="149" t="s">
        <v>1718</v>
      </c>
      <c r="E96" t="s">
        <v>1686</v>
      </c>
      <c r="F96" s="150">
        <v>133</v>
      </c>
      <c r="G96" s="149" t="s">
        <v>1718</v>
      </c>
      <c r="J96" s="151">
        <v>200.63761500000001</v>
      </c>
      <c r="K96" s="151">
        <v>75.107706399999998</v>
      </c>
      <c r="L96" s="151">
        <v>6.3169724799999996</v>
      </c>
      <c r="M96" s="151">
        <v>3.73853211</v>
      </c>
      <c r="N96" s="151">
        <v>34.228623900000002</v>
      </c>
      <c r="O96" s="151">
        <v>2.2144954100000001</v>
      </c>
      <c r="P96" s="151">
        <v>0.19671055000000001</v>
      </c>
      <c r="Q96" s="151">
        <v>0.12934622000000001</v>
      </c>
      <c r="R96" s="151">
        <v>3.0763199499999998</v>
      </c>
      <c r="S96" s="151">
        <v>0.34428027999999999</v>
      </c>
      <c r="T96" s="151">
        <v>0.1190711</v>
      </c>
      <c r="U96" s="151">
        <v>31.5458073</v>
      </c>
      <c r="V96" s="151">
        <v>0</v>
      </c>
      <c r="W96" s="151">
        <v>6.8437064200000002</v>
      </c>
      <c r="X96" s="151">
        <v>1.5362385300000001</v>
      </c>
      <c r="Y96" s="151">
        <v>0.33729357999999998</v>
      </c>
      <c r="Z96" s="151">
        <v>17.979908300000002</v>
      </c>
      <c r="AA96" s="151">
        <v>0</v>
      </c>
      <c r="AB96" s="151">
        <v>8.5871160599999996</v>
      </c>
      <c r="AC96" s="151">
        <v>0</v>
      </c>
      <c r="AD96" s="151">
        <v>90.532933499999999</v>
      </c>
      <c r="AE96" s="151">
        <v>23.537655999999998</v>
      </c>
      <c r="AF96" s="151">
        <v>0.40618899000000003</v>
      </c>
      <c r="AG96" s="151">
        <v>17.8237156</v>
      </c>
      <c r="AH96" s="151">
        <v>31.8040734</v>
      </c>
      <c r="AI96" s="151">
        <v>48.461467900000002</v>
      </c>
      <c r="AJ96" s="151">
        <v>0.25509174000000001</v>
      </c>
      <c r="AK96" s="151">
        <v>1.74357798</v>
      </c>
      <c r="AL96" s="151">
        <v>62.3834862</v>
      </c>
      <c r="AM96" s="151">
        <v>0.33843118999999999</v>
      </c>
      <c r="AN96" s="151">
        <v>110.362385</v>
      </c>
      <c r="AO96" s="151">
        <v>316.10321099999999</v>
      </c>
      <c r="AP96" s="151">
        <v>0.65545872000000005</v>
      </c>
      <c r="AQ96" s="151">
        <v>0.39651375999999999</v>
      </c>
      <c r="AR96" s="151">
        <v>0.35743119000000001</v>
      </c>
      <c r="AS96" s="151">
        <v>2.1309632999999999</v>
      </c>
      <c r="AT96" s="151">
        <v>0.71811468000000001</v>
      </c>
      <c r="AU96" s="151">
        <v>0</v>
      </c>
      <c r="AV96" s="151">
        <v>4.2220180000000003E-2</v>
      </c>
      <c r="AW96" s="151">
        <v>0.12843119</v>
      </c>
      <c r="AX96" s="151">
        <v>0.17045872000000001</v>
      </c>
      <c r="AY96" s="151">
        <v>9.2412839999999996E-2</v>
      </c>
      <c r="AZ96" s="151">
        <v>2.5412839999999999E-2</v>
      </c>
      <c r="BA96" s="151">
        <v>1.7261470000000001E-2</v>
      </c>
      <c r="BB96" s="151">
        <v>0.14650458999999999</v>
      </c>
      <c r="BC96" s="151">
        <v>0.12754128000000001</v>
      </c>
      <c r="BD96" s="151">
        <v>2.3857799999999998E-2</v>
      </c>
      <c r="BE96" s="151">
        <v>0.15947706</v>
      </c>
      <c r="BF96" s="151">
        <v>0.12098623999999999</v>
      </c>
      <c r="BG96" s="151">
        <v>0.10113303</v>
      </c>
      <c r="BH96" s="151">
        <v>0.36632568999999998</v>
      </c>
      <c r="BI96" s="151">
        <v>0.32740366999999998</v>
      </c>
      <c r="BJ96" s="151">
        <v>0.14634404000000001</v>
      </c>
      <c r="BK96" s="151">
        <v>0.11646789</v>
      </c>
      <c r="BL96" s="151">
        <v>0.12478899</v>
      </c>
      <c r="BM96" s="151">
        <v>0.12732109999999999</v>
      </c>
      <c r="BN96" s="151">
        <v>24.121559600000001</v>
      </c>
      <c r="BO96" s="151">
        <v>153.92064199999999</v>
      </c>
      <c r="BP96" s="151">
        <v>1.3348623850000001</v>
      </c>
      <c r="BQ96" s="6"/>
    </row>
    <row r="97" spans="1:69">
      <c r="A97" s="179">
        <v>25615</v>
      </c>
      <c r="B97" s="149" t="s">
        <v>1719</v>
      </c>
      <c r="E97" t="s">
        <v>1686</v>
      </c>
      <c r="F97" s="150">
        <v>134</v>
      </c>
      <c r="G97" s="149" t="s">
        <v>1719</v>
      </c>
      <c r="J97" s="151">
        <v>50.164342599999998</v>
      </c>
      <c r="K97" s="151">
        <v>119.642231</v>
      </c>
      <c r="L97" s="151">
        <v>1.5624302800000001</v>
      </c>
      <c r="M97" s="151">
        <v>2.5799601600000002</v>
      </c>
      <c r="N97" s="151">
        <v>4.5310756999999997</v>
      </c>
      <c r="O97" s="151">
        <v>2.5211155399999998</v>
      </c>
      <c r="P97" s="151">
        <v>2.831753E-2</v>
      </c>
      <c r="Q97" s="151">
        <v>2.9770419999999999E-2</v>
      </c>
      <c r="R97" s="151">
        <v>0.27377091999999997</v>
      </c>
      <c r="S97" s="151">
        <v>0.34350518000000002</v>
      </c>
      <c r="T97" s="151">
        <v>0.13563027999999999</v>
      </c>
      <c r="U97" s="151">
        <v>17.068266900000001</v>
      </c>
      <c r="V97" s="151">
        <v>0</v>
      </c>
      <c r="W97" s="151">
        <v>8.7352209199999997</v>
      </c>
      <c r="X97" s="151">
        <v>0.70310757000000002</v>
      </c>
      <c r="Y97" s="151">
        <v>4.3266930000000002E-2</v>
      </c>
      <c r="Z97" s="151">
        <v>11.3923653</v>
      </c>
      <c r="AA97" s="151">
        <v>0</v>
      </c>
      <c r="AB97" s="151">
        <v>26.357664499999998</v>
      </c>
      <c r="AC97" s="151">
        <v>0</v>
      </c>
      <c r="AD97" s="151">
        <v>316.28953100000001</v>
      </c>
      <c r="AE97" s="151">
        <v>127.304143</v>
      </c>
      <c r="AF97" s="151">
        <v>0</v>
      </c>
      <c r="AG97" s="151">
        <v>0</v>
      </c>
      <c r="AH97" s="151">
        <v>18.963525099999998</v>
      </c>
      <c r="AI97" s="151">
        <v>20.200438200000001</v>
      </c>
      <c r="AJ97" s="151">
        <v>0.20111554000000001</v>
      </c>
      <c r="AK97" s="151">
        <v>0.71075697000000004</v>
      </c>
      <c r="AL97" s="151">
        <v>23.510557800000001</v>
      </c>
      <c r="AM97" s="151">
        <v>0.17396813</v>
      </c>
      <c r="AN97" s="151">
        <v>47.217131500000001</v>
      </c>
      <c r="AO97" s="151">
        <v>186.25143399999999</v>
      </c>
      <c r="AP97" s="151">
        <v>0.68127490000000002</v>
      </c>
      <c r="AQ97" s="151">
        <v>0.43478087999999998</v>
      </c>
      <c r="AR97" s="151">
        <v>0.20461155</v>
      </c>
      <c r="AS97" s="151">
        <v>1.5681145400000001</v>
      </c>
      <c r="AT97" s="151">
        <v>0.44530876000000003</v>
      </c>
      <c r="AU97" s="151">
        <v>0</v>
      </c>
      <c r="AV97" s="151">
        <v>2.0572071699999999</v>
      </c>
      <c r="AW97" s="151">
        <v>5.0548844600000002</v>
      </c>
      <c r="AX97" s="151">
        <v>5.8745059800000003</v>
      </c>
      <c r="AY97" s="151">
        <v>5.2575657400000004</v>
      </c>
      <c r="AZ97" s="151">
        <v>1.0794382499999999</v>
      </c>
      <c r="BA97" s="151">
        <v>0.4468008</v>
      </c>
      <c r="BB97" s="151">
        <v>4.6334223100000003</v>
      </c>
      <c r="BC97" s="151">
        <v>4.0496374499999996</v>
      </c>
      <c r="BD97" s="151">
        <v>0.79351393999999997</v>
      </c>
      <c r="BE97" s="151">
        <v>6.53890438</v>
      </c>
      <c r="BF97" s="151">
        <v>7.1133266900000001</v>
      </c>
      <c r="BG97" s="151">
        <v>5.7109641399999997</v>
      </c>
      <c r="BH97" s="151">
        <v>11.0006892</v>
      </c>
      <c r="BI97" s="151">
        <v>23.184729099999998</v>
      </c>
      <c r="BJ97" s="151">
        <v>5.5442231099999999</v>
      </c>
      <c r="BK97" s="151">
        <v>3.7322231100000001</v>
      </c>
      <c r="BL97" s="151">
        <v>4.7635497999999998</v>
      </c>
      <c r="BM97" s="151">
        <v>3.5982987999999998</v>
      </c>
      <c r="BN97" s="151">
        <v>19.5023506</v>
      </c>
      <c r="BO97" s="151">
        <v>19.566613499999999</v>
      </c>
      <c r="BP97" s="151">
        <v>34.291832669999998</v>
      </c>
      <c r="BQ97" s="6"/>
    </row>
    <row r="98" spans="1:69">
      <c r="A98" s="179">
        <v>21102</v>
      </c>
      <c r="B98" s="149" t="s">
        <v>508</v>
      </c>
      <c r="E98" t="s">
        <v>1686</v>
      </c>
      <c r="F98" s="150">
        <v>135</v>
      </c>
      <c r="G98" s="149" t="s">
        <v>508</v>
      </c>
      <c r="J98" s="151">
        <v>68.163563600000003</v>
      </c>
      <c r="K98" s="151">
        <v>143.331165</v>
      </c>
      <c r="L98" s="151">
        <v>0.98597309</v>
      </c>
      <c r="M98" s="151">
        <v>4.4265549100000001</v>
      </c>
      <c r="N98" s="151">
        <v>5.5157170899999999</v>
      </c>
      <c r="O98" s="151">
        <v>1.74712</v>
      </c>
      <c r="P98" s="151">
        <v>2.917291E-2</v>
      </c>
      <c r="Q98" s="151">
        <v>4.2531359999999997E-2</v>
      </c>
      <c r="R98" s="151">
        <v>0.24306864</v>
      </c>
      <c r="S98" s="151">
        <v>0.26151964</v>
      </c>
      <c r="T98" s="151">
        <v>0.11282291</v>
      </c>
      <c r="U98" s="151">
        <v>8.6579370900000008</v>
      </c>
      <c r="V98" s="151">
        <v>0</v>
      </c>
      <c r="W98" s="151">
        <v>9.28007618</v>
      </c>
      <c r="X98" s="151">
        <v>0.36941817999999998</v>
      </c>
      <c r="Y98" s="151">
        <v>0.13177382000000001</v>
      </c>
      <c r="Z98" s="151">
        <v>25.4922051</v>
      </c>
      <c r="AA98" s="151">
        <v>0</v>
      </c>
      <c r="AB98" s="151">
        <v>4.9590468200000002</v>
      </c>
      <c r="AC98" s="151">
        <v>0.72</v>
      </c>
      <c r="AD98" s="151">
        <v>45.221364399999999</v>
      </c>
      <c r="AE98" s="151">
        <v>162.136943</v>
      </c>
      <c r="AF98" s="151">
        <v>0</v>
      </c>
      <c r="AG98" s="151">
        <v>0</v>
      </c>
      <c r="AH98" s="151">
        <v>28.4828349</v>
      </c>
      <c r="AI98" s="151">
        <v>27.048818199999999</v>
      </c>
      <c r="AJ98" s="151">
        <v>0.18905163999999999</v>
      </c>
      <c r="AK98" s="151">
        <v>0.86334544999999996</v>
      </c>
      <c r="AL98" s="151">
        <v>17.3336364</v>
      </c>
      <c r="AM98" s="151">
        <v>0.24794255000000001</v>
      </c>
      <c r="AN98" s="151">
        <v>27.702454500000002</v>
      </c>
      <c r="AO98" s="151">
        <v>255.48150899999999</v>
      </c>
      <c r="AP98" s="151">
        <v>0.73670181999999995</v>
      </c>
      <c r="AQ98" s="151">
        <v>0.39009818000000002</v>
      </c>
      <c r="AR98" s="151">
        <v>0.70827273000000002</v>
      </c>
      <c r="AS98" s="151">
        <v>1.0217454500000001</v>
      </c>
      <c r="AT98" s="151">
        <v>2.5637090900000001</v>
      </c>
      <c r="AU98" s="151">
        <v>0</v>
      </c>
      <c r="AV98" s="151">
        <v>1.6185450000000001E-2</v>
      </c>
      <c r="AW98" s="151">
        <v>3.2076359999999998E-2</v>
      </c>
      <c r="AX98" s="151">
        <v>5.5036359999999999E-2</v>
      </c>
      <c r="AY98" s="151">
        <v>3.5812730000000001E-2</v>
      </c>
      <c r="AZ98" s="151">
        <v>9.7254500000000001E-3</v>
      </c>
      <c r="BA98" s="151">
        <v>8.3763599999999994E-3</v>
      </c>
      <c r="BB98" s="151">
        <v>3.7576360000000003E-2</v>
      </c>
      <c r="BC98" s="151">
        <v>3.380727E-2</v>
      </c>
      <c r="BD98" s="151">
        <v>9.0381799999999998E-3</v>
      </c>
      <c r="BE98" s="151">
        <v>4.0463640000000002E-2</v>
      </c>
      <c r="BF98" s="151">
        <v>5.3598180000000002E-2</v>
      </c>
      <c r="BG98" s="151">
        <v>5.664545E-2</v>
      </c>
      <c r="BH98" s="151">
        <v>0.11003273</v>
      </c>
      <c r="BI98" s="151">
        <v>0.14771999999999999</v>
      </c>
      <c r="BJ98" s="151">
        <v>4.3058180000000001E-2</v>
      </c>
      <c r="BK98" s="151">
        <v>3.2027269999999997E-2</v>
      </c>
      <c r="BL98" s="151">
        <v>3.805091E-2</v>
      </c>
      <c r="BM98" s="151">
        <v>2.701636E-2</v>
      </c>
      <c r="BN98" s="151">
        <v>19.4758</v>
      </c>
      <c r="BO98" s="151">
        <v>26.394563600000001</v>
      </c>
      <c r="BP98" s="151">
        <v>4.843636364</v>
      </c>
      <c r="BQ98" s="6"/>
    </row>
    <row r="99" spans="1:69">
      <c r="A99" s="179">
        <v>43102</v>
      </c>
      <c r="B99" s="149" t="s">
        <v>515</v>
      </c>
      <c r="E99" t="s">
        <v>1686</v>
      </c>
      <c r="F99" s="150">
        <v>136</v>
      </c>
      <c r="G99" s="149" t="s">
        <v>515</v>
      </c>
      <c r="J99" s="151">
        <v>177.47717499999999</v>
      </c>
      <c r="K99" s="151">
        <v>118.493488</v>
      </c>
      <c r="L99" s="151">
        <v>14.0047076</v>
      </c>
      <c r="M99" s="151">
        <v>11.849293899999999</v>
      </c>
      <c r="N99" s="151">
        <v>2.8521397999999998</v>
      </c>
      <c r="O99" s="151">
        <v>0.84545649</v>
      </c>
      <c r="P99" s="151">
        <v>0.15791847000000001</v>
      </c>
      <c r="Q99" s="151">
        <v>0.20026337</v>
      </c>
      <c r="R99" s="151">
        <v>2.5097689700000001</v>
      </c>
      <c r="S99" s="151">
        <v>1.3120393699999999</v>
      </c>
      <c r="T99" s="151">
        <v>0.12896226999999999</v>
      </c>
      <c r="U99" s="151">
        <v>9.3944293900000009</v>
      </c>
      <c r="V99" s="151">
        <v>5.0340513600000003</v>
      </c>
      <c r="W99" s="151">
        <v>6.2250709300000002</v>
      </c>
      <c r="X99" s="151">
        <v>2.37007418</v>
      </c>
      <c r="Y99" s="151">
        <v>0.29329443999999999</v>
      </c>
      <c r="Z99" s="151">
        <v>23.770952399999999</v>
      </c>
      <c r="AA99" s="151">
        <v>8.8984450800000001</v>
      </c>
      <c r="AB99" s="151">
        <v>14.923719500000001</v>
      </c>
      <c r="AC99" s="151">
        <v>1.1298145500000001</v>
      </c>
      <c r="AD99" s="151">
        <v>67.044836799999999</v>
      </c>
      <c r="AE99" s="151">
        <v>210.30873800000001</v>
      </c>
      <c r="AF99" s="151">
        <v>5.1982880000000002E-2</v>
      </c>
      <c r="AG99" s="151">
        <v>2.2810271000000002</v>
      </c>
      <c r="AH99" s="151">
        <v>5.8628964300000002</v>
      </c>
      <c r="AI99" s="151">
        <v>42.891362299999997</v>
      </c>
      <c r="AJ99" s="151">
        <v>0.20981171000000001</v>
      </c>
      <c r="AK99" s="151">
        <v>1.3646344500000001</v>
      </c>
      <c r="AL99" s="151">
        <v>20.842767500000001</v>
      </c>
      <c r="AM99" s="151">
        <v>0.78613124000000001</v>
      </c>
      <c r="AN99" s="151">
        <v>138.62942899999999</v>
      </c>
      <c r="AO99" s="151">
        <v>247.04537400000001</v>
      </c>
      <c r="AP99" s="151">
        <v>8.4805920100000005</v>
      </c>
      <c r="AQ99" s="151">
        <v>0.61284592999999998</v>
      </c>
      <c r="AR99" s="151">
        <v>1.9411483599999999</v>
      </c>
      <c r="AS99" s="151">
        <v>3.85720756</v>
      </c>
      <c r="AT99" s="151">
        <v>5.3384101299999998</v>
      </c>
      <c r="AU99" s="151">
        <v>37.480741799999997</v>
      </c>
      <c r="AV99" s="151">
        <v>0.40410842000000002</v>
      </c>
      <c r="AW99" s="151">
        <v>0.63623752</v>
      </c>
      <c r="AX99" s="151">
        <v>1.1194907300000001</v>
      </c>
      <c r="AY99" s="151">
        <v>1.25208845</v>
      </c>
      <c r="AZ99" s="151">
        <v>0.40348787000000003</v>
      </c>
      <c r="BA99" s="151">
        <v>0.14985021000000001</v>
      </c>
      <c r="BB99" s="151">
        <v>0.54430955999999997</v>
      </c>
      <c r="BC99" s="151">
        <v>0.6063923</v>
      </c>
      <c r="BD99" s="151">
        <v>0.15681882999999999</v>
      </c>
      <c r="BE99" s="151">
        <v>0.71167332000000005</v>
      </c>
      <c r="BF99" s="151">
        <v>0.83932739000000001</v>
      </c>
      <c r="BG99" s="151">
        <v>0.85084307999999997</v>
      </c>
      <c r="BH99" s="151">
        <v>1.4420777499999999</v>
      </c>
      <c r="BI99" s="151">
        <v>2.10986662</v>
      </c>
      <c r="BJ99" s="151">
        <v>0.67139157999999999</v>
      </c>
      <c r="BK99" s="151">
        <v>0.49151212999999999</v>
      </c>
      <c r="BL99" s="151">
        <v>0.56556846999999999</v>
      </c>
      <c r="BM99" s="151">
        <v>0.46673608999999999</v>
      </c>
      <c r="BN99" s="151">
        <v>12.394293899999999</v>
      </c>
      <c r="BO99" s="151">
        <v>4.9790370900000003</v>
      </c>
      <c r="BP99" s="151">
        <v>2.987874465</v>
      </c>
      <c r="BQ99" s="6"/>
    </row>
    <row r="100" spans="1:69">
      <c r="A100" s="179">
        <v>42102</v>
      </c>
      <c r="B100" s="149" t="s">
        <v>523</v>
      </c>
      <c r="E100" t="s">
        <v>1686</v>
      </c>
      <c r="F100" s="150">
        <v>137</v>
      </c>
      <c r="G100" s="149" t="s">
        <v>523</v>
      </c>
      <c r="J100" s="151">
        <v>360.08108099999998</v>
      </c>
      <c r="K100" s="151">
        <v>158.69999999999999</v>
      </c>
      <c r="L100" s="151">
        <v>15.3517256</v>
      </c>
      <c r="M100" s="151">
        <v>31.145509400000002</v>
      </c>
      <c r="N100" s="151">
        <v>4.9093139299999997</v>
      </c>
      <c r="O100" s="151">
        <v>0.99983367999999995</v>
      </c>
      <c r="P100" s="151">
        <v>8.0577339999999997E-2</v>
      </c>
      <c r="Q100" s="151">
        <v>0.13834838999999999</v>
      </c>
      <c r="R100" s="151">
        <v>1.60546476</v>
      </c>
      <c r="S100" s="151">
        <v>1.9690690200000001</v>
      </c>
      <c r="T100" s="151">
        <v>0.28691206000000002</v>
      </c>
      <c r="U100" s="151">
        <v>1507.06133</v>
      </c>
      <c r="V100" s="151">
        <v>1.8792099799999999</v>
      </c>
      <c r="W100" s="151">
        <v>2.6928914800000001</v>
      </c>
      <c r="X100" s="151">
        <v>3.3940149700000002</v>
      </c>
      <c r="Y100" s="151">
        <v>1.2399950099999999</v>
      </c>
      <c r="Z100" s="151">
        <v>33.914124299999997</v>
      </c>
      <c r="AA100" s="151">
        <v>4.9106207900000003</v>
      </c>
      <c r="AB100" s="151">
        <v>2.5014110199999999</v>
      </c>
      <c r="AC100" s="151">
        <v>0</v>
      </c>
      <c r="AD100" s="151">
        <v>27.9332335</v>
      </c>
      <c r="AE100" s="151">
        <v>12.1262162</v>
      </c>
      <c r="AF100" s="151">
        <v>7.5758839999999994E-2</v>
      </c>
      <c r="AG100" s="151">
        <v>3.3243243200000001</v>
      </c>
      <c r="AH100" s="151">
        <v>6.8255253600000003</v>
      </c>
      <c r="AI100" s="151">
        <v>85.1225156</v>
      </c>
      <c r="AJ100" s="151">
        <v>0.27993731999999999</v>
      </c>
      <c r="AK100" s="151">
        <v>1.5750432999999999</v>
      </c>
      <c r="AL100" s="151">
        <v>28.2878331</v>
      </c>
      <c r="AM100" s="151">
        <v>0.21311435000000001</v>
      </c>
      <c r="AN100" s="151">
        <v>143.076469</v>
      </c>
      <c r="AO100" s="151">
        <v>196.74807699999999</v>
      </c>
      <c r="AP100" s="151">
        <v>30.946964699999999</v>
      </c>
      <c r="AQ100" s="151">
        <v>0.66307691999999996</v>
      </c>
      <c r="AR100" s="151">
        <v>12.5154678</v>
      </c>
      <c r="AS100" s="151">
        <v>12.0299792</v>
      </c>
      <c r="AT100" s="151">
        <v>12.1056195</v>
      </c>
      <c r="AU100" s="151">
        <v>100.758337</v>
      </c>
      <c r="AV100" s="151">
        <v>0.57922245000000006</v>
      </c>
      <c r="AW100" s="151">
        <v>0.61792930999999995</v>
      </c>
      <c r="AX100" s="151">
        <v>1.13759459</v>
      </c>
      <c r="AY100" s="151">
        <v>1.34626819</v>
      </c>
      <c r="AZ100" s="151">
        <v>0.46013098000000002</v>
      </c>
      <c r="BA100" s="151">
        <v>7.9022899999999993E-3</v>
      </c>
      <c r="BB100" s="151">
        <v>0.62194386999999995</v>
      </c>
      <c r="BC100" s="151">
        <v>0.76350103999999996</v>
      </c>
      <c r="BD100" s="151">
        <v>6.9625800000000003E-3</v>
      </c>
      <c r="BE100" s="151">
        <v>0.76721205999999997</v>
      </c>
      <c r="BF100" s="151">
        <v>0.91875675999999995</v>
      </c>
      <c r="BG100" s="151">
        <v>0.89238253999999995</v>
      </c>
      <c r="BH100" s="151">
        <v>1.4974781699999999</v>
      </c>
      <c r="BI100" s="151">
        <v>2.1250436599999998</v>
      </c>
      <c r="BJ100" s="151">
        <v>0.58766735999999997</v>
      </c>
      <c r="BK100" s="151">
        <v>0.47058835999999998</v>
      </c>
      <c r="BL100" s="151">
        <v>0.42899167999999999</v>
      </c>
      <c r="BM100" s="151">
        <v>0.58321414000000005</v>
      </c>
      <c r="BN100" s="151">
        <v>19.117380499999999</v>
      </c>
      <c r="BO100" s="151">
        <v>6.7766735999999996</v>
      </c>
      <c r="BP100" s="151">
        <v>1.8004157999999999</v>
      </c>
      <c r="BQ100" s="6"/>
    </row>
    <row r="101" spans="1:69">
      <c r="A101" s="179">
        <v>42103</v>
      </c>
      <c r="B101" s="149" t="s">
        <v>527</v>
      </c>
      <c r="E101" t="s">
        <v>1686</v>
      </c>
      <c r="F101" s="150">
        <v>138</v>
      </c>
      <c r="G101" s="149" t="s">
        <v>527</v>
      </c>
      <c r="J101" s="151">
        <v>265.94900200000001</v>
      </c>
      <c r="K101" s="151">
        <v>169.215405</v>
      </c>
      <c r="L101" s="151">
        <v>17.3534927</v>
      </c>
      <c r="M101" s="151">
        <v>19.584282699999999</v>
      </c>
      <c r="N101" s="151">
        <v>4.9093139299999997</v>
      </c>
      <c r="O101" s="151">
        <v>0.99983367999999995</v>
      </c>
      <c r="P101" s="151">
        <v>1.7828070000000001E-2</v>
      </c>
      <c r="Q101" s="151">
        <v>0.25085586999999998</v>
      </c>
      <c r="R101" s="151">
        <v>1.63193711</v>
      </c>
      <c r="S101" s="151">
        <v>1.3072602900000001</v>
      </c>
      <c r="T101" s="151">
        <v>0.12480977</v>
      </c>
      <c r="U101" s="151">
        <v>10.4598104</v>
      </c>
      <c r="V101" s="151">
        <v>2.45114345</v>
      </c>
      <c r="W101" s="151">
        <v>3.63413056</v>
      </c>
      <c r="X101" s="151">
        <v>2.8447137200000001</v>
      </c>
      <c r="Y101" s="151">
        <v>1.6076665299999999</v>
      </c>
      <c r="Z101" s="151">
        <v>33.914124299999997</v>
      </c>
      <c r="AA101" s="151">
        <v>573.12636199999997</v>
      </c>
      <c r="AB101" s="151">
        <v>575.62777300000005</v>
      </c>
      <c r="AC101" s="151">
        <v>0</v>
      </c>
      <c r="AD101" s="151">
        <v>27.9332335</v>
      </c>
      <c r="AE101" s="151">
        <v>12.1262162</v>
      </c>
      <c r="AF101" s="151">
        <v>7.5758839999999994E-2</v>
      </c>
      <c r="AG101" s="151">
        <v>3.3243243200000001</v>
      </c>
      <c r="AH101" s="151">
        <v>6.8255253600000003</v>
      </c>
      <c r="AI101" s="151">
        <v>58.184449100000002</v>
      </c>
      <c r="AJ101" s="151">
        <v>2.1528968800000001</v>
      </c>
      <c r="AK101" s="151">
        <v>1.72262256</v>
      </c>
      <c r="AL101" s="151">
        <v>39.412837799999998</v>
      </c>
      <c r="AM101" s="151">
        <v>0.25396674000000002</v>
      </c>
      <c r="AN101" s="151">
        <v>252.63228699999999</v>
      </c>
      <c r="AO101" s="151">
        <v>366.759387</v>
      </c>
      <c r="AP101" s="151">
        <v>55.213284799999997</v>
      </c>
      <c r="AQ101" s="151">
        <v>2.0438877299999998</v>
      </c>
      <c r="AR101" s="151">
        <v>3.5287588400000001</v>
      </c>
      <c r="AS101" s="151">
        <v>4.5891247399999999</v>
      </c>
      <c r="AT101" s="151">
        <v>10.569569599999999</v>
      </c>
      <c r="AU101" s="151">
        <v>47.911684000000001</v>
      </c>
      <c r="AV101" s="151">
        <v>3.0099397099999998</v>
      </c>
      <c r="AW101" s="151">
        <v>2.8239584199999999</v>
      </c>
      <c r="AX101" s="151">
        <v>2.8174449099999999</v>
      </c>
      <c r="AY101" s="151">
        <v>4.8750977100000004</v>
      </c>
      <c r="AZ101" s="151">
        <v>3.7838815000000001</v>
      </c>
      <c r="BA101" s="151">
        <v>8.9464054100000006</v>
      </c>
      <c r="BB101" s="151">
        <v>3.3508835800000001</v>
      </c>
      <c r="BC101" s="151">
        <v>2.8477900200000001</v>
      </c>
      <c r="BD101" s="151">
        <v>1.00376091</v>
      </c>
      <c r="BE101" s="151">
        <v>3.7502536399999999</v>
      </c>
      <c r="BF101" s="151">
        <v>1.71374428</v>
      </c>
      <c r="BG101" s="151">
        <v>3.3941829499999998</v>
      </c>
      <c r="BH101" s="151">
        <v>0.98600624000000003</v>
      </c>
      <c r="BI101" s="151">
        <v>6.4839937599999997</v>
      </c>
      <c r="BJ101" s="151">
        <v>5.3698482299999997</v>
      </c>
      <c r="BK101" s="151">
        <v>4.8973534299999999</v>
      </c>
      <c r="BL101" s="151">
        <v>2.8972931399999999</v>
      </c>
      <c r="BM101" s="151">
        <v>3.1038066500000001</v>
      </c>
      <c r="BN101" s="151">
        <v>19.117380499999999</v>
      </c>
      <c r="BO101" s="151">
        <v>6.7766735999999996</v>
      </c>
      <c r="BP101" s="151">
        <v>1.8004157999999999</v>
      </c>
      <c r="BQ101" s="6"/>
    </row>
    <row r="102" spans="1:69">
      <c r="A102" s="179">
        <v>42104</v>
      </c>
      <c r="B102" s="149" t="s">
        <v>532</v>
      </c>
      <c r="E102" t="s">
        <v>1686</v>
      </c>
      <c r="F102" s="150">
        <v>139</v>
      </c>
      <c r="G102" s="149" t="s">
        <v>532</v>
      </c>
      <c r="J102" s="151">
        <v>235.072765</v>
      </c>
      <c r="K102" s="151">
        <v>176.59334699999999</v>
      </c>
      <c r="L102" s="151">
        <v>10.8089397</v>
      </c>
      <c r="M102" s="151">
        <v>19.0123493</v>
      </c>
      <c r="N102" s="151">
        <v>4.9093139299999997</v>
      </c>
      <c r="O102" s="151">
        <v>0.99983367999999995</v>
      </c>
      <c r="P102" s="151">
        <v>2.93321E-2</v>
      </c>
      <c r="Q102" s="151">
        <v>5.8931339999999999E-2</v>
      </c>
      <c r="R102" s="151">
        <v>0.79805811000000004</v>
      </c>
      <c r="S102" s="151">
        <v>0.21650146000000001</v>
      </c>
      <c r="T102" s="151">
        <v>0.11853484</v>
      </c>
      <c r="U102" s="151">
        <v>6.3079002099999997</v>
      </c>
      <c r="V102" s="151">
        <v>0.92326403000000001</v>
      </c>
      <c r="W102" s="151">
        <v>2.6928914800000001</v>
      </c>
      <c r="X102" s="151">
        <v>2.1762869</v>
      </c>
      <c r="Y102" s="151">
        <v>0.65172057999999999</v>
      </c>
      <c r="Z102" s="151">
        <v>33.995829100000002</v>
      </c>
      <c r="AA102" s="151">
        <v>6.6180873199999999</v>
      </c>
      <c r="AB102" s="151">
        <v>9.1194983399999998</v>
      </c>
      <c r="AC102" s="151">
        <v>0</v>
      </c>
      <c r="AD102" s="151">
        <v>27.9332335</v>
      </c>
      <c r="AE102" s="151">
        <v>12.1262162</v>
      </c>
      <c r="AF102" s="151">
        <v>7.5758839999999994E-2</v>
      </c>
      <c r="AG102" s="151">
        <v>3.3243243200000001</v>
      </c>
      <c r="AH102" s="151">
        <v>6.8255253600000003</v>
      </c>
      <c r="AI102" s="151">
        <v>32.047089399999997</v>
      </c>
      <c r="AJ102" s="151">
        <v>0.16121822999999999</v>
      </c>
      <c r="AK102" s="151">
        <v>0.91979137</v>
      </c>
      <c r="AL102" s="151">
        <v>23.198523900000001</v>
      </c>
      <c r="AM102" s="151">
        <v>0.15918919000000001</v>
      </c>
      <c r="AN102" s="151">
        <v>180.495135</v>
      </c>
      <c r="AO102" s="151">
        <v>195.567443</v>
      </c>
      <c r="AP102" s="151">
        <v>21.943097699999999</v>
      </c>
      <c r="AQ102" s="151">
        <v>0.48332639999999999</v>
      </c>
      <c r="AR102" s="151">
        <v>3.0875530100000002</v>
      </c>
      <c r="AS102" s="151">
        <v>4.4273492699999997</v>
      </c>
      <c r="AT102" s="151">
        <v>10.384916799999999</v>
      </c>
      <c r="AU102" s="151">
        <v>36.767151800000001</v>
      </c>
      <c r="AV102" s="151">
        <v>0.25975675999999998</v>
      </c>
      <c r="AW102" s="151">
        <v>0.52315177000000002</v>
      </c>
      <c r="AX102" s="151">
        <v>0.92189396999999995</v>
      </c>
      <c r="AY102" s="151">
        <v>1.05948441</v>
      </c>
      <c r="AZ102" s="151">
        <v>0.38087734000000001</v>
      </c>
      <c r="BA102" s="151">
        <v>0.12964241000000001</v>
      </c>
      <c r="BB102" s="151">
        <v>0.44055925000000001</v>
      </c>
      <c r="BC102" s="151">
        <v>0.49877755000000001</v>
      </c>
      <c r="BD102" s="151">
        <v>0.13850728000000001</v>
      </c>
      <c r="BE102" s="151">
        <v>0.55641372</v>
      </c>
      <c r="BF102" s="151">
        <v>0.66056965000000001</v>
      </c>
      <c r="BG102" s="151">
        <v>0.80822660999999996</v>
      </c>
      <c r="BH102" s="151">
        <v>1.19843867</v>
      </c>
      <c r="BI102" s="151">
        <v>1.90035551</v>
      </c>
      <c r="BJ102" s="151">
        <v>0.55743659000000001</v>
      </c>
      <c r="BK102" s="151">
        <v>0.41748025</v>
      </c>
      <c r="BL102" s="151">
        <v>0.49435551</v>
      </c>
      <c r="BM102" s="151">
        <v>0.40673181000000003</v>
      </c>
      <c r="BN102" s="151">
        <v>19.117380499999999</v>
      </c>
      <c r="BO102" s="151">
        <v>6.7766735999999996</v>
      </c>
      <c r="BP102" s="151">
        <v>1.8004157999999999</v>
      </c>
      <c r="BQ102" s="6"/>
    </row>
    <row r="103" spans="1:69">
      <c r="A103" s="179">
        <v>42105</v>
      </c>
      <c r="B103" s="149" t="s">
        <v>536</v>
      </c>
      <c r="E103" t="s">
        <v>1686</v>
      </c>
      <c r="F103" s="150">
        <v>140</v>
      </c>
      <c r="G103" s="149" t="s">
        <v>536</v>
      </c>
      <c r="J103" s="151">
        <v>262.03534300000001</v>
      </c>
      <c r="K103" s="151">
        <v>170.849501</v>
      </c>
      <c r="L103" s="151">
        <v>13.390810800000001</v>
      </c>
      <c r="M103" s="151">
        <v>21.177526</v>
      </c>
      <c r="N103" s="151">
        <v>4.9093139299999997</v>
      </c>
      <c r="O103" s="151">
        <v>0.99983367999999995</v>
      </c>
      <c r="P103" s="151">
        <v>3.3515379999999997E-2</v>
      </c>
      <c r="Q103" s="151">
        <v>8.5403690000000004E-2</v>
      </c>
      <c r="R103" s="151">
        <v>1.23485187</v>
      </c>
      <c r="S103" s="151">
        <v>6.534761E-2</v>
      </c>
      <c r="T103" s="151">
        <v>0.19801726</v>
      </c>
      <c r="U103" s="151">
        <v>3.6933471899999999</v>
      </c>
      <c r="V103" s="151">
        <v>3.9463409600000001</v>
      </c>
      <c r="W103" s="151">
        <v>2.6928914800000001</v>
      </c>
      <c r="X103" s="151">
        <v>0.32322244999999999</v>
      </c>
      <c r="Y103" s="151">
        <v>0.13698046</v>
      </c>
      <c r="Z103" s="151">
        <v>33.914124299999997</v>
      </c>
      <c r="AA103" s="151">
        <v>6.6180873199999999</v>
      </c>
      <c r="AB103" s="151">
        <v>12.6469389</v>
      </c>
      <c r="AC103" s="151">
        <v>0</v>
      </c>
      <c r="AD103" s="151">
        <v>70.288992300000004</v>
      </c>
      <c r="AE103" s="151">
        <v>12.1262162</v>
      </c>
      <c r="AF103" s="151">
        <v>7.5758839999999994E-2</v>
      </c>
      <c r="AG103" s="151">
        <v>3.3243243200000001</v>
      </c>
      <c r="AH103" s="151">
        <v>6.8255253600000003</v>
      </c>
      <c r="AI103" s="151">
        <v>36.761455300000002</v>
      </c>
      <c r="AJ103" s="151">
        <v>0.19145103999999999</v>
      </c>
      <c r="AK103" s="151">
        <v>1.26217526</v>
      </c>
      <c r="AL103" s="151">
        <v>27.665732800000001</v>
      </c>
      <c r="AM103" s="151">
        <v>0.16409148000000001</v>
      </c>
      <c r="AN103" s="151">
        <v>132.84490600000001</v>
      </c>
      <c r="AO103" s="151">
        <v>304.46322900000001</v>
      </c>
      <c r="AP103" s="151">
        <v>58.244532200000002</v>
      </c>
      <c r="AQ103" s="151">
        <v>0.65490643999999998</v>
      </c>
      <c r="AR103" s="151">
        <v>6.5346777500000002</v>
      </c>
      <c r="AS103" s="151">
        <v>7.3401247400000003</v>
      </c>
      <c r="AT103" s="151">
        <v>10.978093599999999</v>
      </c>
      <c r="AU103" s="151">
        <v>116.75613300000001</v>
      </c>
      <c r="AV103" s="151">
        <v>0.26465904000000001</v>
      </c>
      <c r="AW103" s="151">
        <v>0.61220998000000004</v>
      </c>
      <c r="AX103" s="151">
        <v>1.0370977100000001</v>
      </c>
      <c r="AY103" s="151">
        <v>1.14772557</v>
      </c>
      <c r="AZ103" s="151">
        <v>0.27874636000000003</v>
      </c>
      <c r="BA103" s="151">
        <v>7.9022899999999993E-3</v>
      </c>
      <c r="BB103" s="151">
        <v>0.54350728000000004</v>
      </c>
      <c r="BC103" s="151">
        <v>0.58129938000000003</v>
      </c>
      <c r="BD103" s="151">
        <v>6.9625800000000003E-3</v>
      </c>
      <c r="BE103" s="151">
        <v>0.64792307999999998</v>
      </c>
      <c r="BF103" s="151">
        <v>0.83051558999999997</v>
      </c>
      <c r="BG103" s="151">
        <v>0.83845738000000003</v>
      </c>
      <c r="BH103" s="151">
        <v>1.3504095599999999</v>
      </c>
      <c r="BI103" s="151">
        <v>0.16004366</v>
      </c>
      <c r="BJ103" s="151">
        <v>0.88670685999999999</v>
      </c>
      <c r="BK103" s="151">
        <v>0.55311018999999995</v>
      </c>
      <c r="BL103" s="151">
        <v>0.46575884000000001</v>
      </c>
      <c r="BM103" s="151">
        <v>0.32012474000000002</v>
      </c>
      <c r="BN103" s="151">
        <v>19.117380499999999</v>
      </c>
      <c r="BO103" s="151">
        <v>6.7766735999999996</v>
      </c>
      <c r="BP103" s="151">
        <v>1.8004157999999999</v>
      </c>
      <c r="BQ103" s="6"/>
    </row>
    <row r="104" spans="1:69">
      <c r="A104" s="179">
        <v>42106</v>
      </c>
      <c r="B104" s="149" t="s">
        <v>540</v>
      </c>
      <c r="E104" t="s">
        <v>1686</v>
      </c>
      <c r="F104" s="150">
        <v>141</v>
      </c>
      <c r="G104" s="149" t="s">
        <v>540</v>
      </c>
      <c r="J104" s="151">
        <v>284.09563400000002</v>
      </c>
      <c r="K104" s="151">
        <v>167.14010400000001</v>
      </c>
      <c r="L104" s="151">
        <v>14.992224500000001</v>
      </c>
      <c r="M104" s="151">
        <v>22.836133100000001</v>
      </c>
      <c r="N104" s="151">
        <v>4.9093139299999997</v>
      </c>
      <c r="O104" s="151">
        <v>0.99983367999999995</v>
      </c>
      <c r="P104" s="151">
        <v>3.3515379999999997E-2</v>
      </c>
      <c r="Q104" s="151">
        <v>0.16482073999999999</v>
      </c>
      <c r="R104" s="151">
        <v>1.83047973</v>
      </c>
      <c r="S104" s="151">
        <v>6.534761E-2</v>
      </c>
      <c r="T104" s="151">
        <v>0.13003888</v>
      </c>
      <c r="U104" s="151">
        <v>6.3079002099999997</v>
      </c>
      <c r="V104" s="151">
        <v>1.9445737999999999</v>
      </c>
      <c r="W104" s="151">
        <v>2.9543467799999998</v>
      </c>
      <c r="X104" s="151">
        <v>0.32322244999999999</v>
      </c>
      <c r="Y104" s="151">
        <v>0.13698046</v>
      </c>
      <c r="Z104" s="151">
        <v>33.914124299999997</v>
      </c>
      <c r="AA104" s="151">
        <v>138.31802500000001</v>
      </c>
      <c r="AB104" s="151">
        <v>144.902796</v>
      </c>
      <c r="AC104" s="151">
        <v>0</v>
      </c>
      <c r="AD104" s="151">
        <v>76.907079600000003</v>
      </c>
      <c r="AE104" s="151">
        <v>12.1262162</v>
      </c>
      <c r="AF104" s="151">
        <v>7.5758839999999994E-2</v>
      </c>
      <c r="AG104" s="151">
        <v>3.3243243200000001</v>
      </c>
      <c r="AH104" s="151">
        <v>6.8255253600000003</v>
      </c>
      <c r="AI104" s="151">
        <v>349.87869000000001</v>
      </c>
      <c r="AJ104" s="151">
        <v>0.17670332999999999</v>
      </c>
      <c r="AK104" s="151">
        <v>1.5278179300000001</v>
      </c>
      <c r="AL104" s="151">
        <v>46.401538000000002</v>
      </c>
      <c r="AM104" s="151">
        <v>0.14775052</v>
      </c>
      <c r="AN104" s="151">
        <v>272.01004699999999</v>
      </c>
      <c r="AO104" s="151">
        <v>227.35011299999999</v>
      </c>
      <c r="AP104" s="151">
        <v>0.20962578000000001</v>
      </c>
      <c r="AQ104" s="151">
        <v>1.1451351400000001</v>
      </c>
      <c r="AR104" s="151">
        <v>2.7272349299999998</v>
      </c>
      <c r="AS104" s="151">
        <v>3.9902286899999999</v>
      </c>
      <c r="AT104" s="151">
        <v>10.079340999999999</v>
      </c>
      <c r="AU104" s="151">
        <v>0</v>
      </c>
      <c r="AV104" s="151">
        <v>1.1374220000000001E-2</v>
      </c>
      <c r="AW104" s="151">
        <v>2.1484409999999999E-2</v>
      </c>
      <c r="AX104" s="151">
        <v>3.1311850000000002E-2</v>
      </c>
      <c r="AY104" s="151">
        <v>2.1833680000000001E-2</v>
      </c>
      <c r="AZ104" s="151">
        <v>9.1205799999999997E-3</v>
      </c>
      <c r="BA104" s="151">
        <v>7.9022899999999993E-3</v>
      </c>
      <c r="BB104" s="151">
        <v>2.5498960000000001E-2</v>
      </c>
      <c r="BC104" s="151">
        <v>2.0804570000000001E-2</v>
      </c>
      <c r="BD104" s="151">
        <v>6.9625800000000003E-3</v>
      </c>
      <c r="BE104" s="151">
        <v>2.451559E-2</v>
      </c>
      <c r="BF104" s="151">
        <v>3.0625779999999998E-2</v>
      </c>
      <c r="BG104" s="151">
        <v>7.6968809999999999E-2</v>
      </c>
      <c r="BH104" s="151">
        <v>7.0912680000000006E-2</v>
      </c>
      <c r="BI104" s="151">
        <v>0.16004366</v>
      </c>
      <c r="BJ104" s="151">
        <v>3.4525989999999999E-2</v>
      </c>
      <c r="BK104" s="151">
        <v>1.9577959999999998E-2</v>
      </c>
      <c r="BL104" s="151">
        <v>2.1284819999999999E-2</v>
      </c>
      <c r="BM104" s="151">
        <v>1.53659E-2</v>
      </c>
      <c r="BN104" s="151">
        <v>19.117380499999999</v>
      </c>
      <c r="BO104" s="151">
        <v>6.7766735999999996</v>
      </c>
      <c r="BP104" s="151">
        <v>1.8004157999999999</v>
      </c>
      <c r="BQ104" s="6"/>
    </row>
    <row r="105" spans="1:69">
      <c r="A105" s="179">
        <v>42108</v>
      </c>
      <c r="B105" s="149" t="s">
        <v>549</v>
      </c>
      <c r="E105" t="s">
        <v>1686</v>
      </c>
      <c r="F105" s="150">
        <v>142</v>
      </c>
      <c r="G105" s="149" t="s">
        <v>549</v>
      </c>
      <c r="J105" s="151">
        <v>278.37629900000002</v>
      </c>
      <c r="K105" s="151">
        <v>169.47686100000001</v>
      </c>
      <c r="L105" s="151">
        <v>14.730769199999999</v>
      </c>
      <c r="M105" s="151">
        <v>22.501143500000001</v>
      </c>
      <c r="N105" s="151">
        <v>4.9093139299999997</v>
      </c>
      <c r="O105" s="151">
        <v>0.99983367999999995</v>
      </c>
      <c r="P105" s="151">
        <v>2.828628E-2</v>
      </c>
      <c r="Q105" s="151">
        <v>5.8931339999999999E-2</v>
      </c>
      <c r="R105" s="151">
        <v>1.34735936</v>
      </c>
      <c r="S105" s="151">
        <v>6.534761E-2</v>
      </c>
      <c r="T105" s="151">
        <v>71.183131599999996</v>
      </c>
      <c r="U105" s="151">
        <v>7.8766320199999997</v>
      </c>
      <c r="V105" s="151">
        <v>0</v>
      </c>
      <c r="W105" s="151">
        <v>2.6928914800000001</v>
      </c>
      <c r="X105" s="151">
        <v>0.77325239000000001</v>
      </c>
      <c r="Y105" s="151">
        <v>0.53733388999999998</v>
      </c>
      <c r="Z105" s="151">
        <v>33.914124299999997</v>
      </c>
      <c r="AA105" s="151">
        <v>4.46059085</v>
      </c>
      <c r="AB105" s="151">
        <v>7.1340721399999998</v>
      </c>
      <c r="AC105" s="151">
        <v>0</v>
      </c>
      <c r="AD105" s="151">
        <v>27.9332335</v>
      </c>
      <c r="AE105" s="151">
        <v>12.1262162</v>
      </c>
      <c r="AF105" s="151">
        <v>7.5758839999999994E-2</v>
      </c>
      <c r="AG105" s="151">
        <v>3.3243243200000001</v>
      </c>
      <c r="AH105" s="151">
        <v>6.8255253600000003</v>
      </c>
      <c r="AI105" s="151">
        <v>32.864137200000002</v>
      </c>
      <c r="AJ105" s="151">
        <v>0.16195561</v>
      </c>
      <c r="AK105" s="151">
        <v>2.0532001000000002</v>
      </c>
      <c r="AL105" s="151">
        <v>29.816611200000001</v>
      </c>
      <c r="AM105" s="151">
        <v>0.14775052</v>
      </c>
      <c r="AN105" s="151">
        <v>137.47756799999999</v>
      </c>
      <c r="AO105" s="151">
        <v>233.938051</v>
      </c>
      <c r="AP105" s="151">
        <v>0.20962578000000001</v>
      </c>
      <c r="AQ105" s="151">
        <v>0.40979209999999999</v>
      </c>
      <c r="AR105" s="151">
        <v>4.2224324299999996</v>
      </c>
      <c r="AS105" s="151">
        <v>5.5916424100000004</v>
      </c>
      <c r="AT105" s="151">
        <v>10.806513499999999</v>
      </c>
      <c r="AU105" s="151">
        <v>56.000457400000002</v>
      </c>
      <c r="AV105" s="151">
        <v>0.81126403000000002</v>
      </c>
      <c r="AW105" s="151">
        <v>0.86386070999999998</v>
      </c>
      <c r="AX105" s="151">
        <v>1.31571102</v>
      </c>
      <c r="AY105" s="151">
        <v>1.10523909</v>
      </c>
      <c r="AZ105" s="151">
        <v>0.76162162</v>
      </c>
      <c r="BA105" s="151">
        <v>0.25791892</v>
      </c>
      <c r="BB105" s="151">
        <v>0.96918919000000003</v>
      </c>
      <c r="BC105" s="151">
        <v>0.85255924999999999</v>
      </c>
      <c r="BD105" s="151">
        <v>0.21449272</v>
      </c>
      <c r="BE105" s="151">
        <v>0.87097712999999999</v>
      </c>
      <c r="BF105" s="151">
        <v>0.61808315999999996</v>
      </c>
      <c r="BG105" s="151">
        <v>0.78126403</v>
      </c>
      <c r="BH105" s="151">
        <v>1.7434095599999999</v>
      </c>
      <c r="BI105" s="151">
        <v>2.5989313900000002</v>
      </c>
      <c r="BJ105" s="151">
        <v>1.77647193</v>
      </c>
      <c r="BK105" s="151">
        <v>1.3889501</v>
      </c>
      <c r="BL105" s="151">
        <v>0.82689396999999998</v>
      </c>
      <c r="BM105" s="151">
        <v>0.61834719000000005</v>
      </c>
      <c r="BN105" s="151">
        <v>19.117380499999999</v>
      </c>
      <c r="BO105" s="151">
        <v>6.7766735999999996</v>
      </c>
      <c r="BP105" s="151">
        <v>1.8004157999999999</v>
      </c>
      <c r="BQ105" s="6"/>
    </row>
    <row r="106" spans="1:69">
      <c r="A106" s="179">
        <v>41101</v>
      </c>
      <c r="B106" s="149" t="s">
        <v>553</v>
      </c>
      <c r="E106" t="s">
        <v>1686</v>
      </c>
      <c r="F106" s="150">
        <v>143</v>
      </c>
      <c r="G106" s="149" t="s">
        <v>553</v>
      </c>
      <c r="J106" s="151">
        <v>222.19454999999999</v>
      </c>
      <c r="K106" s="151">
        <v>134.89927800000001</v>
      </c>
      <c r="L106" s="151">
        <v>13.6221798</v>
      </c>
      <c r="M106" s="151">
        <v>15.5578883</v>
      </c>
      <c r="N106" s="151">
        <v>6.5276294300000002</v>
      </c>
      <c r="O106" s="151">
        <v>1.8152861</v>
      </c>
      <c r="P106" s="151">
        <v>5.3559259999999997E-2</v>
      </c>
      <c r="Q106" s="151">
        <v>0.10142101000000001</v>
      </c>
      <c r="R106" s="151">
        <v>1.1206409399999999</v>
      </c>
      <c r="S106" s="151">
        <v>1.1672640299999999</v>
      </c>
      <c r="T106" s="151">
        <v>0.15365163000000001</v>
      </c>
      <c r="U106" s="151">
        <v>11.686637599999999</v>
      </c>
      <c r="V106" s="151">
        <v>0</v>
      </c>
      <c r="W106" s="151">
        <v>13.7867841</v>
      </c>
      <c r="X106" s="151">
        <v>1.00748229</v>
      </c>
      <c r="Y106" s="151">
        <v>0.97891335000000002</v>
      </c>
      <c r="Z106" s="151">
        <v>43.376331100000002</v>
      </c>
      <c r="AA106" s="151">
        <v>4.3408937300000003</v>
      </c>
      <c r="AB106" s="151">
        <v>14.279804499999999</v>
      </c>
      <c r="AC106" s="151">
        <v>2.2070844699999999</v>
      </c>
      <c r="AD106" s="151">
        <v>112.173051</v>
      </c>
      <c r="AE106" s="151">
        <v>412.51344699999999</v>
      </c>
      <c r="AF106" s="151">
        <v>0</v>
      </c>
      <c r="AG106" s="151">
        <v>0</v>
      </c>
      <c r="AH106" s="151">
        <v>4.8080865099999999</v>
      </c>
      <c r="AI106" s="151">
        <v>47.358664900000001</v>
      </c>
      <c r="AJ106" s="151">
        <v>0.34390598999999999</v>
      </c>
      <c r="AK106" s="151">
        <v>1.8426198899999999</v>
      </c>
      <c r="AL106" s="151">
        <v>37.453713899999997</v>
      </c>
      <c r="AM106" s="151">
        <v>0.27610626999999999</v>
      </c>
      <c r="AN106" s="151">
        <v>103.329223</v>
      </c>
      <c r="AO106" s="151">
        <v>234.93664899999999</v>
      </c>
      <c r="AP106" s="151">
        <v>18.238678499999999</v>
      </c>
      <c r="AQ106" s="151">
        <v>0.9796049</v>
      </c>
      <c r="AR106" s="151">
        <v>3.7746594</v>
      </c>
      <c r="AS106" s="151">
        <v>3.5034059900000001</v>
      </c>
      <c r="AT106" s="151">
        <v>7.6194686599999999</v>
      </c>
      <c r="AU106" s="151">
        <v>41.290463199999998</v>
      </c>
      <c r="AV106" s="151">
        <v>2.98174932</v>
      </c>
      <c r="AW106" s="151">
        <v>2.9706294299999998</v>
      </c>
      <c r="AX106" s="151">
        <v>5.0169237100000004</v>
      </c>
      <c r="AY106" s="151">
        <v>3.5411185299999999</v>
      </c>
      <c r="AZ106" s="151">
        <v>1.88464578</v>
      </c>
      <c r="BA106" s="151">
        <v>1.2180817399999999</v>
      </c>
      <c r="BB106" s="151">
        <v>2.88105177</v>
      </c>
      <c r="BC106" s="151">
        <v>2.8207316100000002</v>
      </c>
      <c r="BD106" s="151">
        <v>0.74462669999999997</v>
      </c>
      <c r="BE106" s="151">
        <v>3.3653065400000002</v>
      </c>
      <c r="BF106" s="151">
        <v>3.4568024500000001</v>
      </c>
      <c r="BG106" s="151">
        <v>3.5604332400000001</v>
      </c>
      <c r="BH106" s="151">
        <v>6.9953732999999998</v>
      </c>
      <c r="BI106" s="151">
        <v>9.0722697500000002</v>
      </c>
      <c r="BJ106" s="151">
        <v>3.2743147100000001</v>
      </c>
      <c r="BK106" s="151">
        <v>2.1828324299999999</v>
      </c>
      <c r="BL106" s="151">
        <v>2.4807643100000001</v>
      </c>
      <c r="BM106" s="151">
        <v>2.5837547700000001</v>
      </c>
      <c r="BN106" s="151">
        <v>29.989891</v>
      </c>
      <c r="BO106" s="151">
        <v>10.6952452</v>
      </c>
      <c r="BP106" s="151">
        <v>6.8147138959999998</v>
      </c>
      <c r="BQ106" s="6"/>
    </row>
    <row r="107" spans="1:69">
      <c r="A107" s="179">
        <v>41103</v>
      </c>
      <c r="B107" s="149" t="s">
        <v>563</v>
      </c>
      <c r="E107" t="s">
        <v>1686</v>
      </c>
      <c r="F107" s="150">
        <v>144</v>
      </c>
      <c r="G107" s="149" t="s">
        <v>563</v>
      </c>
      <c r="J107" s="151">
        <v>212.771117</v>
      </c>
      <c r="K107" s="151">
        <v>136.09818799999999</v>
      </c>
      <c r="L107" s="151">
        <v>13.658147100000001</v>
      </c>
      <c r="M107" s="151">
        <v>14.5627929</v>
      </c>
      <c r="N107" s="151">
        <v>6.5276294300000002</v>
      </c>
      <c r="O107" s="151">
        <v>1.8152861</v>
      </c>
      <c r="P107" s="151">
        <v>0.39884536999999998</v>
      </c>
      <c r="Q107" s="151">
        <v>0.11113219000000001</v>
      </c>
      <c r="R107" s="151">
        <v>1.73730034</v>
      </c>
      <c r="S107" s="151">
        <v>0.60377628999999999</v>
      </c>
      <c r="T107" s="151">
        <v>0.14214209999999999</v>
      </c>
      <c r="U107" s="151">
        <v>17.932479600000001</v>
      </c>
      <c r="V107" s="151">
        <v>0</v>
      </c>
      <c r="W107" s="151">
        <v>13.7867841</v>
      </c>
      <c r="X107" s="151">
        <v>1.1774277900000001</v>
      </c>
      <c r="Y107" s="151">
        <v>0.68518038000000003</v>
      </c>
      <c r="Z107" s="151">
        <v>43.376331100000002</v>
      </c>
      <c r="AA107" s="151">
        <v>0.98568392000000005</v>
      </c>
      <c r="AB107" s="151">
        <v>10.9245947</v>
      </c>
      <c r="AC107" s="151">
        <v>2.2070844699999999</v>
      </c>
      <c r="AD107" s="151">
        <v>112.173051</v>
      </c>
      <c r="AE107" s="151">
        <v>412.51344699999999</v>
      </c>
      <c r="AF107" s="151">
        <v>0</v>
      </c>
      <c r="AG107" s="151">
        <v>0</v>
      </c>
      <c r="AH107" s="151">
        <v>4.8080865099999999</v>
      </c>
      <c r="AI107" s="151">
        <v>41.436048999999997</v>
      </c>
      <c r="AJ107" s="151">
        <v>0.31685559000000002</v>
      </c>
      <c r="AK107" s="151">
        <v>1.3315545</v>
      </c>
      <c r="AL107" s="151">
        <v>36.8419101</v>
      </c>
      <c r="AM107" s="151">
        <v>0.31207357000000002</v>
      </c>
      <c r="AN107" s="151">
        <v>191.215327</v>
      </c>
      <c r="AO107" s="151">
        <v>314.41597999999999</v>
      </c>
      <c r="AP107" s="151">
        <v>12.7416757</v>
      </c>
      <c r="AQ107" s="151">
        <v>1.2613487699999999</v>
      </c>
      <c r="AR107" s="151">
        <v>2.6662670300000002</v>
      </c>
      <c r="AS107" s="151">
        <v>3.6400817399999998</v>
      </c>
      <c r="AT107" s="151">
        <v>7.6590327</v>
      </c>
      <c r="AU107" s="151">
        <v>29.972752</v>
      </c>
      <c r="AV107" s="151">
        <v>0.30997819999999998</v>
      </c>
      <c r="AW107" s="151">
        <v>0.49607901999999998</v>
      </c>
      <c r="AX107" s="151">
        <v>0.95441688999999996</v>
      </c>
      <c r="AY107" s="151">
        <v>0.99823024999999999</v>
      </c>
      <c r="AZ107" s="151">
        <v>0.41957766000000002</v>
      </c>
      <c r="BA107" s="151">
        <v>0.10009809</v>
      </c>
      <c r="BB107" s="151">
        <v>0.53718255999999998</v>
      </c>
      <c r="BC107" s="151">
        <v>0.57697138999999997</v>
      </c>
      <c r="BD107" s="151">
        <v>0.19073024999999999</v>
      </c>
      <c r="BE107" s="151">
        <v>0.60901225999999997</v>
      </c>
      <c r="BF107" s="151">
        <v>1.3886825599999999</v>
      </c>
      <c r="BG107" s="151">
        <v>0.88386648999999995</v>
      </c>
      <c r="BH107" s="151">
        <v>1.28376567</v>
      </c>
      <c r="BI107" s="151">
        <v>2.3529781999999999</v>
      </c>
      <c r="BJ107" s="151">
        <v>0.90946457999999997</v>
      </c>
      <c r="BK107" s="151">
        <v>0.57269619000000005</v>
      </c>
      <c r="BL107" s="151">
        <v>0.52654087000000005</v>
      </c>
      <c r="BM107" s="151">
        <v>0.39514441</v>
      </c>
      <c r="BN107" s="151">
        <v>29.989891</v>
      </c>
      <c r="BO107" s="151">
        <v>10.6952452</v>
      </c>
      <c r="BP107" s="151">
        <v>6.8147138959999998</v>
      </c>
      <c r="BQ107" s="6"/>
    </row>
    <row r="108" spans="1:69">
      <c r="A108" s="179">
        <v>41104</v>
      </c>
      <c r="B108" s="149" t="s">
        <v>567</v>
      </c>
      <c r="E108" t="s">
        <v>1686</v>
      </c>
      <c r="F108" s="150">
        <v>145</v>
      </c>
      <c r="G108" s="149" t="s">
        <v>567</v>
      </c>
      <c r="J108" s="151">
        <v>203.779292</v>
      </c>
      <c r="K108" s="151">
        <v>134.58156700000001</v>
      </c>
      <c r="L108" s="151">
        <v>11.542070799999999</v>
      </c>
      <c r="M108" s="151">
        <v>14.442901900000001</v>
      </c>
      <c r="N108" s="151">
        <v>6.5276294300000002</v>
      </c>
      <c r="O108" s="151">
        <v>1.8152861</v>
      </c>
      <c r="P108" s="151">
        <v>3.8213219999999999E-2</v>
      </c>
      <c r="Q108" s="151">
        <v>9.6565429999999994E-2</v>
      </c>
      <c r="R108" s="151">
        <v>1.0769406699999999</v>
      </c>
      <c r="S108" s="151">
        <v>0.13620135999999999</v>
      </c>
      <c r="T108" s="151">
        <v>0.21119932</v>
      </c>
      <c r="U108" s="151">
        <v>8.7248501399999991</v>
      </c>
      <c r="V108" s="151">
        <v>0</v>
      </c>
      <c r="W108" s="151">
        <v>13.7867841</v>
      </c>
      <c r="X108" s="151">
        <v>0.77441417000000001</v>
      </c>
      <c r="Y108" s="151">
        <v>0.2595673</v>
      </c>
      <c r="Z108" s="151">
        <v>43.376331100000002</v>
      </c>
      <c r="AA108" s="151">
        <v>0</v>
      </c>
      <c r="AB108" s="151">
        <v>9.9389107600000006</v>
      </c>
      <c r="AC108" s="151">
        <v>2.2070844699999999</v>
      </c>
      <c r="AD108" s="151">
        <v>112.173051</v>
      </c>
      <c r="AE108" s="151">
        <v>412.51344699999999</v>
      </c>
      <c r="AF108" s="151">
        <v>0</v>
      </c>
      <c r="AG108" s="151">
        <v>0</v>
      </c>
      <c r="AH108" s="151">
        <v>4.8080865099999999</v>
      </c>
      <c r="AI108" s="151">
        <v>189.723243</v>
      </c>
      <c r="AJ108" s="151">
        <v>0.30603542</v>
      </c>
      <c r="AK108" s="151">
        <v>1.64339101</v>
      </c>
      <c r="AL108" s="151">
        <v>28.359201599999999</v>
      </c>
      <c r="AM108" s="151">
        <v>0.25212806999999998</v>
      </c>
      <c r="AN108" s="151">
        <v>150.428406</v>
      </c>
      <c r="AO108" s="151">
        <v>319.77783499999998</v>
      </c>
      <c r="AP108" s="151">
        <v>0.24303815000000001</v>
      </c>
      <c r="AQ108" s="151">
        <v>1.1714305199999999</v>
      </c>
      <c r="AR108" s="151">
        <v>2.7082288800000001</v>
      </c>
      <c r="AS108" s="151">
        <v>3.6400817399999998</v>
      </c>
      <c r="AT108" s="151">
        <v>7.98873297</v>
      </c>
      <c r="AU108" s="151">
        <v>28.024523200000001</v>
      </c>
      <c r="AV108" s="151">
        <v>2.0441419999999998E-2</v>
      </c>
      <c r="AW108" s="151">
        <v>3.9294280000000001E-2</v>
      </c>
      <c r="AX108" s="151">
        <v>5.9430520000000001E-2</v>
      </c>
      <c r="AY108" s="151">
        <v>4.0301089999999998E-2</v>
      </c>
      <c r="AZ108" s="151">
        <v>1.4346050000000001E-2</v>
      </c>
      <c r="BA108" s="151">
        <v>1.3177110000000001E-2</v>
      </c>
      <c r="BB108" s="151">
        <v>4.5629429999999999E-2</v>
      </c>
      <c r="BC108" s="151">
        <v>3.9260219999999998E-2</v>
      </c>
      <c r="BD108" s="151">
        <v>1.3291549999999999E-2</v>
      </c>
      <c r="BE108" s="151">
        <v>4.4325610000000001E-2</v>
      </c>
      <c r="BF108" s="151">
        <v>5.7892369999999999E-2</v>
      </c>
      <c r="BG108" s="151">
        <v>0.11956131</v>
      </c>
      <c r="BH108" s="151">
        <v>0.14360218</v>
      </c>
      <c r="BI108" s="151">
        <v>0.26028065</v>
      </c>
      <c r="BJ108" s="151">
        <v>6.1235690000000002E-2</v>
      </c>
      <c r="BK108" s="151">
        <v>3.6783379999999997E-2</v>
      </c>
      <c r="BL108" s="151">
        <v>4.0982289999999998E-2</v>
      </c>
      <c r="BM108" s="151">
        <v>3.0076289999999999E-2</v>
      </c>
      <c r="BN108" s="151">
        <v>29.989891</v>
      </c>
      <c r="BO108" s="151">
        <v>10.6952452</v>
      </c>
      <c r="BP108" s="151">
        <v>6.8147138959999998</v>
      </c>
      <c r="BQ108" s="6"/>
    </row>
    <row r="109" spans="1:69">
      <c r="A109" s="179">
        <v>41105</v>
      </c>
      <c r="B109" s="149" t="s">
        <v>571</v>
      </c>
      <c r="E109" t="s">
        <v>1686</v>
      </c>
      <c r="F109" s="150">
        <v>146</v>
      </c>
      <c r="G109" s="149" t="s">
        <v>571</v>
      </c>
      <c r="J109" s="151">
        <v>230.15531300000001</v>
      </c>
      <c r="K109" s="151">
        <v>133.32870600000001</v>
      </c>
      <c r="L109" s="151">
        <v>11.739891</v>
      </c>
      <c r="M109" s="151">
        <v>17.332275200000002</v>
      </c>
      <c r="N109" s="151">
        <v>6.5276294300000002</v>
      </c>
      <c r="O109" s="151">
        <v>1.8152861</v>
      </c>
      <c r="P109" s="151">
        <v>3.0540189999999998E-2</v>
      </c>
      <c r="Q109" s="151">
        <v>8.1998669999999996E-2</v>
      </c>
      <c r="R109" s="151">
        <v>0.37773631000000002</v>
      </c>
      <c r="S109" s="151">
        <v>0.13620135999999999</v>
      </c>
      <c r="T109" s="151">
        <v>0.19968978000000001</v>
      </c>
      <c r="U109" s="151">
        <v>8.7248501399999991</v>
      </c>
      <c r="V109" s="151">
        <v>2.4038147099999998</v>
      </c>
      <c r="W109" s="151">
        <v>13.7867841</v>
      </c>
      <c r="X109" s="151">
        <v>0.77441417000000001</v>
      </c>
      <c r="Y109" s="151">
        <v>0.2595673</v>
      </c>
      <c r="Z109" s="151">
        <v>43.376331100000002</v>
      </c>
      <c r="AA109" s="151">
        <v>27.6768392</v>
      </c>
      <c r="AB109" s="151">
        <v>38.6208563</v>
      </c>
      <c r="AC109" s="151">
        <v>2.2070844699999999</v>
      </c>
      <c r="AD109" s="151">
        <v>124.239182</v>
      </c>
      <c r="AE109" s="151">
        <v>412.51344699999999</v>
      </c>
      <c r="AF109" s="151">
        <v>0</v>
      </c>
      <c r="AG109" s="151">
        <v>0</v>
      </c>
      <c r="AH109" s="151">
        <v>4.8080865099999999</v>
      </c>
      <c r="AI109" s="151">
        <v>609.73741099999995</v>
      </c>
      <c r="AJ109" s="151">
        <v>0.29521525999999998</v>
      </c>
      <c r="AK109" s="151">
        <v>2.2454087199999999</v>
      </c>
      <c r="AL109" s="151">
        <v>19.420068100000002</v>
      </c>
      <c r="AM109" s="151">
        <v>0.25212806999999998</v>
      </c>
      <c r="AN109" s="151">
        <v>322.31614400000001</v>
      </c>
      <c r="AO109" s="151">
        <v>254.85953699999999</v>
      </c>
      <c r="AP109" s="151">
        <v>0.24303815000000001</v>
      </c>
      <c r="AQ109" s="151">
        <v>0.42211172000000002</v>
      </c>
      <c r="AR109" s="151">
        <v>2.0188555899999998</v>
      </c>
      <c r="AS109" s="151">
        <v>2.9447139</v>
      </c>
      <c r="AT109" s="151">
        <v>7.39527248</v>
      </c>
      <c r="AU109" s="151">
        <v>0</v>
      </c>
      <c r="AV109" s="151">
        <v>2.0441419999999998E-2</v>
      </c>
      <c r="AW109" s="151">
        <v>3.9294280000000001E-2</v>
      </c>
      <c r="AX109" s="151">
        <v>5.9430520000000001E-2</v>
      </c>
      <c r="AY109" s="151">
        <v>4.0301089999999998E-2</v>
      </c>
      <c r="AZ109" s="151">
        <v>1.4346050000000001E-2</v>
      </c>
      <c r="BA109" s="151">
        <v>1.3177110000000001E-2</v>
      </c>
      <c r="BB109" s="151">
        <v>4.5629429999999999E-2</v>
      </c>
      <c r="BC109" s="151">
        <v>3.9260219999999998E-2</v>
      </c>
      <c r="BD109" s="151">
        <v>1.3291549999999999E-2</v>
      </c>
      <c r="BE109" s="151">
        <v>4.4325610000000001E-2</v>
      </c>
      <c r="BF109" s="151">
        <v>5.7892369999999999E-2</v>
      </c>
      <c r="BG109" s="151">
        <v>0.11956131</v>
      </c>
      <c r="BH109" s="151">
        <v>0.14360218</v>
      </c>
      <c r="BI109" s="151">
        <v>0.26028065</v>
      </c>
      <c r="BJ109" s="151">
        <v>6.1235690000000002E-2</v>
      </c>
      <c r="BK109" s="151">
        <v>3.6783379999999997E-2</v>
      </c>
      <c r="BL109" s="151">
        <v>4.0982289999999998E-2</v>
      </c>
      <c r="BM109" s="151">
        <v>3.0076289999999999E-2</v>
      </c>
      <c r="BN109" s="151">
        <v>29.989891</v>
      </c>
      <c r="BO109" s="151">
        <v>10.6952452</v>
      </c>
      <c r="BP109" s="151">
        <v>6.8147138959999998</v>
      </c>
      <c r="BQ109" s="6"/>
    </row>
    <row r="110" spans="1:69">
      <c r="A110" s="179">
        <v>41703</v>
      </c>
      <c r="B110" s="149" t="s">
        <v>1721</v>
      </c>
      <c r="E110" t="s">
        <v>1686</v>
      </c>
      <c r="F110" s="150">
        <v>147</v>
      </c>
      <c r="G110" s="149" t="s">
        <v>1721</v>
      </c>
      <c r="J110" s="151">
        <v>507.87209300000001</v>
      </c>
      <c r="K110" s="151">
        <v>83.130465099999995</v>
      </c>
      <c r="L110" s="151">
        <v>27.0463953</v>
      </c>
      <c r="M110" s="151">
        <v>35.110232600000003</v>
      </c>
      <c r="N110" s="151">
        <v>20.588372100000001</v>
      </c>
      <c r="O110" s="151">
        <v>3.1917441900000001</v>
      </c>
      <c r="P110" s="151">
        <v>0.12481647</v>
      </c>
      <c r="Q110" s="151">
        <v>0.25639404999999998</v>
      </c>
      <c r="R110" s="151">
        <v>1.0369436000000001</v>
      </c>
      <c r="S110" s="151">
        <v>0.73813952999999999</v>
      </c>
      <c r="T110" s="151">
        <v>0.60691919000000005</v>
      </c>
      <c r="U110" s="151">
        <v>15.9536721</v>
      </c>
      <c r="V110" s="151">
        <v>0</v>
      </c>
      <c r="W110" s="151">
        <v>11.550172099999999</v>
      </c>
      <c r="X110" s="151">
        <v>1.4818162800000001</v>
      </c>
      <c r="Y110" s="151">
        <v>3.0091860499999998</v>
      </c>
      <c r="Z110" s="151">
        <v>63.663953499999998</v>
      </c>
      <c r="AA110" s="151">
        <v>0</v>
      </c>
      <c r="AB110" s="151">
        <v>10.217703500000001</v>
      </c>
      <c r="AC110" s="151">
        <v>0</v>
      </c>
      <c r="AD110" s="151">
        <v>165.930814</v>
      </c>
      <c r="AE110" s="151">
        <v>79.438000000000002</v>
      </c>
      <c r="AF110" s="151">
        <v>0.42372093</v>
      </c>
      <c r="AG110" s="151">
        <v>18.593023299999999</v>
      </c>
      <c r="AH110" s="151">
        <v>34.997608100000001</v>
      </c>
      <c r="AI110" s="151">
        <v>397.852035</v>
      </c>
      <c r="AJ110" s="151">
        <v>0.38552208999999998</v>
      </c>
      <c r="AK110" s="151">
        <v>1.9522986</v>
      </c>
      <c r="AL110" s="151">
        <v>80.654476700000004</v>
      </c>
      <c r="AM110" s="151">
        <v>0.27688372</v>
      </c>
      <c r="AN110" s="151">
        <v>268.12330900000001</v>
      </c>
      <c r="AO110" s="151">
        <v>533.61045899999999</v>
      </c>
      <c r="AP110" s="151">
        <v>59.0922093</v>
      </c>
      <c r="AQ110" s="151">
        <v>0.81841394999999995</v>
      </c>
      <c r="AR110" s="151">
        <v>4.9562790699999999</v>
      </c>
      <c r="AS110" s="151">
        <v>7.1834883700000001</v>
      </c>
      <c r="AT110" s="151">
        <v>18.2235233</v>
      </c>
      <c r="AU110" s="151">
        <v>0</v>
      </c>
      <c r="AV110" s="151">
        <v>6.4895350000000004E-2</v>
      </c>
      <c r="AW110" s="151">
        <v>0.10168605</v>
      </c>
      <c r="AX110" s="151">
        <v>0.17299999999999999</v>
      </c>
      <c r="AY110" s="151">
        <v>0.13658139999999999</v>
      </c>
      <c r="AZ110" s="151">
        <v>3.8383720000000003E-2</v>
      </c>
      <c r="BA110" s="151">
        <v>6.1546509999999999E-2</v>
      </c>
      <c r="BB110" s="151">
        <v>0.15173255999999999</v>
      </c>
      <c r="BC110" s="151">
        <v>0.12108140000000001</v>
      </c>
      <c r="BD110" s="151">
        <v>3.3337209999999999E-2</v>
      </c>
      <c r="BE110" s="151">
        <v>0.14934884000000001</v>
      </c>
      <c r="BF110" s="151">
        <v>0.17277907000000001</v>
      </c>
      <c r="BG110" s="151">
        <v>0.46696512000000001</v>
      </c>
      <c r="BH110" s="151">
        <v>0.39956976999999999</v>
      </c>
      <c r="BI110" s="151">
        <v>0.66395349000000004</v>
      </c>
      <c r="BJ110" s="151">
        <v>0.14196512</v>
      </c>
      <c r="BK110" s="151">
        <v>0.14570930000000001</v>
      </c>
      <c r="BL110" s="151">
        <v>0.15067442</v>
      </c>
      <c r="BM110" s="151">
        <v>0.11254651</v>
      </c>
      <c r="BN110" s="151">
        <v>57.8393023</v>
      </c>
      <c r="BO110" s="151">
        <v>40.204767400000001</v>
      </c>
      <c r="BP110" s="151">
        <v>7.7209302329999998</v>
      </c>
      <c r="BQ110" s="6"/>
    </row>
    <row r="111" spans="1:69">
      <c r="A111" s="179">
        <v>44601</v>
      </c>
      <c r="B111" s="149" t="s">
        <v>1722</v>
      </c>
      <c r="E111" t="s">
        <v>1686</v>
      </c>
      <c r="F111" s="150">
        <v>148</v>
      </c>
      <c r="G111" s="149" t="s">
        <v>1722</v>
      </c>
      <c r="J111" s="151">
        <v>411.80232599999999</v>
      </c>
      <c r="K111" s="151">
        <v>108.389302</v>
      </c>
      <c r="L111" s="151">
        <v>17.514534900000001</v>
      </c>
      <c r="M111" s="151">
        <v>32.639302299999997</v>
      </c>
      <c r="N111" s="151">
        <v>12.558837199999999</v>
      </c>
      <c r="O111" s="151">
        <v>1.57081395</v>
      </c>
      <c r="P111" s="151">
        <v>6.5465120000000002E-2</v>
      </c>
      <c r="Q111" s="151">
        <v>8.7093019999999993E-2</v>
      </c>
      <c r="R111" s="151">
        <v>0.28697674000000001</v>
      </c>
      <c r="S111" s="151">
        <v>0.57209301999999995</v>
      </c>
      <c r="T111" s="151">
        <v>0.44627907</v>
      </c>
      <c r="U111" s="151">
        <v>8.8023255799999998</v>
      </c>
      <c r="V111" s="151">
        <v>0</v>
      </c>
      <c r="W111" s="151">
        <v>9.0744185999999996</v>
      </c>
      <c r="X111" s="151">
        <v>0.79616279000000001</v>
      </c>
      <c r="Y111" s="151">
        <v>2.8273255800000001</v>
      </c>
      <c r="Z111" s="151">
        <v>61.331395299999997</v>
      </c>
      <c r="AA111" s="151">
        <v>0.59847907</v>
      </c>
      <c r="AB111" s="151">
        <v>10.259325</v>
      </c>
      <c r="AC111" s="151">
        <v>0</v>
      </c>
      <c r="AD111" s="151">
        <v>102.879741</v>
      </c>
      <c r="AE111" s="151">
        <v>25.6322093</v>
      </c>
      <c r="AF111" s="151">
        <v>0.42372093</v>
      </c>
      <c r="AG111" s="151">
        <v>18.593023299999999</v>
      </c>
      <c r="AH111" s="151">
        <v>32.578488399999998</v>
      </c>
      <c r="AI111" s="151">
        <v>32.825465100000002</v>
      </c>
      <c r="AJ111" s="151">
        <v>0.58477791000000001</v>
      </c>
      <c r="AK111" s="151">
        <v>1.1474593</v>
      </c>
      <c r="AL111" s="151">
        <v>29.273162800000001</v>
      </c>
      <c r="AM111" s="151">
        <v>0.21758140000000001</v>
      </c>
      <c r="AN111" s="151">
        <v>150.336828</v>
      </c>
      <c r="AO111" s="151">
        <v>457.043477</v>
      </c>
      <c r="AP111" s="151">
        <v>16.1059302</v>
      </c>
      <c r="AQ111" s="151">
        <v>1.32232558</v>
      </c>
      <c r="AR111" s="151">
        <v>4.93651163</v>
      </c>
      <c r="AS111" s="151">
        <v>7.1795348800000003</v>
      </c>
      <c r="AT111" s="151">
        <v>18.1839884</v>
      </c>
      <c r="AU111" s="151">
        <v>0</v>
      </c>
      <c r="AV111" s="151">
        <v>3.7220929999999999E-2</v>
      </c>
      <c r="AW111" s="151">
        <v>6.5709299999999998E-2</v>
      </c>
      <c r="AX111" s="151">
        <v>0.10855814</v>
      </c>
      <c r="AY111" s="151">
        <v>0.10100000000000001</v>
      </c>
      <c r="AZ111" s="151">
        <v>2.4151160000000001E-2</v>
      </c>
      <c r="BA111" s="151">
        <v>4.4151160000000002E-2</v>
      </c>
      <c r="BB111" s="151">
        <v>9.2430230000000002E-2</v>
      </c>
      <c r="BC111" s="151">
        <v>8.2337209999999994E-2</v>
      </c>
      <c r="BD111" s="151">
        <v>2.187209E-2</v>
      </c>
      <c r="BE111" s="151">
        <v>9.2813950000000006E-2</v>
      </c>
      <c r="BF111" s="151">
        <v>0.11110465</v>
      </c>
      <c r="BG111" s="151">
        <v>0.37880233000000002</v>
      </c>
      <c r="BH111" s="151">
        <v>0.28017441999999998</v>
      </c>
      <c r="BI111" s="151">
        <v>0.50027907000000005</v>
      </c>
      <c r="BJ111" s="151">
        <v>9.4127909999999995E-2</v>
      </c>
      <c r="BK111" s="151">
        <v>9.5104649999999999E-2</v>
      </c>
      <c r="BL111" s="151">
        <v>8.8209300000000004E-2</v>
      </c>
      <c r="BM111" s="151">
        <v>7.9732559999999994E-2</v>
      </c>
      <c r="BN111" s="151">
        <v>39.534651199999999</v>
      </c>
      <c r="BO111" s="151">
        <v>16.879186000000001</v>
      </c>
      <c r="BP111" s="151">
        <v>1.790697674</v>
      </c>
      <c r="BQ111" s="6"/>
    </row>
    <row r="112" spans="1:69">
      <c r="A112" s="179">
        <v>55102</v>
      </c>
      <c r="B112" s="149" t="s">
        <v>1723</v>
      </c>
      <c r="E112" t="s">
        <v>1686</v>
      </c>
      <c r="F112" s="150">
        <v>149</v>
      </c>
      <c r="G112" s="149" t="s">
        <v>1723</v>
      </c>
      <c r="J112" s="151">
        <v>160.10643300000001</v>
      </c>
      <c r="K112" s="151">
        <v>166.934618</v>
      </c>
      <c r="L112" s="151">
        <v>4.4036740300000004</v>
      </c>
      <c r="M112" s="151">
        <v>8.46433693</v>
      </c>
      <c r="N112" s="151">
        <v>15.9192123</v>
      </c>
      <c r="O112" s="151">
        <v>3.07492812</v>
      </c>
      <c r="P112" s="151">
        <v>6.6195829999999997E-2</v>
      </c>
      <c r="Q112" s="151">
        <v>0.10535765</v>
      </c>
      <c r="R112" s="151">
        <v>0.74617085000000005</v>
      </c>
      <c r="S112" s="151">
        <v>0.44038474999999999</v>
      </c>
      <c r="T112" s="151">
        <v>0.29745120000000003</v>
      </c>
      <c r="U112" s="151">
        <v>9.4582008799999997</v>
      </c>
      <c r="V112" s="151">
        <v>0</v>
      </c>
      <c r="W112" s="151">
        <v>15.994515</v>
      </c>
      <c r="X112" s="151">
        <v>0.79277432000000003</v>
      </c>
      <c r="Y112" s="151">
        <v>0.13922825</v>
      </c>
      <c r="Z112" s="151">
        <v>15.0888104</v>
      </c>
      <c r="AA112" s="151">
        <v>0.34212492</v>
      </c>
      <c r="AB112" s="151">
        <v>3.2546396400000002</v>
      </c>
      <c r="AC112" s="151">
        <v>1.8857970000000002E-2</v>
      </c>
      <c r="AD112" s="151">
        <v>34.700492500000003</v>
      </c>
      <c r="AE112" s="151">
        <v>17.947789</v>
      </c>
      <c r="AF112" s="151">
        <v>0</v>
      </c>
      <c r="AG112" s="151">
        <v>8.4173910000000005E-2</v>
      </c>
      <c r="AH112" s="151">
        <v>86.808267200000003</v>
      </c>
      <c r="AI112" s="151">
        <v>37.159576600000001</v>
      </c>
      <c r="AJ112" s="151">
        <v>0.4421967</v>
      </c>
      <c r="AK112" s="151">
        <v>2.24187381</v>
      </c>
      <c r="AL112" s="151">
        <v>32.467111500000001</v>
      </c>
      <c r="AM112" s="151">
        <v>1.41048609</v>
      </c>
      <c r="AN112" s="151">
        <v>59.250703399999999</v>
      </c>
      <c r="AO112" s="151">
        <v>356.08840199999997</v>
      </c>
      <c r="AP112" s="151">
        <v>7.2344590699999998</v>
      </c>
      <c r="AQ112" s="151">
        <v>1.15924523</v>
      </c>
      <c r="AR112" s="151">
        <v>1.9907458</v>
      </c>
      <c r="AS112" s="151">
        <v>2.06511814</v>
      </c>
      <c r="AT112" s="151">
        <v>4.0542593599999996</v>
      </c>
      <c r="AU112" s="151">
        <v>34.179710100000001</v>
      </c>
      <c r="AV112" s="151">
        <v>0.91489100999999995</v>
      </c>
      <c r="AW112" s="151">
        <v>0.81557866999999995</v>
      </c>
      <c r="AX112" s="151">
        <v>1.47396214</v>
      </c>
      <c r="AY112" s="151">
        <v>1.5374308299999999</v>
      </c>
      <c r="AZ112" s="151">
        <v>1.1362158099999999</v>
      </c>
      <c r="BA112" s="151">
        <v>1.62826431</v>
      </c>
      <c r="BB112" s="151">
        <v>1.5213156400000001</v>
      </c>
      <c r="BC112" s="151">
        <v>0.93008641999999997</v>
      </c>
      <c r="BD112" s="151">
        <v>0.30704114999999998</v>
      </c>
      <c r="BE112" s="151">
        <v>0.87655291999999996</v>
      </c>
      <c r="BF112" s="151">
        <v>0.55313765999999998</v>
      </c>
      <c r="BG112" s="151">
        <v>2.6236287100000002</v>
      </c>
      <c r="BH112" s="151">
        <v>2.0636634100000002</v>
      </c>
      <c r="BI112" s="151">
        <v>0.62460782999999998</v>
      </c>
      <c r="BJ112" s="151">
        <v>1.1089715</v>
      </c>
      <c r="BK112" s="151">
        <v>0.74972996000000003</v>
      </c>
      <c r="BL112" s="151">
        <v>0.97686653999999995</v>
      </c>
      <c r="BM112" s="151">
        <v>0.66418944999999996</v>
      </c>
      <c r="BN112" s="151">
        <v>36.466678299999998</v>
      </c>
      <c r="BO112" s="151">
        <v>53.981530399999997</v>
      </c>
      <c r="BP112" s="151">
        <v>11.706521739999999</v>
      </c>
      <c r="BQ112" s="6"/>
    </row>
    <row r="113" spans="1:69">
      <c r="A113" s="179">
        <v>55105</v>
      </c>
      <c r="B113" s="149" t="s">
        <v>1724</v>
      </c>
      <c r="E113" t="s">
        <v>1686</v>
      </c>
      <c r="F113" s="150">
        <v>150</v>
      </c>
      <c r="G113" s="149" t="s">
        <v>1724</v>
      </c>
      <c r="J113" s="151">
        <v>722.98435600000005</v>
      </c>
      <c r="K113" s="151">
        <v>40.763370899999998</v>
      </c>
      <c r="L113" s="151">
        <v>6.0105872600000003</v>
      </c>
      <c r="M113" s="151">
        <v>75.862296000000001</v>
      </c>
      <c r="N113" s="151">
        <v>3.9899203700000001</v>
      </c>
      <c r="O113" s="151">
        <v>1.0469807600000001</v>
      </c>
      <c r="P113" s="151">
        <v>3.5123630000000003E-2</v>
      </c>
      <c r="Q113" s="151">
        <v>3.3048769999999998E-2</v>
      </c>
      <c r="R113" s="151">
        <v>0.2393439</v>
      </c>
      <c r="S113" s="151">
        <v>7.2268750000000007E-2</v>
      </c>
      <c r="T113" s="151">
        <v>7.9601190000000002E-2</v>
      </c>
      <c r="U113" s="151">
        <v>3.1359820799999998</v>
      </c>
      <c r="V113" s="151">
        <v>0</v>
      </c>
      <c r="W113" s="151">
        <v>1.5689366300000001</v>
      </c>
      <c r="X113" s="151">
        <v>0.58052753999999995</v>
      </c>
      <c r="Y113" s="151">
        <v>0.24089356000000001</v>
      </c>
      <c r="Z113" s="151">
        <v>21.044834099999999</v>
      </c>
      <c r="AA113" s="151">
        <v>0</v>
      </c>
      <c r="AB113" s="151">
        <v>6.7457664199999998</v>
      </c>
      <c r="AC113" s="151">
        <v>2.7571330000000002E-2</v>
      </c>
      <c r="AD113" s="151">
        <v>72.429754500000001</v>
      </c>
      <c r="AE113" s="151">
        <v>19.027116800000002</v>
      </c>
      <c r="AF113" s="151">
        <v>0.27807565000000001</v>
      </c>
      <c r="AG113" s="151">
        <v>12.4757797</v>
      </c>
      <c r="AH113" s="151">
        <v>21.840859300000002</v>
      </c>
      <c r="AI113" s="151">
        <v>20.077501699999999</v>
      </c>
      <c r="AJ113" s="151">
        <v>8.9907100000000004E-2</v>
      </c>
      <c r="AK113" s="151">
        <v>3.8668713700000001</v>
      </c>
      <c r="AL113" s="151">
        <v>12.171277399999999</v>
      </c>
      <c r="AM113" s="151">
        <v>0.39973788999999998</v>
      </c>
      <c r="AN113" s="151">
        <v>71.871545499999996</v>
      </c>
      <c r="AO113" s="151">
        <v>99.013138699999999</v>
      </c>
      <c r="AP113" s="151">
        <v>0.31746516000000002</v>
      </c>
      <c r="AQ113" s="151">
        <v>0.18650630000000001</v>
      </c>
      <c r="AR113" s="151">
        <v>1.49333776</v>
      </c>
      <c r="AS113" s="151">
        <v>2.21896483</v>
      </c>
      <c r="AT113" s="151">
        <v>5.5160447899999996</v>
      </c>
      <c r="AU113" s="151">
        <v>0</v>
      </c>
      <c r="AV113" s="151">
        <v>1.7426339999999998E-2</v>
      </c>
      <c r="AW113" s="151">
        <v>2.8207699999999999E-2</v>
      </c>
      <c r="AX113" s="151">
        <v>5.1315199999999998E-2</v>
      </c>
      <c r="AY113" s="151">
        <v>3.1908430000000002E-2</v>
      </c>
      <c r="AZ113" s="151">
        <v>1.0524550000000001E-2</v>
      </c>
      <c r="BA113" s="151">
        <v>1.0917390000000001E-2</v>
      </c>
      <c r="BB113" s="151">
        <v>3.6646650000000003E-2</v>
      </c>
      <c r="BC113" s="151">
        <v>3.1096220000000001E-2</v>
      </c>
      <c r="BD113" s="151">
        <v>8.9343100000000009E-3</v>
      </c>
      <c r="BE113" s="151">
        <v>3.486065E-2</v>
      </c>
      <c r="BF113" s="151">
        <v>4.7475780000000002E-2</v>
      </c>
      <c r="BG113" s="151">
        <v>8.9598869999999997E-2</v>
      </c>
      <c r="BH113" s="151">
        <v>0.11277471999999999</v>
      </c>
      <c r="BI113" s="151">
        <v>0.19011944</v>
      </c>
      <c r="BJ113" s="151">
        <v>4.9727939999999998E-2</v>
      </c>
      <c r="BK113" s="151">
        <v>3.6217979999999997E-2</v>
      </c>
      <c r="BL113" s="151">
        <v>3.9289980000000002E-2</v>
      </c>
      <c r="BM113" s="151">
        <v>2.4710679999999999E-2</v>
      </c>
      <c r="BN113" s="151">
        <v>20.331214299999999</v>
      </c>
      <c r="BO113" s="151">
        <v>12.719243499999999</v>
      </c>
      <c r="BP113" s="151">
        <v>1.622428666</v>
      </c>
      <c r="BQ113" s="6"/>
    </row>
    <row r="114" spans="1:69">
      <c r="A114" s="179">
        <v>32802</v>
      </c>
      <c r="B114" s="149" t="s">
        <v>1725</v>
      </c>
      <c r="E114" t="s">
        <v>1686</v>
      </c>
      <c r="F114" s="150">
        <v>151</v>
      </c>
      <c r="G114" s="149" t="s">
        <v>1725</v>
      </c>
      <c r="J114" s="151">
        <v>500.43287900000001</v>
      </c>
      <c r="K114" s="151">
        <v>86.788811300000006</v>
      </c>
      <c r="L114" s="151">
        <v>2.5935005499999999</v>
      </c>
      <c r="M114" s="151">
        <v>20.359280300000002</v>
      </c>
      <c r="N114" s="151">
        <v>76.375768800000003</v>
      </c>
      <c r="O114" s="151">
        <v>0.73044710999999996</v>
      </c>
      <c r="P114" s="151">
        <v>4.5630150000000001E-2</v>
      </c>
      <c r="Q114" s="151">
        <v>7.2803930000000003E-2</v>
      </c>
      <c r="R114" s="151">
        <v>0.63629880000000005</v>
      </c>
      <c r="S114" s="151">
        <v>0.10315682</v>
      </c>
      <c r="T114" s="151">
        <v>0.52966150000000001</v>
      </c>
      <c r="U114" s="151">
        <v>10.1219302</v>
      </c>
      <c r="V114" s="151">
        <v>0</v>
      </c>
      <c r="W114" s="151">
        <v>10.844883299999999</v>
      </c>
      <c r="X114" s="151">
        <v>17.2692148</v>
      </c>
      <c r="Y114" s="151">
        <v>0.12017448</v>
      </c>
      <c r="Z114" s="151">
        <v>0.86924754999999998</v>
      </c>
      <c r="AA114" s="151">
        <v>0</v>
      </c>
      <c r="AB114" s="151">
        <v>3.2814776399999999</v>
      </c>
      <c r="AC114" s="151">
        <v>3.9149400000000001E-2</v>
      </c>
      <c r="AD114" s="151">
        <v>37.1116794</v>
      </c>
      <c r="AE114" s="151">
        <v>12.5884719</v>
      </c>
      <c r="AF114" s="151">
        <v>7.9476550000000007E-2</v>
      </c>
      <c r="AG114" s="151">
        <v>4.3871319499999997</v>
      </c>
      <c r="AH114" s="151">
        <v>7.2496401300000004</v>
      </c>
      <c r="AI114" s="151">
        <v>92.408445999999998</v>
      </c>
      <c r="AJ114" s="151">
        <v>0.66581460999999997</v>
      </c>
      <c r="AK114" s="151">
        <v>2.4398626000000001</v>
      </c>
      <c r="AL114" s="151">
        <v>102.385856</v>
      </c>
      <c r="AM114" s="151">
        <v>0.77346347000000004</v>
      </c>
      <c r="AN114" s="151">
        <v>78.9670883</v>
      </c>
      <c r="AO114" s="151">
        <v>361.89743700000002</v>
      </c>
      <c r="AP114" s="151">
        <v>0.27460195999999998</v>
      </c>
      <c r="AQ114" s="151">
        <v>0.49028353000000002</v>
      </c>
      <c r="AR114" s="151">
        <v>1.27826609</v>
      </c>
      <c r="AS114" s="151">
        <v>13.1863577</v>
      </c>
      <c r="AT114" s="151">
        <v>3.0791886599999998</v>
      </c>
      <c r="AU114" s="151">
        <v>0</v>
      </c>
      <c r="AV114" s="151">
        <v>5.1019630000000003E-2</v>
      </c>
      <c r="AW114" s="151">
        <v>9.1531080000000001E-2</v>
      </c>
      <c r="AX114" s="151">
        <v>0.10369138</v>
      </c>
      <c r="AY114" s="151">
        <v>6.5414390000000003E-2</v>
      </c>
      <c r="AZ114" s="151">
        <v>2.2765540000000001E-2</v>
      </c>
      <c r="BA114" s="151">
        <v>3.03795E-2</v>
      </c>
      <c r="BB114" s="151">
        <v>0.11790075999999999</v>
      </c>
      <c r="BC114" s="151">
        <v>6.7717559999999996E-2</v>
      </c>
      <c r="BD114" s="151">
        <v>2.2283529999999999E-2</v>
      </c>
      <c r="BE114" s="151">
        <v>0.11722356</v>
      </c>
      <c r="BF114" s="151">
        <v>0.13395965000000001</v>
      </c>
      <c r="BG114" s="151">
        <v>0.13468701999999999</v>
      </c>
      <c r="BH114" s="151">
        <v>0.84782115999999996</v>
      </c>
      <c r="BI114" s="151">
        <v>0.44250708999999999</v>
      </c>
      <c r="BJ114" s="151">
        <v>9.1511449999999994E-2</v>
      </c>
      <c r="BK114" s="151">
        <v>6.9407849999999993E-2</v>
      </c>
      <c r="BL114" s="151">
        <v>0.10784406000000001</v>
      </c>
      <c r="BM114" s="151">
        <v>6.6658670000000003E-2</v>
      </c>
      <c r="BN114" s="151">
        <v>91.770065399999993</v>
      </c>
      <c r="BO114" s="151">
        <v>94.129149400000003</v>
      </c>
      <c r="BP114" s="151">
        <v>1.4929116680000001</v>
      </c>
      <c r="BQ114" s="6"/>
    </row>
    <row r="115" spans="1:69">
      <c r="A115" s="179">
        <v>83201</v>
      </c>
      <c r="B115" s="149" t="s">
        <v>1726</v>
      </c>
      <c r="E115" t="s">
        <v>1686</v>
      </c>
      <c r="F115" s="150">
        <v>152</v>
      </c>
      <c r="G115" s="149" t="s">
        <v>1726</v>
      </c>
      <c r="J115" s="151">
        <v>495.976699</v>
      </c>
      <c r="K115" s="151">
        <v>190.56231099999999</v>
      </c>
      <c r="L115" s="151">
        <v>21.078058299999999</v>
      </c>
      <c r="M115" s="151">
        <v>9.0238058300000006</v>
      </c>
      <c r="N115" s="151">
        <v>74.761029100000002</v>
      </c>
      <c r="O115" s="151">
        <v>15.6081942</v>
      </c>
      <c r="P115" s="151">
        <v>0.15505447</v>
      </c>
      <c r="Q115" s="151">
        <v>0.38251087</v>
      </c>
      <c r="R115" s="151">
        <v>0.89511748000000002</v>
      </c>
      <c r="S115" s="151">
        <v>2.43994175</v>
      </c>
      <c r="T115" s="151">
        <v>0.27370578000000001</v>
      </c>
      <c r="U115" s="151">
        <v>45.049143200000003</v>
      </c>
      <c r="V115" s="151">
        <v>0.24417475999999999</v>
      </c>
      <c r="W115" s="151">
        <v>1.05483495</v>
      </c>
      <c r="X115" s="151">
        <v>1.1195339799999999</v>
      </c>
      <c r="Y115" s="151">
        <v>2.14818796</v>
      </c>
      <c r="Z115" s="151">
        <v>1.92</v>
      </c>
      <c r="AA115" s="151">
        <v>29.476776699999998</v>
      </c>
      <c r="AB115" s="151">
        <v>34.382563099999999</v>
      </c>
      <c r="AC115" s="151">
        <v>1.9417499999999999E-3</v>
      </c>
      <c r="AD115" s="151">
        <v>56.308077699999998</v>
      </c>
      <c r="AE115" s="151">
        <v>9.5229320400000006</v>
      </c>
      <c r="AF115" s="151">
        <v>0</v>
      </c>
      <c r="AG115" s="151">
        <v>0</v>
      </c>
      <c r="AH115" s="151">
        <v>4.9670679599999996</v>
      </c>
      <c r="AI115" s="151">
        <v>238.03443999999999</v>
      </c>
      <c r="AJ115" s="151">
        <v>0.62192466000000002</v>
      </c>
      <c r="AK115" s="151">
        <v>5.9010803899999997</v>
      </c>
      <c r="AL115" s="151">
        <v>97.1646602</v>
      </c>
      <c r="AM115" s="151">
        <v>2.5147495100000001</v>
      </c>
      <c r="AN115" s="151">
        <v>352.53168299999999</v>
      </c>
      <c r="AO115" s="151">
        <v>489.99158299999999</v>
      </c>
      <c r="AP115" s="151">
        <v>37.631126199999997</v>
      </c>
      <c r="AQ115" s="151">
        <v>2.4086889299999998</v>
      </c>
      <c r="AR115" s="151">
        <v>2.33726214</v>
      </c>
      <c r="AS115" s="151">
        <v>1.7080582499999999</v>
      </c>
      <c r="AT115" s="151">
        <v>2.2194951500000002</v>
      </c>
      <c r="AU115" s="151">
        <v>14.6114175</v>
      </c>
      <c r="AV115" s="151">
        <v>0.57131845000000003</v>
      </c>
      <c r="AW115" s="151">
        <v>0.90210290999999998</v>
      </c>
      <c r="AX115" s="151">
        <v>1.5456155300000001</v>
      </c>
      <c r="AY115" s="151">
        <v>1.42613981</v>
      </c>
      <c r="AZ115" s="151">
        <v>0.30395146000000001</v>
      </c>
      <c r="BA115" s="151">
        <v>0.26236699000000002</v>
      </c>
      <c r="BB115" s="151">
        <v>1.09939612</v>
      </c>
      <c r="BC115" s="151">
        <v>0.79004465999999995</v>
      </c>
      <c r="BD115" s="151">
        <v>0.20502136000000001</v>
      </c>
      <c r="BE115" s="151">
        <v>0.93920000000000003</v>
      </c>
      <c r="BF115" s="151">
        <v>0.92810680000000001</v>
      </c>
      <c r="BG115" s="151">
        <v>1.8029067999999999</v>
      </c>
      <c r="BH115" s="151">
        <v>2.32865243</v>
      </c>
      <c r="BI115" s="151">
        <v>3.8520873799999999</v>
      </c>
      <c r="BJ115" s="151">
        <v>0.81130484999999997</v>
      </c>
      <c r="BK115" s="151">
        <v>1.0030640799999999</v>
      </c>
      <c r="BL115" s="151">
        <v>1.0673961199999999</v>
      </c>
      <c r="BM115" s="151">
        <v>0.58419611999999999</v>
      </c>
      <c r="BN115" s="151">
        <v>56.9158835</v>
      </c>
      <c r="BO115" s="151">
        <v>609.19545600000004</v>
      </c>
      <c r="BP115" s="151">
        <v>0</v>
      </c>
      <c r="BQ115" s="6"/>
    </row>
    <row r="116" spans="1:69">
      <c r="A116" s="179">
        <v>41601</v>
      </c>
      <c r="B116" s="149" t="s">
        <v>1727</v>
      </c>
      <c r="E116" t="s">
        <v>1686</v>
      </c>
      <c r="F116" s="150">
        <v>153</v>
      </c>
      <c r="G116" s="149" t="s">
        <v>1727</v>
      </c>
      <c r="J116" s="151">
        <v>520.12790700000005</v>
      </c>
      <c r="K116" s="151">
        <v>95.872558100000006</v>
      </c>
      <c r="L116" s="151">
        <v>16.842441900000001</v>
      </c>
      <c r="M116" s="151">
        <v>44.918837199999999</v>
      </c>
      <c r="N116" s="151">
        <v>12.558837199999999</v>
      </c>
      <c r="O116" s="151">
        <v>1.57081395</v>
      </c>
      <c r="P116" s="151">
        <v>0.12619069999999999</v>
      </c>
      <c r="Q116" s="151">
        <v>0.17675814000000001</v>
      </c>
      <c r="R116" s="151">
        <v>1.73442791</v>
      </c>
      <c r="S116" s="151">
        <v>2.4144185999999999</v>
      </c>
      <c r="T116" s="151">
        <v>0.65881860000000003</v>
      </c>
      <c r="U116" s="151">
        <v>1463.68605</v>
      </c>
      <c r="V116" s="151">
        <v>1.8186046499999999</v>
      </c>
      <c r="W116" s="151">
        <v>9.0744185999999996</v>
      </c>
      <c r="X116" s="151">
        <v>3.7679209299999998</v>
      </c>
      <c r="Y116" s="151">
        <v>3.8947674399999999</v>
      </c>
      <c r="Z116" s="151">
        <v>61.331395299999997</v>
      </c>
      <c r="AA116" s="151">
        <v>4.7522511600000001</v>
      </c>
      <c r="AB116" s="151">
        <v>9.3256976700000003</v>
      </c>
      <c r="AC116" s="151">
        <v>0</v>
      </c>
      <c r="AD116" s="151">
        <v>98.851976699999994</v>
      </c>
      <c r="AE116" s="151">
        <v>25.6322093</v>
      </c>
      <c r="AF116" s="151">
        <v>0.42372093</v>
      </c>
      <c r="AG116" s="151">
        <v>18.593023299999999</v>
      </c>
      <c r="AH116" s="151">
        <v>32.578488399999998</v>
      </c>
      <c r="AI116" s="151">
        <v>88.5222093</v>
      </c>
      <c r="AJ116" s="151">
        <v>0.30647208999999997</v>
      </c>
      <c r="AK116" s="151">
        <v>1.57020581</v>
      </c>
      <c r="AL116" s="151">
        <v>33.621920899999999</v>
      </c>
      <c r="AM116" s="151">
        <v>0.26502325999999998</v>
      </c>
      <c r="AN116" s="151">
        <v>185.31903299999999</v>
      </c>
      <c r="AO116" s="151">
        <v>335.18965100000003</v>
      </c>
      <c r="AP116" s="151">
        <v>30.101279099999999</v>
      </c>
      <c r="AQ116" s="151">
        <v>0.91116279</v>
      </c>
      <c r="AR116" s="151">
        <v>14.409069799999999</v>
      </c>
      <c r="AS116" s="151">
        <v>14.96</v>
      </c>
      <c r="AT116" s="151">
        <v>20.1449186</v>
      </c>
      <c r="AU116" s="151">
        <v>97.508837200000002</v>
      </c>
      <c r="AV116" s="151">
        <v>0.58675580999999999</v>
      </c>
      <c r="AW116" s="151">
        <v>0.64291860000000001</v>
      </c>
      <c r="AX116" s="151">
        <v>1.1791627899999999</v>
      </c>
      <c r="AY116" s="151">
        <v>1.3827209300000001</v>
      </c>
      <c r="AZ116" s="151">
        <v>0.46061627999999999</v>
      </c>
      <c r="BA116" s="151">
        <v>4.4151160000000002E-2</v>
      </c>
      <c r="BB116" s="151">
        <v>0.66963952999999998</v>
      </c>
      <c r="BC116" s="151">
        <v>0.80108140000000005</v>
      </c>
      <c r="BD116" s="151">
        <v>2.187209E-2</v>
      </c>
      <c r="BE116" s="151">
        <v>0.81155814000000004</v>
      </c>
      <c r="BF116" s="151">
        <v>0.97059302000000003</v>
      </c>
      <c r="BG116" s="151">
        <v>1.1679185999999999</v>
      </c>
      <c r="BH116" s="151">
        <v>1.66073256</v>
      </c>
      <c r="BI116" s="151">
        <v>2.4019069800000001</v>
      </c>
      <c r="BJ116" s="151">
        <v>0.62943022999999998</v>
      </c>
      <c r="BK116" s="151">
        <v>0.53156977000000005</v>
      </c>
      <c r="BL116" s="151">
        <v>0.48276743999999999</v>
      </c>
      <c r="BM116" s="151">
        <v>0.62926744000000001</v>
      </c>
      <c r="BN116" s="151">
        <v>39.534651199999999</v>
      </c>
      <c r="BO116" s="151">
        <v>16.879186000000001</v>
      </c>
      <c r="BP116" s="151">
        <v>1.790697674</v>
      </c>
      <c r="BQ116" s="6"/>
    </row>
    <row r="117" spans="1:69">
      <c r="A117" s="179">
        <v>82501</v>
      </c>
      <c r="B117" s="149" t="s">
        <v>1728</v>
      </c>
      <c r="E117" t="s">
        <v>1686</v>
      </c>
      <c r="F117" s="150">
        <v>154</v>
      </c>
      <c r="G117" s="149" t="s">
        <v>1728</v>
      </c>
      <c r="J117" s="151">
        <v>356.19406400000003</v>
      </c>
      <c r="K117" s="151">
        <v>50.228531199999999</v>
      </c>
      <c r="L117" s="151">
        <v>3.8817275499999999</v>
      </c>
      <c r="M117" s="151">
        <v>9.4381735199999994</v>
      </c>
      <c r="N117" s="151">
        <v>63.917397299999998</v>
      </c>
      <c r="O117" s="151">
        <v>0.70691020000000004</v>
      </c>
      <c r="P117" s="151">
        <v>2.1988359999999998E-2</v>
      </c>
      <c r="Q117" s="151">
        <v>2.8571920000000001E-2</v>
      </c>
      <c r="R117" s="151">
        <v>0.91763013999999998</v>
      </c>
      <c r="S117" s="151">
        <v>0.16471475999999999</v>
      </c>
      <c r="T117" s="151">
        <v>7.3356200000000002E-3</v>
      </c>
      <c r="U117" s="151">
        <v>0.88751902999999999</v>
      </c>
      <c r="V117" s="151">
        <v>0</v>
      </c>
      <c r="W117" s="151">
        <v>0</v>
      </c>
      <c r="X117" s="151">
        <v>0.59952815999999998</v>
      </c>
      <c r="Y117" s="151">
        <v>6.7578390000000002E-2</v>
      </c>
      <c r="Z117" s="151">
        <v>16.130669699999999</v>
      </c>
      <c r="AA117" s="151">
        <v>6.84863014</v>
      </c>
      <c r="AB117" s="151">
        <v>6.84863014</v>
      </c>
      <c r="AC117" s="151">
        <v>0</v>
      </c>
      <c r="AD117" s="151">
        <v>0.19586096</v>
      </c>
      <c r="AE117" s="151">
        <v>0</v>
      </c>
      <c r="AF117" s="151">
        <v>0</v>
      </c>
      <c r="AG117" s="151">
        <v>0</v>
      </c>
      <c r="AH117" s="151">
        <v>0</v>
      </c>
      <c r="AI117" s="151">
        <v>13.2351674</v>
      </c>
      <c r="AJ117" s="151">
        <v>4.9809739999999998E-2</v>
      </c>
      <c r="AK117" s="151">
        <v>0.85286910000000005</v>
      </c>
      <c r="AL117" s="151">
        <v>6.5463546399999997</v>
      </c>
      <c r="AM117" s="151">
        <v>0.52403805000000003</v>
      </c>
      <c r="AN117" s="151">
        <v>36.009893499999997</v>
      </c>
      <c r="AO117" s="151">
        <v>36.512275500000001</v>
      </c>
      <c r="AP117" s="151">
        <v>9.0363774699999997</v>
      </c>
      <c r="AQ117" s="151">
        <v>0.16841705000000001</v>
      </c>
      <c r="AR117" s="151">
        <v>1.4232572299999999</v>
      </c>
      <c r="AS117" s="151">
        <v>2.0090182599999999</v>
      </c>
      <c r="AT117" s="151">
        <v>5.1159588999999999</v>
      </c>
      <c r="AU117" s="151">
        <v>0</v>
      </c>
      <c r="AV117" s="151">
        <v>2.0738960000000001E-2</v>
      </c>
      <c r="AW117" s="151">
        <v>2.780289E-2</v>
      </c>
      <c r="AX117" s="151">
        <v>6.257915E-2</v>
      </c>
      <c r="AY117" s="151">
        <v>2.4995429999999999E-2</v>
      </c>
      <c r="AZ117" s="151">
        <v>1.9923900000000001E-2</v>
      </c>
      <c r="BA117" s="151">
        <v>1.974277E-2</v>
      </c>
      <c r="BB117" s="151">
        <v>4.30175E-2</v>
      </c>
      <c r="BC117" s="151">
        <v>2.7168950000000001E-2</v>
      </c>
      <c r="BD117" s="151">
        <v>1.122983E-2</v>
      </c>
      <c r="BE117" s="151">
        <v>4.0753419999999999E-2</v>
      </c>
      <c r="BF117" s="151">
        <v>5.0353120000000001E-2</v>
      </c>
      <c r="BG117" s="151">
        <v>3.9847790000000001E-2</v>
      </c>
      <c r="BH117" s="151">
        <v>4.5734400000000001E-2</v>
      </c>
      <c r="BI117" s="151">
        <v>0.32032191999999998</v>
      </c>
      <c r="BJ117" s="151">
        <v>3.7312020000000001E-2</v>
      </c>
      <c r="BK117" s="151">
        <v>9.6449770000000004E-2</v>
      </c>
      <c r="BL117" s="151">
        <v>4.5734400000000001E-2</v>
      </c>
      <c r="BM117" s="151">
        <v>2.4452049999999999E-2</v>
      </c>
      <c r="BN117" s="151">
        <v>0</v>
      </c>
      <c r="BO117" s="151">
        <v>20.648401799999998</v>
      </c>
      <c r="BP117" s="151">
        <v>0</v>
      </c>
      <c r="BQ117" s="6"/>
    </row>
    <row r="118" spans="1:69">
      <c r="A118" s="179">
        <v>71003</v>
      </c>
      <c r="B118" s="149" t="s">
        <v>1729</v>
      </c>
      <c r="E118" t="s">
        <v>1686</v>
      </c>
      <c r="F118" s="150">
        <v>155</v>
      </c>
      <c r="G118" s="149" t="s">
        <v>1729</v>
      </c>
      <c r="J118" s="151">
        <v>3.1867937899999998</v>
      </c>
      <c r="K118" s="151">
        <v>124.288489</v>
      </c>
      <c r="L118" s="151">
        <v>0.16981637999999999</v>
      </c>
      <c r="M118" s="151">
        <v>1.8354519999999999E-2</v>
      </c>
      <c r="N118" s="151">
        <v>0.52902188999999999</v>
      </c>
      <c r="O118" s="151">
        <v>0.11242584999999999</v>
      </c>
      <c r="P118" s="151">
        <v>2.5099999999999998E-4</v>
      </c>
      <c r="Q118" s="151">
        <v>7.29534E-3</v>
      </c>
      <c r="R118" s="151">
        <v>8.1900990000000007E-2</v>
      </c>
      <c r="S118" s="151">
        <v>1.227401E-2</v>
      </c>
      <c r="T118" s="151">
        <v>3.7672299999999999E-3</v>
      </c>
      <c r="U118" s="151">
        <v>0.78045551000000002</v>
      </c>
      <c r="V118" s="151">
        <v>0</v>
      </c>
      <c r="W118" s="151">
        <v>9.0395500000000004E-3</v>
      </c>
      <c r="X118" s="151">
        <v>9.3958330000000007E-2</v>
      </c>
      <c r="Y118" s="151">
        <v>9.3361599999999996E-3</v>
      </c>
      <c r="Z118" s="151">
        <v>0.45925141000000003</v>
      </c>
      <c r="AA118" s="151">
        <v>0</v>
      </c>
      <c r="AB118" s="151">
        <v>5.8368600000000001E-3</v>
      </c>
      <c r="AC118" s="151">
        <v>9.0571999999999996E-3</v>
      </c>
      <c r="AD118" s="151">
        <v>3.263771E-2</v>
      </c>
      <c r="AE118" s="151">
        <v>0.15555678000000001</v>
      </c>
      <c r="AF118" s="151">
        <v>0</v>
      </c>
      <c r="AG118" s="151">
        <v>0</v>
      </c>
      <c r="AH118" s="151">
        <v>5.628263E-2</v>
      </c>
      <c r="AI118" s="151">
        <v>1.79314266</v>
      </c>
      <c r="AJ118" s="151">
        <v>5.9461899999999996E-3</v>
      </c>
      <c r="AK118" s="151">
        <v>2.814266E-2</v>
      </c>
      <c r="AL118" s="151">
        <v>2.3126594599999999</v>
      </c>
      <c r="AM118" s="151">
        <v>0.10903249</v>
      </c>
      <c r="AN118" s="151">
        <v>2.0691442100000002</v>
      </c>
      <c r="AO118" s="151">
        <v>44.436847299999997</v>
      </c>
      <c r="AP118" s="151">
        <v>8.20975E-3</v>
      </c>
      <c r="AQ118" s="151">
        <v>1.626766E-2</v>
      </c>
      <c r="AR118" s="151">
        <v>5.4378500000000001E-3</v>
      </c>
      <c r="AS118" s="151">
        <v>1.4371500000000001E-3</v>
      </c>
      <c r="AT118" s="151">
        <v>7.9272600000000002E-3</v>
      </c>
      <c r="AU118" s="151">
        <v>0</v>
      </c>
      <c r="AV118" s="151">
        <v>5.3700000000000004E-4</v>
      </c>
      <c r="AW118" s="151">
        <v>1.12677E-3</v>
      </c>
      <c r="AX118" s="151">
        <v>1.9883499999999998E-3</v>
      </c>
      <c r="AY118" s="151">
        <v>9.859999999999999E-4</v>
      </c>
      <c r="AZ118" s="151">
        <v>3.0400000000000002E-4</v>
      </c>
      <c r="BA118" s="151">
        <v>2.5300000000000002E-4</v>
      </c>
      <c r="BB118" s="151">
        <v>1.3502799999999999E-3</v>
      </c>
      <c r="BC118" s="151">
        <v>1.2814300000000001E-3</v>
      </c>
      <c r="BD118" s="151">
        <v>3.0499999999999999E-4</v>
      </c>
      <c r="BE118" s="151">
        <v>1.3640499999999999E-3</v>
      </c>
      <c r="BF118" s="151">
        <v>1.4544499999999999E-3</v>
      </c>
      <c r="BG118" s="151">
        <v>1.8877099999999999E-3</v>
      </c>
      <c r="BH118" s="151">
        <v>4.5363699999999996E-3</v>
      </c>
      <c r="BI118" s="151">
        <v>4.6151100000000004E-3</v>
      </c>
      <c r="BJ118" s="151">
        <v>1.5155399999999999E-3</v>
      </c>
      <c r="BK118" s="151">
        <v>1.06744E-3</v>
      </c>
      <c r="BL118" s="151">
        <v>1.53955E-3</v>
      </c>
      <c r="BM118" s="151">
        <v>1.10911E-3</v>
      </c>
      <c r="BN118" s="151">
        <v>5.2394067800000004</v>
      </c>
      <c r="BO118" s="151">
        <v>0.53354520000000005</v>
      </c>
      <c r="BP118" s="151">
        <v>0</v>
      </c>
      <c r="BQ118" s="6"/>
    </row>
    <row r="119" spans="1:69">
      <c r="A119" s="179">
        <v>71204</v>
      </c>
      <c r="B119" s="149" t="s">
        <v>1730</v>
      </c>
      <c r="E119" t="s">
        <v>1686</v>
      </c>
      <c r="F119" s="150">
        <v>156</v>
      </c>
      <c r="G119" s="149" t="s">
        <v>1730</v>
      </c>
      <c r="J119" s="151">
        <v>33.803844900000001</v>
      </c>
      <c r="K119" s="151">
        <v>114.69710000000001</v>
      </c>
      <c r="L119" s="151">
        <v>0.15161942</v>
      </c>
      <c r="M119" s="151">
        <v>8.23721E-3</v>
      </c>
      <c r="N119" s="151">
        <v>8.2424503100000006</v>
      </c>
      <c r="O119" s="151">
        <v>7.6246330000000001E-2</v>
      </c>
      <c r="P119" s="151">
        <v>1.5300000000000001E-4</v>
      </c>
      <c r="Q119" s="151">
        <v>6.6048900000000004E-3</v>
      </c>
      <c r="R119" s="151">
        <v>7.4315279999999997E-2</v>
      </c>
      <c r="S119" s="151">
        <v>1.097426E-2</v>
      </c>
      <c r="T119" s="151">
        <v>3.16351E-3</v>
      </c>
      <c r="U119" s="151">
        <v>0.69990224999999995</v>
      </c>
      <c r="V119" s="151">
        <v>0</v>
      </c>
      <c r="W119" s="151">
        <v>8.3414800000000001E-3</v>
      </c>
      <c r="X119" s="151">
        <v>4.2645809999999999E-2</v>
      </c>
      <c r="Y119" s="151">
        <v>2.71098E-3</v>
      </c>
      <c r="Z119" s="151">
        <v>0.26640599999999998</v>
      </c>
      <c r="AA119" s="151">
        <v>0</v>
      </c>
      <c r="AB119" s="151">
        <v>0</v>
      </c>
      <c r="AC119" s="151">
        <v>0</v>
      </c>
      <c r="AD119" s="151">
        <v>0</v>
      </c>
      <c r="AE119" s="151">
        <v>0.12702405</v>
      </c>
      <c r="AF119" s="151">
        <v>0</v>
      </c>
      <c r="AG119" s="151">
        <v>0</v>
      </c>
      <c r="AH119" s="151">
        <v>5.0421109999999998E-2</v>
      </c>
      <c r="AI119" s="151">
        <v>1.86972304</v>
      </c>
      <c r="AJ119" s="151">
        <v>1.456813E-2</v>
      </c>
      <c r="AK119" s="151">
        <v>3.3691760000000001E-2</v>
      </c>
      <c r="AL119" s="151">
        <v>2.08035243</v>
      </c>
      <c r="AM119" s="151">
        <v>4.045617E-2</v>
      </c>
      <c r="AN119" s="151">
        <v>1.90318879</v>
      </c>
      <c r="AO119" s="151">
        <v>40.568791699999998</v>
      </c>
      <c r="AP119" s="151">
        <v>4.6920820000000002E-2</v>
      </c>
      <c r="AQ119" s="151">
        <v>2.094493E-2</v>
      </c>
      <c r="AR119" s="151">
        <v>1.334637E-2</v>
      </c>
      <c r="AS119" s="151">
        <v>7.2999999999999996E-4</v>
      </c>
      <c r="AT119" s="151">
        <v>3.9621999999999999E-3</v>
      </c>
      <c r="AU119" s="151">
        <v>0</v>
      </c>
      <c r="AV119" s="151">
        <v>3.6499999999999998E-4</v>
      </c>
      <c r="AW119" s="151">
        <v>9.1799999999999998E-4</v>
      </c>
      <c r="AX119" s="151">
        <v>1.50147E-3</v>
      </c>
      <c r="AY119" s="151">
        <v>5.3200000000000003E-4</v>
      </c>
      <c r="AZ119" s="151">
        <v>2.0900000000000001E-4</v>
      </c>
      <c r="BA119" s="151">
        <v>1.8799999999999999E-4</v>
      </c>
      <c r="BB119" s="151">
        <v>1.0114E-3</v>
      </c>
      <c r="BC119" s="151">
        <v>1.0114E-3</v>
      </c>
      <c r="BD119" s="151">
        <v>2.2900000000000001E-4</v>
      </c>
      <c r="BE119" s="151">
        <v>1.0114E-3</v>
      </c>
      <c r="BF119" s="151">
        <v>1.09482E-3</v>
      </c>
      <c r="BG119" s="151">
        <v>1.37634E-3</v>
      </c>
      <c r="BH119" s="151">
        <v>3.5555600000000001E-3</v>
      </c>
      <c r="BI119" s="151">
        <v>3.20104E-3</v>
      </c>
      <c r="BJ119" s="151">
        <v>1.13653E-3</v>
      </c>
      <c r="BK119" s="151">
        <v>7.6099999999999996E-4</v>
      </c>
      <c r="BL119" s="151">
        <v>1.11567E-3</v>
      </c>
      <c r="BM119" s="151">
        <v>8.7600000000000004E-4</v>
      </c>
      <c r="BN119" s="151">
        <v>2.3460410600000001</v>
      </c>
      <c r="BO119" s="151">
        <v>0.15118930999999999</v>
      </c>
      <c r="BP119" s="151">
        <v>0</v>
      </c>
      <c r="BQ119" s="6"/>
    </row>
    <row r="120" spans="1:69">
      <c r="A120" s="179">
        <v>24106</v>
      </c>
      <c r="B120" s="149" t="s">
        <v>1731</v>
      </c>
      <c r="E120" t="s">
        <v>1686</v>
      </c>
      <c r="F120" s="150">
        <v>157</v>
      </c>
      <c r="G120" s="149" t="s">
        <v>1731</v>
      </c>
      <c r="J120" s="151">
        <v>104.35791999999999</v>
      </c>
      <c r="K120" s="151">
        <v>133.00026399999999</v>
      </c>
      <c r="L120" s="151">
        <v>1.1352293899999999</v>
      </c>
      <c r="M120" s="151">
        <v>5.8726626</v>
      </c>
      <c r="N120" s="151">
        <v>10.581181300000001</v>
      </c>
      <c r="O120" s="151">
        <v>2.7784980899999998</v>
      </c>
      <c r="P120" s="151">
        <v>4.6860110000000003E-2</v>
      </c>
      <c r="Q120" s="151">
        <v>2.4749670000000001E-2</v>
      </c>
      <c r="R120" s="151">
        <v>0.42805658000000002</v>
      </c>
      <c r="S120" s="151">
        <v>4.1255920000000001E-2</v>
      </c>
      <c r="T120" s="151">
        <v>0.15641260000000001</v>
      </c>
      <c r="U120" s="151">
        <v>8.1541793899999995</v>
      </c>
      <c r="V120" s="151">
        <v>0</v>
      </c>
      <c r="W120" s="151">
        <v>6.8726302500000003</v>
      </c>
      <c r="X120" s="151">
        <v>0.31742366</v>
      </c>
      <c r="Y120" s="151">
        <v>1.44795611</v>
      </c>
      <c r="Z120" s="151">
        <v>17.986089700000001</v>
      </c>
      <c r="AA120" s="151">
        <v>0</v>
      </c>
      <c r="AB120" s="151">
        <v>3.0793234699999998</v>
      </c>
      <c r="AC120" s="151">
        <v>0.75572519000000005</v>
      </c>
      <c r="AD120" s="151">
        <v>34.596063899999997</v>
      </c>
      <c r="AE120" s="151">
        <v>140.08225999999999</v>
      </c>
      <c r="AF120" s="151">
        <v>0</v>
      </c>
      <c r="AG120" s="151">
        <v>0</v>
      </c>
      <c r="AH120" s="151">
        <v>1.5375673700000001</v>
      </c>
      <c r="AI120" s="151">
        <v>32.3824258</v>
      </c>
      <c r="AJ120" s="151">
        <v>0.14399618</v>
      </c>
      <c r="AK120" s="151">
        <v>0.73125209999999996</v>
      </c>
      <c r="AL120" s="151">
        <v>22.834570599999999</v>
      </c>
      <c r="AM120" s="151">
        <v>0.27444217999999998</v>
      </c>
      <c r="AN120" s="151">
        <v>45.894293900000001</v>
      </c>
      <c r="AO120" s="151">
        <v>374.33032400000002</v>
      </c>
      <c r="AP120" s="151">
        <v>0.42827346999999999</v>
      </c>
      <c r="AQ120" s="151">
        <v>0.23121641000000001</v>
      </c>
      <c r="AR120" s="151">
        <v>0.90791584000000003</v>
      </c>
      <c r="AS120" s="151">
        <v>1.3117280499999999</v>
      </c>
      <c r="AT120" s="151">
        <v>3.3373608799999999</v>
      </c>
      <c r="AU120" s="151">
        <v>0</v>
      </c>
      <c r="AV120" s="151">
        <v>4.8807599999999996E-3</v>
      </c>
      <c r="AW120" s="151">
        <v>9.3680199999999995E-3</v>
      </c>
      <c r="AX120" s="151">
        <v>1.568172E-2</v>
      </c>
      <c r="AY120" s="151">
        <v>1.0330229999999999E-2</v>
      </c>
      <c r="AZ120" s="151">
        <v>2.8162399999999998E-3</v>
      </c>
      <c r="BA120" s="151">
        <v>3.4092900000000002E-3</v>
      </c>
      <c r="BB120" s="151">
        <v>1.1506829999999999E-2</v>
      </c>
      <c r="BC120" s="151">
        <v>1.037124E-2</v>
      </c>
      <c r="BD120" s="151">
        <v>3.20828E-3</v>
      </c>
      <c r="BE120" s="151">
        <v>1.117719E-2</v>
      </c>
      <c r="BF120" s="151">
        <v>1.4541429999999999E-2</v>
      </c>
      <c r="BG120" s="151">
        <v>2.6021559999999999E-2</v>
      </c>
      <c r="BH120" s="151">
        <v>4.0010669999999998E-2</v>
      </c>
      <c r="BI120" s="151">
        <v>5.2938739999999998E-2</v>
      </c>
      <c r="BJ120" s="151">
        <v>1.3729979999999999E-2</v>
      </c>
      <c r="BK120" s="151">
        <v>1.0030529999999999E-2</v>
      </c>
      <c r="BL120" s="151">
        <v>1.15379E-2</v>
      </c>
      <c r="BM120" s="151">
        <v>8.6199799999999993E-3</v>
      </c>
      <c r="BN120" s="151">
        <v>7.7625572500000004</v>
      </c>
      <c r="BO120" s="151">
        <v>3.2010305300000002</v>
      </c>
      <c r="BP120" s="151">
        <v>1.937022901</v>
      </c>
      <c r="BQ120" s="6"/>
    </row>
    <row r="121" spans="1:69">
      <c r="A121" s="179">
        <v>24107</v>
      </c>
      <c r="B121" s="149" t="s">
        <v>1732</v>
      </c>
      <c r="E121" t="s">
        <v>1686</v>
      </c>
      <c r="F121" s="150">
        <v>158</v>
      </c>
      <c r="G121" s="149" t="s">
        <v>1732</v>
      </c>
      <c r="J121" s="151">
        <v>112.945706</v>
      </c>
      <c r="K121" s="151">
        <v>130.92774499999999</v>
      </c>
      <c r="L121" s="151">
        <v>1.17530573</v>
      </c>
      <c r="M121" s="151">
        <v>5.8612122099999997</v>
      </c>
      <c r="N121" s="151">
        <v>12.7281279</v>
      </c>
      <c r="O121" s="151">
        <v>2.7784980899999998</v>
      </c>
      <c r="P121" s="151">
        <v>5.6134919999999998E-2</v>
      </c>
      <c r="Q121" s="151">
        <v>2.4749670000000001E-2</v>
      </c>
      <c r="R121" s="151">
        <v>0.35055181000000002</v>
      </c>
      <c r="S121" s="151">
        <v>0.23602691000000001</v>
      </c>
      <c r="T121" s="151">
        <v>0.16105</v>
      </c>
      <c r="U121" s="151">
        <v>8.4347137399999994</v>
      </c>
      <c r="V121" s="151">
        <v>0</v>
      </c>
      <c r="W121" s="151">
        <v>9.1370577300000004</v>
      </c>
      <c r="X121" s="151">
        <v>0.83269084000000004</v>
      </c>
      <c r="Y121" s="151">
        <v>0.34871946999999998</v>
      </c>
      <c r="Z121" s="151">
        <v>20.333417900000001</v>
      </c>
      <c r="AA121" s="151">
        <v>0</v>
      </c>
      <c r="AB121" s="151">
        <v>4.2386746200000003</v>
      </c>
      <c r="AC121" s="151">
        <v>0.75572519000000005</v>
      </c>
      <c r="AD121" s="151">
        <v>121.77927</v>
      </c>
      <c r="AE121" s="151">
        <v>210.014321</v>
      </c>
      <c r="AF121" s="151">
        <v>0</v>
      </c>
      <c r="AG121" s="151">
        <v>0</v>
      </c>
      <c r="AH121" s="151">
        <v>4.6817276699999999</v>
      </c>
      <c r="AI121" s="151">
        <v>15.7793723</v>
      </c>
      <c r="AJ121" s="151">
        <v>0.14972136999999999</v>
      </c>
      <c r="AK121" s="151">
        <v>0.62819866000000002</v>
      </c>
      <c r="AL121" s="151">
        <v>13.725792</v>
      </c>
      <c r="AM121" s="151">
        <v>0.21604523</v>
      </c>
      <c r="AN121" s="151">
        <v>24.653835900000001</v>
      </c>
      <c r="AO121" s="151">
        <v>237.807424</v>
      </c>
      <c r="AP121" s="151">
        <v>0.35384599</v>
      </c>
      <c r="AQ121" s="151">
        <v>0.29419350999999999</v>
      </c>
      <c r="AR121" s="151">
        <v>0.93654179000000004</v>
      </c>
      <c r="AS121" s="151">
        <v>1.3174532400000001</v>
      </c>
      <c r="AT121" s="151">
        <v>3.39461279</v>
      </c>
      <c r="AU121" s="151">
        <v>0</v>
      </c>
      <c r="AV121" s="151">
        <v>4.49571E-2</v>
      </c>
      <c r="AW121" s="151">
        <v>6.1467250000000001E-2</v>
      </c>
      <c r="AX121" s="151">
        <v>0.10900232999999999</v>
      </c>
      <c r="AY121" s="151">
        <v>6.1856950000000001E-2</v>
      </c>
      <c r="AZ121" s="151">
        <v>2.3426929999999999E-2</v>
      </c>
      <c r="BA121" s="151">
        <v>2.8600130000000001E-2</v>
      </c>
      <c r="BB121" s="151">
        <v>9.7384689999999996E-2</v>
      </c>
      <c r="BC121" s="151">
        <v>6.6478110000000007E-2</v>
      </c>
      <c r="BD121" s="151">
        <v>1.981134E-2</v>
      </c>
      <c r="BE121" s="151">
        <v>9.3047420000000006E-2</v>
      </c>
      <c r="BF121" s="151">
        <v>0.10385440999999999</v>
      </c>
      <c r="BG121" s="151">
        <v>0.15369331999999999</v>
      </c>
      <c r="BH121" s="151">
        <v>0.21291143000000001</v>
      </c>
      <c r="BI121" s="151">
        <v>0.28996164000000002</v>
      </c>
      <c r="BJ121" s="151">
        <v>8.3004789999999995E-2</v>
      </c>
      <c r="BK121" s="151">
        <v>8.3312979999999995E-2</v>
      </c>
      <c r="BL121" s="151">
        <v>0.10199592</v>
      </c>
      <c r="BM121" s="151">
        <v>5.6139059999999998E-2</v>
      </c>
      <c r="BN121" s="151">
        <v>34.270190800000002</v>
      </c>
      <c r="BO121" s="151">
        <v>36.979656499999997</v>
      </c>
      <c r="BP121" s="151">
        <v>10.52480916</v>
      </c>
      <c r="BQ121" s="6"/>
    </row>
    <row r="122" spans="1:69">
      <c r="A122" s="179">
        <v>24108</v>
      </c>
      <c r="B122" s="149" t="s">
        <v>1733</v>
      </c>
      <c r="E122" t="s">
        <v>1686</v>
      </c>
      <c r="F122" s="150">
        <v>159</v>
      </c>
      <c r="G122" s="149" t="s">
        <v>1733</v>
      </c>
      <c r="J122" s="151">
        <v>66.571660300000005</v>
      </c>
      <c r="K122" s="151">
        <v>143.082325</v>
      </c>
      <c r="L122" s="151">
        <v>0.81461870000000003</v>
      </c>
      <c r="M122" s="151">
        <v>5.8783877899999997</v>
      </c>
      <c r="N122" s="151">
        <v>2.0162958</v>
      </c>
      <c r="O122" s="151">
        <v>1.6907118299999999</v>
      </c>
      <c r="P122" s="151">
        <v>1.4398279999999999E-2</v>
      </c>
      <c r="Q122" s="151">
        <v>2.4749670000000001E-2</v>
      </c>
      <c r="R122" s="151">
        <v>0.18004132</v>
      </c>
      <c r="S122" s="151">
        <v>0.27312615000000001</v>
      </c>
      <c r="T122" s="151">
        <v>5.9027099999999999E-2</v>
      </c>
      <c r="U122" s="151">
        <v>9.08555344</v>
      </c>
      <c r="V122" s="151">
        <v>0</v>
      </c>
      <c r="W122" s="151">
        <v>6.5795004800000001</v>
      </c>
      <c r="X122" s="151">
        <v>0.39757633999999997</v>
      </c>
      <c r="Y122" s="151">
        <v>0.13688739999999999</v>
      </c>
      <c r="Z122" s="151">
        <v>36.467005700000001</v>
      </c>
      <c r="AA122" s="151">
        <v>0</v>
      </c>
      <c r="AB122" s="151">
        <v>4.9342853099999999</v>
      </c>
      <c r="AC122" s="151">
        <v>0.75572519000000005</v>
      </c>
      <c r="AD122" s="151">
        <v>35.662666999999999</v>
      </c>
      <c r="AE122" s="151">
        <v>186.27080900000001</v>
      </c>
      <c r="AF122" s="151">
        <v>0</v>
      </c>
      <c r="AG122" s="151">
        <v>0</v>
      </c>
      <c r="AH122" s="151">
        <v>2.44649866</v>
      </c>
      <c r="AI122" s="151">
        <v>28.947311299999999</v>
      </c>
      <c r="AJ122" s="151">
        <v>9.2469469999999998E-2</v>
      </c>
      <c r="AK122" s="151">
        <v>0.51369485000000004</v>
      </c>
      <c r="AL122" s="151">
        <v>15.3918225</v>
      </c>
      <c r="AM122" s="151">
        <v>0.34772461999999998</v>
      </c>
      <c r="AN122" s="151">
        <v>22.421011499999999</v>
      </c>
      <c r="AO122" s="151">
        <v>272.99444699999998</v>
      </c>
      <c r="AP122" s="151">
        <v>0.87483836000000004</v>
      </c>
      <c r="AQ122" s="151">
        <v>0.21404084000000001</v>
      </c>
      <c r="AR122" s="151">
        <v>0.94799217999999996</v>
      </c>
      <c r="AS122" s="151">
        <v>1.3174532400000001</v>
      </c>
      <c r="AT122" s="151">
        <v>3.4003379800000002</v>
      </c>
      <c r="AU122" s="151">
        <v>0</v>
      </c>
      <c r="AV122" s="151">
        <v>1.7476180000000001E-2</v>
      </c>
      <c r="AW122" s="151">
        <v>3.1696259999999997E-2</v>
      </c>
      <c r="AX122" s="151">
        <v>5.3467979999999998E-2</v>
      </c>
      <c r="AY122" s="151">
        <v>2.75058E-2</v>
      </c>
      <c r="AZ122" s="151">
        <v>9.1139499999999991E-3</v>
      </c>
      <c r="BA122" s="151">
        <v>7.4169300000000004E-3</v>
      </c>
      <c r="BB122" s="151">
        <v>3.3262559999999997E-2</v>
      </c>
      <c r="BC122" s="151">
        <v>3.2126969999999998E-2</v>
      </c>
      <c r="BD122" s="151">
        <v>7.2159199999999998E-3</v>
      </c>
      <c r="BE122" s="151">
        <v>4.2093230000000002E-2</v>
      </c>
      <c r="BF122" s="151">
        <v>5.2900210000000003E-2</v>
      </c>
      <c r="BG122" s="151">
        <v>5.063989E-2</v>
      </c>
      <c r="BH122" s="151">
        <v>0.10184273000000001</v>
      </c>
      <c r="BI122" s="151">
        <v>0.11477080000000001</v>
      </c>
      <c r="BJ122" s="151">
        <v>4.865365E-2</v>
      </c>
      <c r="BK122" s="151">
        <v>3.1786259999999997E-2</v>
      </c>
      <c r="BL122" s="151">
        <v>3.7301260000000003E-2</v>
      </c>
      <c r="BM122" s="151">
        <v>2.4650519999999999E-2</v>
      </c>
      <c r="BN122" s="151">
        <v>14.4381298</v>
      </c>
      <c r="BO122" s="151">
        <v>18.367061100000001</v>
      </c>
      <c r="BP122" s="151">
        <v>1.937022901</v>
      </c>
      <c r="BQ122" s="6"/>
    </row>
    <row r="123" spans="1:69">
      <c r="A123" s="179">
        <v>25601</v>
      </c>
      <c r="B123" s="149" t="s">
        <v>1734</v>
      </c>
      <c r="E123" t="s">
        <v>1686</v>
      </c>
      <c r="F123" s="150">
        <v>160</v>
      </c>
      <c r="G123" s="149" t="s">
        <v>1734</v>
      </c>
      <c r="J123" s="151">
        <v>285.08139499999999</v>
      </c>
      <c r="K123" s="151">
        <v>60.908372100000001</v>
      </c>
      <c r="L123" s="151">
        <v>12.2937209</v>
      </c>
      <c r="M123" s="151">
        <v>18.021744200000001</v>
      </c>
      <c r="N123" s="151">
        <v>36.5637209</v>
      </c>
      <c r="O123" s="151">
        <v>10.0731977</v>
      </c>
      <c r="P123" s="151">
        <v>2.439419E-2</v>
      </c>
      <c r="Q123" s="151">
        <v>6.7005380000000003E-2</v>
      </c>
      <c r="R123" s="151">
        <v>0.28680610000000001</v>
      </c>
      <c r="S123" s="151">
        <v>0.12846977000000001</v>
      </c>
      <c r="T123" s="151">
        <v>0.11368256</v>
      </c>
      <c r="U123" s="151">
        <v>5.40424419</v>
      </c>
      <c r="V123" s="151">
        <v>0</v>
      </c>
      <c r="W123" s="151">
        <v>20.787407300000002</v>
      </c>
      <c r="X123" s="151">
        <v>1.0631395299999999</v>
      </c>
      <c r="Y123" s="151">
        <v>0.10969535</v>
      </c>
      <c r="Z123" s="151">
        <v>15.074568599999999</v>
      </c>
      <c r="AA123" s="151">
        <v>0</v>
      </c>
      <c r="AB123" s="151">
        <v>3.10486453</v>
      </c>
      <c r="AC123" s="151">
        <v>0</v>
      </c>
      <c r="AD123" s="151">
        <v>37.247484300000004</v>
      </c>
      <c r="AE123" s="151">
        <v>66.305813999999998</v>
      </c>
      <c r="AF123" s="151">
        <v>0</v>
      </c>
      <c r="AG123" s="151">
        <v>0</v>
      </c>
      <c r="AH123" s="151">
        <v>8.30102151</v>
      </c>
      <c r="AI123" s="151">
        <v>429.90610500000003</v>
      </c>
      <c r="AJ123" s="151">
        <v>0.41075581</v>
      </c>
      <c r="AK123" s="151">
        <v>10.564941900000001</v>
      </c>
      <c r="AL123" s="151">
        <v>23.0907558</v>
      </c>
      <c r="AM123" s="151">
        <v>0.18618604999999999</v>
      </c>
      <c r="AN123" s="151">
        <v>21.203488400000001</v>
      </c>
      <c r="AO123" s="151">
        <v>172.64238399999999</v>
      </c>
      <c r="AP123" s="151">
        <v>0.14854650999999999</v>
      </c>
      <c r="AQ123" s="151">
        <v>0.75860464999999999</v>
      </c>
      <c r="AR123" s="151">
        <v>0.78534884000000005</v>
      </c>
      <c r="AS123" s="151">
        <v>1.0820930200000001</v>
      </c>
      <c r="AT123" s="151">
        <v>2.8222674400000001</v>
      </c>
      <c r="AU123" s="151">
        <v>0</v>
      </c>
      <c r="AV123" s="151">
        <v>2.361628E-2</v>
      </c>
      <c r="AW123" s="151">
        <v>4.3162789999999999E-2</v>
      </c>
      <c r="AX123" s="151">
        <v>6.4569769999999999E-2</v>
      </c>
      <c r="AY123" s="151">
        <v>4.7145350000000003E-2</v>
      </c>
      <c r="AZ123" s="151">
        <v>1.7470929999999999E-2</v>
      </c>
      <c r="BA123" s="151">
        <v>1.7848840000000001E-2</v>
      </c>
      <c r="BB123" s="151">
        <v>5.710465E-2</v>
      </c>
      <c r="BC123" s="151">
        <v>4.5447670000000003E-2</v>
      </c>
      <c r="BD123" s="151">
        <v>1.212791E-2</v>
      </c>
      <c r="BE123" s="151">
        <v>5.1511630000000003E-2</v>
      </c>
      <c r="BF123" s="151">
        <v>6.5930230000000006E-2</v>
      </c>
      <c r="BG123" s="151">
        <v>0.12348256000000001</v>
      </c>
      <c r="BH123" s="151">
        <v>0.18561627999999999</v>
      </c>
      <c r="BI123" s="151">
        <v>0.30325581000000001</v>
      </c>
      <c r="BJ123" s="151">
        <v>6.7633719999999994E-2</v>
      </c>
      <c r="BK123" s="151">
        <v>3.9389529999999999E-2</v>
      </c>
      <c r="BL123" s="151">
        <v>5.0784879999999998E-2</v>
      </c>
      <c r="BM123" s="151">
        <v>3.3238370000000003E-2</v>
      </c>
      <c r="BN123" s="151">
        <v>31.409418599999999</v>
      </c>
      <c r="BO123" s="151">
        <v>8.6741279099999993</v>
      </c>
      <c r="BP123" s="151">
        <v>9.8720930229999997</v>
      </c>
      <c r="BQ123" s="6"/>
    </row>
    <row r="124" spans="1:69">
      <c r="A124" s="179">
        <v>25620</v>
      </c>
      <c r="B124" s="149" t="s">
        <v>1735</v>
      </c>
      <c r="E124" t="s">
        <v>1686</v>
      </c>
      <c r="F124" s="150">
        <v>161</v>
      </c>
      <c r="G124" s="149" t="s">
        <v>1735</v>
      </c>
      <c r="J124" s="151">
        <v>419.91860500000001</v>
      </c>
      <c r="K124" s="151">
        <v>64.113023299999995</v>
      </c>
      <c r="L124" s="151">
        <v>12.1304651</v>
      </c>
      <c r="M124" s="151">
        <v>32.3822093</v>
      </c>
      <c r="N124" s="151">
        <v>15.582325600000001</v>
      </c>
      <c r="O124" s="151">
        <v>9.2992441899999996</v>
      </c>
      <c r="P124" s="151">
        <v>0.41131046999999998</v>
      </c>
      <c r="Q124" s="151">
        <v>0.25254259000000001</v>
      </c>
      <c r="R124" s="151">
        <v>2.7151607599999998</v>
      </c>
      <c r="S124" s="151">
        <v>0.36845580999999999</v>
      </c>
      <c r="T124" s="151">
        <v>0.49570115999999997</v>
      </c>
      <c r="U124" s="151">
        <v>34.143313999999997</v>
      </c>
      <c r="V124" s="151">
        <v>0</v>
      </c>
      <c r="W124" s="151">
        <v>20.787407300000002</v>
      </c>
      <c r="X124" s="151">
        <v>42.802209300000001</v>
      </c>
      <c r="Y124" s="151">
        <v>1.3189976699999999</v>
      </c>
      <c r="Z124" s="151">
        <v>81.5861965</v>
      </c>
      <c r="AA124" s="151">
        <v>0</v>
      </c>
      <c r="AB124" s="151">
        <v>3.10486453</v>
      </c>
      <c r="AC124" s="151">
        <v>0</v>
      </c>
      <c r="AD124" s="151">
        <v>39.505312199999999</v>
      </c>
      <c r="AE124" s="151">
        <v>76.037492999999998</v>
      </c>
      <c r="AF124" s="151">
        <v>0</v>
      </c>
      <c r="AG124" s="151">
        <v>0</v>
      </c>
      <c r="AH124" s="151">
        <v>9.4372819799999998</v>
      </c>
      <c r="AI124" s="151">
        <v>604.65029100000004</v>
      </c>
      <c r="AJ124" s="151">
        <v>2.8656395300000002</v>
      </c>
      <c r="AK124" s="151">
        <v>7.2393604700000003</v>
      </c>
      <c r="AL124" s="151">
        <v>233.96284900000001</v>
      </c>
      <c r="AM124" s="151">
        <v>1.71595349</v>
      </c>
      <c r="AN124" s="151">
        <v>399.09232600000001</v>
      </c>
      <c r="AO124" s="151">
        <v>453.80517400000002</v>
      </c>
      <c r="AP124" s="151">
        <v>9.6415697700000003</v>
      </c>
      <c r="AQ124" s="151">
        <v>5.4144186000000003</v>
      </c>
      <c r="AR124" s="151">
        <v>4.5160465099999998</v>
      </c>
      <c r="AS124" s="151">
        <v>11.488139500000001</v>
      </c>
      <c r="AT124" s="151">
        <v>14.9576163</v>
      </c>
      <c r="AU124" s="151">
        <v>0</v>
      </c>
      <c r="AV124" s="151">
        <v>0.32170929999999998</v>
      </c>
      <c r="AW124" s="151">
        <v>0.74516278999999996</v>
      </c>
      <c r="AX124" s="151">
        <v>0.79861627999999996</v>
      </c>
      <c r="AY124" s="151">
        <v>0.37426163000000001</v>
      </c>
      <c r="AZ124" s="151">
        <v>0.36575000000000002</v>
      </c>
      <c r="BA124" s="151">
        <v>0.17143022999999999</v>
      </c>
      <c r="BB124" s="151">
        <v>0.60068604999999997</v>
      </c>
      <c r="BC124" s="151">
        <v>0.49833139999999998</v>
      </c>
      <c r="BD124" s="151">
        <v>0.24370929999999999</v>
      </c>
      <c r="BE124" s="151">
        <v>0.49351162999999998</v>
      </c>
      <c r="BF124" s="151">
        <v>0.78848837000000005</v>
      </c>
      <c r="BG124" s="151">
        <v>1.5299011600000001</v>
      </c>
      <c r="BH124" s="151">
        <v>1.29152326</v>
      </c>
      <c r="BI124" s="151">
        <v>2.8597209299999999</v>
      </c>
      <c r="BJ124" s="151">
        <v>0.80470348999999997</v>
      </c>
      <c r="BK124" s="151">
        <v>0.50134301999999997</v>
      </c>
      <c r="BL124" s="151">
        <v>0.74492442000000003</v>
      </c>
      <c r="BM124" s="151">
        <v>0.44802906999999997</v>
      </c>
      <c r="BN124" s="151">
        <v>123.921047</v>
      </c>
      <c r="BO124" s="151">
        <v>551.45133699999997</v>
      </c>
      <c r="BP124" s="151">
        <v>9.8720930229999997</v>
      </c>
      <c r="BQ124" s="6"/>
    </row>
    <row r="125" spans="1:69">
      <c r="A125" s="179">
        <v>23602</v>
      </c>
      <c r="B125" s="149" t="s">
        <v>1736</v>
      </c>
      <c r="E125" t="s">
        <v>1686</v>
      </c>
      <c r="F125" s="150">
        <v>162</v>
      </c>
      <c r="G125" s="149" t="s">
        <v>1736</v>
      </c>
      <c r="J125" s="151">
        <v>346.19856900000002</v>
      </c>
      <c r="K125" s="151">
        <v>90.599212899999998</v>
      </c>
      <c r="L125" s="151">
        <v>19.0936673</v>
      </c>
      <c r="M125" s="151">
        <v>7.0550268300000001</v>
      </c>
      <c r="N125" s="151">
        <v>52.948551000000002</v>
      </c>
      <c r="O125" s="151">
        <v>9.7481574200000001</v>
      </c>
      <c r="P125" s="151">
        <v>0.57096177000000004</v>
      </c>
      <c r="Q125" s="151">
        <v>0.20319166</v>
      </c>
      <c r="R125" s="151">
        <v>1.72346377</v>
      </c>
      <c r="S125" s="151">
        <v>1.1308297</v>
      </c>
      <c r="T125" s="151">
        <v>0.34912358999999998</v>
      </c>
      <c r="U125" s="151">
        <v>250.18769499999999</v>
      </c>
      <c r="V125" s="151">
        <v>0</v>
      </c>
      <c r="W125" s="151">
        <v>15.023384500000001</v>
      </c>
      <c r="X125" s="151">
        <v>0.47237924999999997</v>
      </c>
      <c r="Y125" s="151">
        <v>0.19470054000000001</v>
      </c>
      <c r="Z125" s="151">
        <v>27.748500499999999</v>
      </c>
      <c r="AA125" s="151">
        <v>0</v>
      </c>
      <c r="AB125" s="151">
        <v>10.467011400000001</v>
      </c>
      <c r="AC125" s="151">
        <v>1.9964221799999999</v>
      </c>
      <c r="AD125" s="151">
        <v>97.301726400000007</v>
      </c>
      <c r="AE125" s="151">
        <v>363.75124299999999</v>
      </c>
      <c r="AF125" s="151">
        <v>0</v>
      </c>
      <c r="AG125" s="151">
        <v>0</v>
      </c>
      <c r="AH125" s="151">
        <v>46.034500100000002</v>
      </c>
      <c r="AI125" s="151">
        <v>122.08275500000001</v>
      </c>
      <c r="AJ125" s="151">
        <v>0.88944186000000003</v>
      </c>
      <c r="AK125" s="151">
        <v>7.0807692299999996</v>
      </c>
      <c r="AL125" s="151">
        <v>267.41232600000001</v>
      </c>
      <c r="AM125" s="151">
        <v>1.35769589</v>
      </c>
      <c r="AN125" s="151">
        <v>440.74953499999998</v>
      </c>
      <c r="AO125" s="151">
        <v>1037.17614</v>
      </c>
      <c r="AP125" s="151">
        <v>6.5135420399999999</v>
      </c>
      <c r="AQ125" s="151">
        <v>3.0665116299999999</v>
      </c>
      <c r="AR125" s="151">
        <v>1.2193577799999999</v>
      </c>
      <c r="AS125" s="151">
        <v>1.47196064</v>
      </c>
      <c r="AT125" s="151">
        <v>3.9711001800000001</v>
      </c>
      <c r="AU125" s="151">
        <v>0</v>
      </c>
      <c r="AV125" s="151">
        <v>0.57816279000000004</v>
      </c>
      <c r="AW125" s="151">
        <v>0.76880680000000001</v>
      </c>
      <c r="AX125" s="151">
        <v>1.4428014300000001</v>
      </c>
      <c r="AY125" s="151">
        <v>1.27296064</v>
      </c>
      <c r="AZ125" s="151">
        <v>0.26707334999999999</v>
      </c>
      <c r="BA125" s="151">
        <v>0.20831664</v>
      </c>
      <c r="BB125" s="151">
        <v>1.09884436</v>
      </c>
      <c r="BC125" s="151">
        <v>0.72408766000000002</v>
      </c>
      <c r="BD125" s="151">
        <v>0.23480501000000001</v>
      </c>
      <c r="BE125" s="151">
        <v>0.90064937</v>
      </c>
      <c r="BF125" s="151">
        <v>0.87732558000000005</v>
      </c>
      <c r="BG125" s="151">
        <v>1.2998246899999999</v>
      </c>
      <c r="BH125" s="151">
        <v>2.3093559899999998</v>
      </c>
      <c r="BI125" s="151">
        <v>3.5972307699999999</v>
      </c>
      <c r="BJ125" s="151">
        <v>0.78100716000000003</v>
      </c>
      <c r="BK125" s="151">
        <v>0.84418426000000002</v>
      </c>
      <c r="BL125" s="151">
        <v>0.94719677999999996</v>
      </c>
      <c r="BM125" s="151">
        <v>0.61399999999999999</v>
      </c>
      <c r="BN125" s="151">
        <v>20.3253667</v>
      </c>
      <c r="BO125" s="151">
        <v>27.761484800000002</v>
      </c>
      <c r="BP125" s="151">
        <v>8.5259391769999997</v>
      </c>
      <c r="BQ125" s="6"/>
    </row>
    <row r="126" spans="1:69">
      <c r="A126" s="179">
        <v>25602</v>
      </c>
      <c r="B126" s="149" t="s">
        <v>1737</v>
      </c>
      <c r="E126" t="s">
        <v>1686</v>
      </c>
      <c r="F126" s="150">
        <v>163</v>
      </c>
      <c r="G126" s="149" t="s">
        <v>1737</v>
      </c>
      <c r="J126" s="151">
        <v>333.13690500000001</v>
      </c>
      <c r="K126" s="151">
        <v>132.83708300000001</v>
      </c>
      <c r="L126" s="151">
        <v>3.2984523800000001</v>
      </c>
      <c r="M126" s="151">
        <v>31.3136905</v>
      </c>
      <c r="N126" s="151">
        <v>6.25297619</v>
      </c>
      <c r="O126" s="151">
        <v>6.6409523799999999</v>
      </c>
      <c r="P126" s="151">
        <v>5.0967859999999997E-2</v>
      </c>
      <c r="Q126" s="151">
        <v>7.5459230000000002E-2</v>
      </c>
      <c r="R126" s="151">
        <v>0.76063988000000005</v>
      </c>
      <c r="S126" s="151">
        <v>0.24094702000000001</v>
      </c>
      <c r="T126" s="151">
        <v>0.14963571000000001</v>
      </c>
      <c r="U126" s="151">
        <v>14.6782143</v>
      </c>
      <c r="V126" s="151">
        <v>0</v>
      </c>
      <c r="W126" s="151">
        <v>2.3647553600000002</v>
      </c>
      <c r="X126" s="151">
        <v>1.34107143</v>
      </c>
      <c r="Y126" s="151">
        <v>0.85452380999999999</v>
      </c>
      <c r="Z126" s="151">
        <v>22.896719000000001</v>
      </c>
      <c r="AA126" s="151">
        <v>0</v>
      </c>
      <c r="AB126" s="151">
        <v>25.899291699999999</v>
      </c>
      <c r="AC126" s="151">
        <v>0</v>
      </c>
      <c r="AD126" s="151">
        <v>278.53715099999999</v>
      </c>
      <c r="AE126" s="151">
        <v>205.39833300000001</v>
      </c>
      <c r="AF126" s="151">
        <v>1.05415714</v>
      </c>
      <c r="AG126" s="151">
        <v>46.256785700000002</v>
      </c>
      <c r="AH126" s="151">
        <v>82.130961900000003</v>
      </c>
      <c r="AI126" s="151">
        <v>36.678294000000001</v>
      </c>
      <c r="AJ126" s="151">
        <v>0.87130476000000001</v>
      </c>
      <c r="AK126" s="151">
        <v>0.70779762000000002</v>
      </c>
      <c r="AL126" s="151">
        <v>21.877709500000002</v>
      </c>
      <c r="AM126" s="151">
        <v>0.36213095000000001</v>
      </c>
      <c r="AN126" s="151">
        <v>66.250714299999999</v>
      </c>
      <c r="AO126" s="151">
        <v>182.59380999999999</v>
      </c>
      <c r="AP126" s="151">
        <v>0.77315476000000005</v>
      </c>
      <c r="AQ126" s="151">
        <v>0.59651785999999996</v>
      </c>
      <c r="AR126" s="151">
        <v>1.8517261899999999</v>
      </c>
      <c r="AS126" s="151">
        <v>20.273392900000001</v>
      </c>
      <c r="AT126" s="151">
        <v>5.0048095200000002</v>
      </c>
      <c r="AU126" s="151">
        <v>0</v>
      </c>
      <c r="AV126" s="151">
        <v>5.2535709999999999E-2</v>
      </c>
      <c r="AW126" s="151">
        <v>9.7428570000000006E-2</v>
      </c>
      <c r="AX126" s="151">
        <v>0.15173809999999999</v>
      </c>
      <c r="AY126" s="151">
        <v>0.10182143</v>
      </c>
      <c r="AZ126" s="151">
        <v>2.576786E-2</v>
      </c>
      <c r="BA126" s="151">
        <v>2.5779759999999999E-2</v>
      </c>
      <c r="BB126" s="151">
        <v>0.12578571</v>
      </c>
      <c r="BC126" s="151">
        <v>8.5494050000000002E-2</v>
      </c>
      <c r="BD126" s="151">
        <v>2.340476E-2</v>
      </c>
      <c r="BE126" s="151">
        <v>0.12175595</v>
      </c>
      <c r="BF126" s="151">
        <v>0.13827976</v>
      </c>
      <c r="BG126" s="151">
        <v>0.15790476000000001</v>
      </c>
      <c r="BH126" s="151">
        <v>0.40239881</v>
      </c>
      <c r="BI126" s="151">
        <v>0.55159524000000004</v>
      </c>
      <c r="BJ126" s="151">
        <v>0.11910119</v>
      </c>
      <c r="BK126" s="151">
        <v>0.1032619</v>
      </c>
      <c r="BL126" s="151">
        <v>0.10328571</v>
      </c>
      <c r="BM126" s="151">
        <v>7.5672619999999996E-2</v>
      </c>
      <c r="BN126" s="151">
        <v>36.132381000000002</v>
      </c>
      <c r="BO126" s="151">
        <v>29.3284524</v>
      </c>
      <c r="BP126" s="151">
        <v>2.9285714289999998</v>
      </c>
      <c r="BQ126" s="6"/>
    </row>
    <row r="127" spans="1:69">
      <c r="A127" s="179">
        <v>21602</v>
      </c>
      <c r="B127" s="149" t="s">
        <v>1738</v>
      </c>
      <c r="E127" t="s">
        <v>1686</v>
      </c>
      <c r="F127" s="150">
        <v>164</v>
      </c>
      <c r="G127" s="149" t="s">
        <v>1738</v>
      </c>
      <c r="J127" s="151">
        <v>183.32950199999999</v>
      </c>
      <c r="K127" s="151">
        <v>176.74873600000001</v>
      </c>
      <c r="L127" s="151">
        <v>5.6310728000000001</v>
      </c>
      <c r="M127" s="151">
        <v>11.6747893</v>
      </c>
      <c r="N127" s="151">
        <v>9.3749425300000002</v>
      </c>
      <c r="O127" s="151">
        <v>9.3008812299999999</v>
      </c>
      <c r="P127" s="151">
        <v>0.11983831</v>
      </c>
      <c r="Q127" s="151">
        <v>0.20022978999999999</v>
      </c>
      <c r="R127" s="151">
        <v>1.0978576600000001</v>
      </c>
      <c r="S127" s="151">
        <v>0.17401876999999999</v>
      </c>
      <c r="T127" s="151">
        <v>0.36051876999999999</v>
      </c>
      <c r="U127" s="151">
        <v>39.807241400000002</v>
      </c>
      <c r="V127" s="151">
        <v>0</v>
      </c>
      <c r="W127" s="151">
        <v>16.2142406</v>
      </c>
      <c r="X127" s="151">
        <v>0.25283525000000001</v>
      </c>
      <c r="Y127" s="151">
        <v>1.2949042099999999</v>
      </c>
      <c r="Z127" s="151">
        <v>16.548199199999999</v>
      </c>
      <c r="AA127" s="151">
        <v>0</v>
      </c>
      <c r="AB127" s="151">
        <v>283.03980300000001</v>
      </c>
      <c r="AC127" s="151">
        <v>0</v>
      </c>
      <c r="AD127" s="151">
        <v>3337.3084199999998</v>
      </c>
      <c r="AE127" s="151">
        <v>101.18022999999999</v>
      </c>
      <c r="AF127" s="151">
        <v>1.9225241399999999</v>
      </c>
      <c r="AG127" s="151">
        <v>84.361034500000002</v>
      </c>
      <c r="AH127" s="151">
        <v>143.907701</v>
      </c>
      <c r="AI127" s="151">
        <v>151.57876899999999</v>
      </c>
      <c r="AJ127" s="151">
        <v>0.39570306999999999</v>
      </c>
      <c r="AK127" s="151">
        <v>3.2776628400000001</v>
      </c>
      <c r="AL127" s="151">
        <v>58.907708800000002</v>
      </c>
      <c r="AM127" s="151">
        <v>0.21188505999999999</v>
      </c>
      <c r="AN127" s="151">
        <v>71.379777799999999</v>
      </c>
      <c r="AO127" s="151">
        <v>343.41433000000001</v>
      </c>
      <c r="AP127" s="151">
        <v>1.38337165</v>
      </c>
      <c r="AQ127" s="151">
        <v>0.79248083999999996</v>
      </c>
      <c r="AR127" s="151">
        <v>0.66643677999999995</v>
      </c>
      <c r="AS127" s="151">
        <v>6.8126819899999997</v>
      </c>
      <c r="AT127" s="151">
        <v>1.77138314</v>
      </c>
      <c r="AU127" s="151">
        <v>0</v>
      </c>
      <c r="AV127" s="151">
        <v>3.1865900000000003E-2</v>
      </c>
      <c r="AW127" s="151">
        <v>5.7413789999999999E-2</v>
      </c>
      <c r="AX127" s="151">
        <v>9.0689660000000005E-2</v>
      </c>
      <c r="AY127" s="151">
        <v>6.4674330000000002E-2</v>
      </c>
      <c r="AZ127" s="151">
        <v>2.20728E-2</v>
      </c>
      <c r="BA127" s="151">
        <v>2.6157090000000001E-2</v>
      </c>
      <c r="BB127" s="151">
        <v>7.3689660000000004E-2</v>
      </c>
      <c r="BC127" s="151">
        <v>6.0386969999999998E-2</v>
      </c>
      <c r="BD127" s="151">
        <v>1.6187739999999999E-2</v>
      </c>
      <c r="BE127" s="151">
        <v>7.0712639999999993E-2</v>
      </c>
      <c r="BF127" s="151">
        <v>8.0295019999999995E-2</v>
      </c>
      <c r="BG127" s="151">
        <v>0.16368199</v>
      </c>
      <c r="BH127" s="151">
        <v>0.20389655000000001</v>
      </c>
      <c r="BI127" s="151">
        <v>0.36175478999999999</v>
      </c>
      <c r="BJ127" s="151">
        <v>8.6264370000000007E-2</v>
      </c>
      <c r="BK127" s="151">
        <v>7.4088119999999993E-2</v>
      </c>
      <c r="BL127" s="151">
        <v>6.2850569999999994E-2</v>
      </c>
      <c r="BM127" s="151">
        <v>4.7068970000000002E-2</v>
      </c>
      <c r="BN127" s="151">
        <v>32.041609200000003</v>
      </c>
      <c r="BO127" s="151">
        <v>27.647547899999999</v>
      </c>
      <c r="BP127" s="151">
        <v>5.7088122610000003</v>
      </c>
      <c r="BQ127" s="6"/>
    </row>
    <row r="128" spans="1:69">
      <c r="A128" s="179">
        <v>21323</v>
      </c>
      <c r="B128" s="149" t="s">
        <v>1739</v>
      </c>
      <c r="E128" t="s">
        <v>1686</v>
      </c>
      <c r="F128" s="150">
        <v>165</v>
      </c>
      <c r="G128" s="149" t="s">
        <v>1739</v>
      </c>
      <c r="J128" s="151">
        <v>156.632184</v>
      </c>
      <c r="K128" s="151">
        <v>184.88356300000001</v>
      </c>
      <c r="L128" s="151">
        <v>2.3489271999999999</v>
      </c>
      <c r="M128" s="151">
        <v>10.5511494</v>
      </c>
      <c r="N128" s="151">
        <v>12.156091999999999</v>
      </c>
      <c r="O128" s="151">
        <v>3.0483141800000002</v>
      </c>
      <c r="P128" s="151">
        <v>3.5514179999999999E-2</v>
      </c>
      <c r="Q128" s="151">
        <v>0.30927307999999998</v>
      </c>
      <c r="R128" s="151">
        <v>0.11486341</v>
      </c>
      <c r="S128" s="151">
        <v>0.13681533000000001</v>
      </c>
      <c r="T128" s="151">
        <v>0.10711877</v>
      </c>
      <c r="U128" s="151">
        <v>4.5998850600000001</v>
      </c>
      <c r="V128" s="151">
        <v>0</v>
      </c>
      <c r="W128" s="151">
        <v>42.889939300000002</v>
      </c>
      <c r="X128" s="151">
        <v>0.44628351999999999</v>
      </c>
      <c r="Y128" s="151">
        <v>6.3848279999999993E-2</v>
      </c>
      <c r="Z128" s="151">
        <v>22.138730299999999</v>
      </c>
      <c r="AA128" s="151">
        <v>0</v>
      </c>
      <c r="AB128" s="151">
        <v>34.819306900000001</v>
      </c>
      <c r="AC128" s="151">
        <v>0</v>
      </c>
      <c r="AD128" s="151">
        <v>417.82218999999998</v>
      </c>
      <c r="AE128" s="151">
        <v>17.716092</v>
      </c>
      <c r="AF128" s="151">
        <v>0</v>
      </c>
      <c r="AG128" s="151">
        <v>0</v>
      </c>
      <c r="AH128" s="151">
        <v>2.4866356299999999</v>
      </c>
      <c r="AI128" s="151">
        <v>186.95275899999999</v>
      </c>
      <c r="AJ128" s="151">
        <v>0.22287356</v>
      </c>
      <c r="AK128" s="151">
        <v>3.30877395</v>
      </c>
      <c r="AL128" s="151">
        <v>14.3064751</v>
      </c>
      <c r="AM128" s="151">
        <v>0.13567815999999999</v>
      </c>
      <c r="AN128" s="151">
        <v>64.802682000000004</v>
      </c>
      <c r="AO128" s="151">
        <v>126.11429099999999</v>
      </c>
      <c r="AP128" s="151">
        <v>0.15689655</v>
      </c>
      <c r="AQ128" s="151">
        <v>1.1310728000000001</v>
      </c>
      <c r="AR128" s="151">
        <v>1.6454789299999999</v>
      </c>
      <c r="AS128" s="151">
        <v>2.3742911900000001</v>
      </c>
      <c r="AT128" s="151">
        <v>6.0152107299999997</v>
      </c>
      <c r="AU128" s="151">
        <v>0</v>
      </c>
      <c r="AV128" s="151">
        <v>1.7080459999999999E-2</v>
      </c>
      <c r="AW128" s="151">
        <v>3.122989E-2</v>
      </c>
      <c r="AX128" s="151">
        <v>4.5681989999999999E-2</v>
      </c>
      <c r="AY128" s="151">
        <v>3.562452E-2</v>
      </c>
      <c r="AZ128" s="151">
        <v>1.334483E-2</v>
      </c>
      <c r="BA128" s="151">
        <v>1.391188E-2</v>
      </c>
      <c r="BB128" s="151">
        <v>3.8842910000000001E-2</v>
      </c>
      <c r="BC128" s="151">
        <v>3.224904E-2</v>
      </c>
      <c r="BD128" s="151">
        <v>9.7394600000000001E-3</v>
      </c>
      <c r="BE128" s="151">
        <v>3.7038309999999998E-2</v>
      </c>
      <c r="BF128" s="151">
        <v>4.8379310000000002E-2</v>
      </c>
      <c r="BG128" s="151">
        <v>0.13007279999999999</v>
      </c>
      <c r="BH128" s="151">
        <v>0.11427203</v>
      </c>
      <c r="BI128" s="151">
        <v>0.24614175999999999</v>
      </c>
      <c r="BJ128" s="151">
        <v>5.070115E-2</v>
      </c>
      <c r="BK128" s="151">
        <v>3.1555560000000003E-2</v>
      </c>
      <c r="BL128" s="151">
        <v>3.3931030000000001E-2</v>
      </c>
      <c r="BM128" s="151">
        <v>2.557471E-2</v>
      </c>
      <c r="BN128" s="151">
        <v>21.923678200000001</v>
      </c>
      <c r="BO128" s="151">
        <v>6.77191571</v>
      </c>
      <c r="BP128" s="151">
        <v>3.233716475</v>
      </c>
      <c r="BQ128" s="6"/>
    </row>
    <row r="129" spans="1:69">
      <c r="A129" s="179">
        <v>21601</v>
      </c>
      <c r="B129" s="149" t="s">
        <v>1740</v>
      </c>
      <c r="E129" t="s">
        <v>1686</v>
      </c>
      <c r="F129" s="150">
        <v>166</v>
      </c>
      <c r="G129" s="149" t="s">
        <v>1740</v>
      </c>
      <c r="J129" s="151">
        <v>190.770115</v>
      </c>
      <c r="K129" s="151">
        <v>171.60770099999999</v>
      </c>
      <c r="L129" s="151">
        <v>6.1723754800000004</v>
      </c>
      <c r="M129" s="151">
        <v>12.4932184</v>
      </c>
      <c r="N129" s="151">
        <v>12.2016092</v>
      </c>
      <c r="O129" s="151">
        <v>9.7241762499999993</v>
      </c>
      <c r="P129" s="151">
        <v>6.657768E-2</v>
      </c>
      <c r="Q129" s="151">
        <v>8.0218490000000003E-2</v>
      </c>
      <c r="R129" s="151">
        <v>0.57736341000000002</v>
      </c>
      <c r="S129" s="151">
        <v>0.15096782</v>
      </c>
      <c r="T129" s="151">
        <v>0.26282749</v>
      </c>
      <c r="U129" s="151">
        <v>62.7477011</v>
      </c>
      <c r="V129" s="151">
        <v>0</v>
      </c>
      <c r="W129" s="151">
        <v>13.663778799999999</v>
      </c>
      <c r="X129" s="151">
        <v>0.44628351999999999</v>
      </c>
      <c r="Y129" s="151">
        <v>0.98241378999999995</v>
      </c>
      <c r="Z129" s="151">
        <v>22.138730299999999</v>
      </c>
      <c r="AA129" s="151">
        <v>0</v>
      </c>
      <c r="AB129" s="151">
        <v>1180.5961299999999</v>
      </c>
      <c r="AC129" s="151">
        <v>0</v>
      </c>
      <c r="AD129" s="151">
        <v>7090.7132199999996</v>
      </c>
      <c r="AE129" s="151">
        <v>16.989571300000001</v>
      </c>
      <c r="AF129" s="151">
        <v>0</v>
      </c>
      <c r="AG129" s="151">
        <v>0</v>
      </c>
      <c r="AH129" s="151">
        <v>2.3375839100000002</v>
      </c>
      <c r="AI129" s="151">
        <v>308.70758599999999</v>
      </c>
      <c r="AJ129" s="151">
        <v>0.20161408</v>
      </c>
      <c r="AK129" s="151">
        <v>3.25662596</v>
      </c>
      <c r="AL129" s="151">
        <v>5.5794498099999998</v>
      </c>
      <c r="AM129" s="151">
        <v>0.13567815999999999</v>
      </c>
      <c r="AN129" s="151">
        <v>16.444176200000001</v>
      </c>
      <c r="AO129" s="151">
        <v>37.365505300000002</v>
      </c>
      <c r="AP129" s="151">
        <v>0.15689655</v>
      </c>
      <c r="AQ129" s="151">
        <v>0.90538792999999995</v>
      </c>
      <c r="AR129" s="151">
        <v>1.6454789299999999</v>
      </c>
      <c r="AS129" s="151">
        <v>2.3742911900000001</v>
      </c>
      <c r="AT129" s="151">
        <v>6.0152107299999997</v>
      </c>
      <c r="AU129" s="151">
        <v>0</v>
      </c>
      <c r="AV129" s="151">
        <v>1.7080459999999999E-2</v>
      </c>
      <c r="AW129" s="151">
        <v>3.122989E-2</v>
      </c>
      <c r="AX129" s="151">
        <v>4.5681989999999999E-2</v>
      </c>
      <c r="AY129" s="151">
        <v>3.562452E-2</v>
      </c>
      <c r="AZ129" s="151">
        <v>1.334483E-2</v>
      </c>
      <c r="BA129" s="151">
        <v>1.391188E-2</v>
      </c>
      <c r="BB129" s="151">
        <v>3.8842910000000001E-2</v>
      </c>
      <c r="BC129" s="151">
        <v>3.224904E-2</v>
      </c>
      <c r="BD129" s="151">
        <v>9.7394600000000001E-3</v>
      </c>
      <c r="BE129" s="151">
        <v>3.7038309999999998E-2</v>
      </c>
      <c r="BF129" s="151">
        <v>4.8379310000000002E-2</v>
      </c>
      <c r="BG129" s="151">
        <v>0.13007279999999999</v>
      </c>
      <c r="BH129" s="151">
        <v>0.11427203</v>
      </c>
      <c r="BI129" s="151">
        <v>0.24614175999999999</v>
      </c>
      <c r="BJ129" s="151">
        <v>5.070115E-2</v>
      </c>
      <c r="BK129" s="151">
        <v>3.1555560000000003E-2</v>
      </c>
      <c r="BL129" s="151">
        <v>3.3931030000000001E-2</v>
      </c>
      <c r="BM129" s="151">
        <v>2.557471E-2</v>
      </c>
      <c r="BN129" s="151">
        <v>21.923678200000001</v>
      </c>
      <c r="BO129" s="151">
        <v>28.620191599999998</v>
      </c>
      <c r="BP129" s="151">
        <v>3.233716475</v>
      </c>
      <c r="BQ129" s="6"/>
    </row>
    <row r="130" spans="1:69">
      <c r="A130" s="179">
        <v>55301</v>
      </c>
      <c r="B130" s="149" t="s">
        <v>1741</v>
      </c>
      <c r="E130" t="s">
        <v>1686</v>
      </c>
      <c r="F130" s="150">
        <v>167</v>
      </c>
      <c r="G130" s="149" t="s">
        <v>1741</v>
      </c>
      <c r="J130" s="151">
        <v>160.10643300000001</v>
      </c>
      <c r="K130" s="151">
        <v>166.934618</v>
      </c>
      <c r="L130" s="151">
        <v>4.4036740300000004</v>
      </c>
      <c r="M130" s="151">
        <v>8.46433693</v>
      </c>
      <c r="N130" s="151">
        <v>15.9192123</v>
      </c>
      <c r="O130" s="151">
        <v>3.07492812</v>
      </c>
      <c r="P130" s="151">
        <v>6.6195829999999997E-2</v>
      </c>
      <c r="Q130" s="151">
        <v>0.10535765</v>
      </c>
      <c r="R130" s="151">
        <v>0.74617085000000005</v>
      </c>
      <c r="S130" s="151">
        <v>0.44038474999999999</v>
      </c>
      <c r="T130" s="151">
        <v>0.29745120000000003</v>
      </c>
      <c r="U130" s="151">
        <v>9.4582008799999997</v>
      </c>
      <c r="V130" s="151">
        <v>0</v>
      </c>
      <c r="W130" s="151">
        <v>15.994515</v>
      </c>
      <c r="X130" s="151">
        <v>0.79277432000000003</v>
      </c>
      <c r="Y130" s="151">
        <v>0.13922825</v>
      </c>
      <c r="Z130" s="151">
        <v>15.0888104</v>
      </c>
      <c r="AA130" s="151">
        <v>0.34212492</v>
      </c>
      <c r="AB130" s="151">
        <v>3.2546396400000002</v>
      </c>
      <c r="AC130" s="151">
        <v>1.8857970000000002E-2</v>
      </c>
      <c r="AD130" s="151">
        <v>34.700492500000003</v>
      </c>
      <c r="AE130" s="151">
        <v>17.947789</v>
      </c>
      <c r="AF130" s="151">
        <v>0</v>
      </c>
      <c r="AG130" s="151">
        <v>8.4173910000000005E-2</v>
      </c>
      <c r="AH130" s="151">
        <v>86.808267200000003</v>
      </c>
      <c r="AI130" s="151">
        <v>37.159576600000001</v>
      </c>
      <c r="AJ130" s="151">
        <v>0.4421967</v>
      </c>
      <c r="AK130" s="151">
        <v>2.24187381</v>
      </c>
      <c r="AL130" s="151">
        <v>32.467111500000001</v>
      </c>
      <c r="AM130" s="151">
        <v>1.41048609</v>
      </c>
      <c r="AN130" s="151">
        <v>59.250703399999999</v>
      </c>
      <c r="AO130" s="151">
        <v>356.08840199999997</v>
      </c>
      <c r="AP130" s="151">
        <v>7.2344590699999998</v>
      </c>
      <c r="AQ130" s="151">
        <v>1.15924523</v>
      </c>
      <c r="AR130" s="151">
        <v>1.9907458</v>
      </c>
      <c r="AS130" s="151">
        <v>2.06511814</v>
      </c>
      <c r="AT130" s="151">
        <v>4.0542593599999996</v>
      </c>
      <c r="AU130" s="151">
        <v>34.179710100000001</v>
      </c>
      <c r="AV130" s="151">
        <v>0.91489100999999995</v>
      </c>
      <c r="AW130" s="151">
        <v>0.81557866999999995</v>
      </c>
      <c r="AX130" s="151">
        <v>1.47396214</v>
      </c>
      <c r="AY130" s="151">
        <v>1.5374308299999999</v>
      </c>
      <c r="AZ130" s="151">
        <v>1.1362158099999999</v>
      </c>
      <c r="BA130" s="151">
        <v>1.62826431</v>
      </c>
      <c r="BB130" s="151">
        <v>1.5213156400000001</v>
      </c>
      <c r="BC130" s="151">
        <v>0.93008641999999997</v>
      </c>
      <c r="BD130" s="151">
        <v>0.30704114999999998</v>
      </c>
      <c r="BE130" s="151">
        <v>0.87655291999999996</v>
      </c>
      <c r="BF130" s="151">
        <v>0.55313765999999998</v>
      </c>
      <c r="BG130" s="151">
        <v>2.6236287100000002</v>
      </c>
      <c r="BH130" s="151">
        <v>2.0636634100000002</v>
      </c>
      <c r="BI130" s="151">
        <v>0.62460782999999998</v>
      </c>
      <c r="BJ130" s="151">
        <v>1.1089715</v>
      </c>
      <c r="BK130" s="151">
        <v>0.74972996000000003</v>
      </c>
      <c r="BL130" s="151">
        <v>0.97686653999999995</v>
      </c>
      <c r="BM130" s="151">
        <v>0.66418944999999996</v>
      </c>
      <c r="BN130" s="151">
        <v>36.466678299999998</v>
      </c>
      <c r="BO130" s="151">
        <v>53.981530399999997</v>
      </c>
      <c r="BP130" s="151">
        <v>11.706521739999999</v>
      </c>
      <c r="BQ130" s="6"/>
    </row>
    <row r="131" spans="1:69">
      <c r="A131" s="179">
        <v>58102</v>
      </c>
      <c r="B131" s="149" t="s">
        <v>1742</v>
      </c>
      <c r="E131" t="s">
        <v>1686</v>
      </c>
      <c r="F131" s="150">
        <v>168</v>
      </c>
      <c r="G131" s="149" t="s">
        <v>1742</v>
      </c>
      <c r="J131" s="151">
        <v>248.39490000000001</v>
      </c>
      <c r="K131" s="151">
        <v>88.279621800000001</v>
      </c>
      <c r="L131" s="151">
        <v>15.673978099999999</v>
      </c>
      <c r="M131" s="151">
        <v>18.800404799999999</v>
      </c>
      <c r="N131" s="151">
        <v>3.9899203700000001</v>
      </c>
      <c r="O131" s="151">
        <v>1.0469807600000001</v>
      </c>
      <c r="P131" s="151">
        <v>5.115654E-2</v>
      </c>
      <c r="Q131" s="151">
        <v>8.9726009999999995E-2</v>
      </c>
      <c r="R131" s="151">
        <v>1.2158723300000001</v>
      </c>
      <c r="S131" s="151">
        <v>0.30400173000000003</v>
      </c>
      <c r="T131" s="151">
        <v>0.20677172999999999</v>
      </c>
      <c r="U131" s="151">
        <v>5.1318530200000003</v>
      </c>
      <c r="V131" s="151">
        <v>0</v>
      </c>
      <c r="W131" s="151">
        <v>1.5689366300000001</v>
      </c>
      <c r="X131" s="151">
        <v>0.83486861000000001</v>
      </c>
      <c r="Y131" s="151">
        <v>0.39632422</v>
      </c>
      <c r="Z131" s="151">
        <v>21.044834099999999</v>
      </c>
      <c r="AA131" s="151">
        <v>5.6859360299999997</v>
      </c>
      <c r="AB131" s="151">
        <v>6.7457664199999998</v>
      </c>
      <c r="AC131" s="151">
        <v>2.7571330000000002E-2</v>
      </c>
      <c r="AD131" s="151">
        <v>72.429754500000001</v>
      </c>
      <c r="AE131" s="151">
        <v>19.027116800000002</v>
      </c>
      <c r="AF131" s="151">
        <v>0.27807565000000001</v>
      </c>
      <c r="AG131" s="151">
        <v>12.4757797</v>
      </c>
      <c r="AH131" s="151">
        <v>21.840859300000002</v>
      </c>
      <c r="AI131" s="151">
        <v>32.929458199999999</v>
      </c>
      <c r="AJ131" s="151">
        <v>0.27045785999999999</v>
      </c>
      <c r="AK131" s="151">
        <v>1.3541935</v>
      </c>
      <c r="AL131" s="151">
        <v>21.402916399999999</v>
      </c>
      <c r="AM131" s="151">
        <v>0.42328799</v>
      </c>
      <c r="AN131" s="151">
        <v>107.059162</v>
      </c>
      <c r="AO131" s="151">
        <v>162.84372099999999</v>
      </c>
      <c r="AP131" s="151">
        <v>16.190232200000001</v>
      </c>
      <c r="AQ131" s="151">
        <v>1.61521234</v>
      </c>
      <c r="AR131" s="151">
        <v>1.93293962</v>
      </c>
      <c r="AS131" s="151">
        <v>2.7527670899999999</v>
      </c>
      <c r="AT131" s="151">
        <v>5.80649602</v>
      </c>
      <c r="AU131" s="151">
        <v>59.110749800000001</v>
      </c>
      <c r="AV131" s="151">
        <v>0.72078931999999996</v>
      </c>
      <c r="AW131" s="151">
        <v>0.49842468000000001</v>
      </c>
      <c r="AX131" s="151">
        <v>1.2091950899999999</v>
      </c>
      <c r="AY131" s="151">
        <v>1.3577790300000001</v>
      </c>
      <c r="AZ131" s="151">
        <v>0.93761346999999995</v>
      </c>
      <c r="BA131" s="151">
        <v>1.37525315</v>
      </c>
      <c r="BB131" s="151">
        <v>1.11524121</v>
      </c>
      <c r="BC131" s="151">
        <v>0.82159455999999997</v>
      </c>
      <c r="BD131" s="151">
        <v>0.21225016999999999</v>
      </c>
      <c r="BE131" s="151">
        <v>0.81044393000000003</v>
      </c>
      <c r="BF131" s="151">
        <v>0.43683743000000003</v>
      </c>
      <c r="BG131" s="151">
        <v>2.4210587299999999</v>
      </c>
      <c r="BH131" s="151">
        <v>0.76589748000000002</v>
      </c>
      <c r="BI131" s="151">
        <v>0.35811015000000002</v>
      </c>
      <c r="BJ131" s="151">
        <v>0.72954081000000004</v>
      </c>
      <c r="BK131" s="151">
        <v>0.77569111000000002</v>
      </c>
      <c r="BL131" s="151">
        <v>0.75128799000000002</v>
      </c>
      <c r="BM131" s="151">
        <v>0.61817319000000004</v>
      </c>
      <c r="BN131" s="151">
        <v>20.331214299999999</v>
      </c>
      <c r="BO131" s="151">
        <v>12.719243499999999</v>
      </c>
      <c r="BP131" s="151">
        <v>1.622428666</v>
      </c>
      <c r="BQ131" s="6"/>
    </row>
    <row r="132" spans="1:69">
      <c r="A132" s="180">
        <v>61301</v>
      </c>
      <c r="B132" s="149" t="s">
        <v>1743</v>
      </c>
      <c r="E132" t="s">
        <v>1686</v>
      </c>
      <c r="F132" s="150">
        <v>169</v>
      </c>
      <c r="G132" s="149" t="s">
        <v>1743</v>
      </c>
      <c r="J132" s="151">
        <v>386.63817999999998</v>
      </c>
      <c r="K132" s="151">
        <v>8.6550499399999996</v>
      </c>
      <c r="L132" s="151">
        <v>4.0764261900000003</v>
      </c>
      <c r="M132" s="151">
        <v>0.10399556</v>
      </c>
      <c r="N132" s="151">
        <v>91.961420599999997</v>
      </c>
      <c r="O132" s="151">
        <v>0.77314095000000005</v>
      </c>
      <c r="P132" s="151">
        <v>0.13895671000000001</v>
      </c>
      <c r="Q132" s="151">
        <v>8.7413980000000002E-2</v>
      </c>
      <c r="R132" s="151">
        <v>2.0252386200000001</v>
      </c>
      <c r="S132" s="151">
        <v>0.21762486</v>
      </c>
      <c r="T132" s="151">
        <v>0.33175360999999998</v>
      </c>
      <c r="U132" s="151">
        <v>13.38899</v>
      </c>
      <c r="V132" s="151">
        <v>0</v>
      </c>
      <c r="W132" s="151">
        <v>0</v>
      </c>
      <c r="X132" s="151">
        <v>0.21961153999999999</v>
      </c>
      <c r="Y132" s="151">
        <v>7.5960040000000006E-2</v>
      </c>
      <c r="Z132" s="151">
        <v>0.57269700000000001</v>
      </c>
      <c r="AA132" s="151">
        <v>0</v>
      </c>
      <c r="AB132" s="151">
        <v>0</v>
      </c>
      <c r="AC132" s="151">
        <v>0</v>
      </c>
      <c r="AD132" s="151">
        <v>0</v>
      </c>
      <c r="AE132" s="151">
        <v>0.86477247999999995</v>
      </c>
      <c r="AF132" s="151">
        <v>0</v>
      </c>
      <c r="AG132" s="151">
        <v>0</v>
      </c>
      <c r="AH132" s="151">
        <v>0</v>
      </c>
      <c r="AI132" s="151">
        <v>48.2508768</v>
      </c>
      <c r="AJ132" s="151">
        <v>0.46498335000000002</v>
      </c>
      <c r="AK132" s="151">
        <v>1.14277469</v>
      </c>
      <c r="AL132" s="151">
        <v>82.117291899999998</v>
      </c>
      <c r="AM132" s="151">
        <v>0.85185350000000004</v>
      </c>
      <c r="AN132" s="151">
        <v>109.960222</v>
      </c>
      <c r="AO132" s="151">
        <v>223.69460599999999</v>
      </c>
      <c r="AP132" s="151">
        <v>0</v>
      </c>
      <c r="AQ132" s="151">
        <v>0.52779134000000005</v>
      </c>
      <c r="AR132" s="151">
        <v>6.134295E-2</v>
      </c>
      <c r="AS132" s="151">
        <v>3.2253049999999998E-2</v>
      </c>
      <c r="AT132" s="151">
        <v>0.27173141000000001</v>
      </c>
      <c r="AU132" s="151">
        <v>0</v>
      </c>
      <c r="AV132" s="151">
        <v>0.10450387999999999</v>
      </c>
      <c r="AW132" s="151">
        <v>0.17711653999999999</v>
      </c>
      <c r="AX132" s="151">
        <v>0.35729079000000002</v>
      </c>
      <c r="AY132" s="151">
        <v>0.15841398000000001</v>
      </c>
      <c r="AZ132" s="151">
        <v>8.9069919999999997E-2</v>
      </c>
      <c r="BA132" s="151">
        <v>6.147503E-2</v>
      </c>
      <c r="BB132" s="151">
        <v>0.26951942000000001</v>
      </c>
      <c r="BC132" s="151">
        <v>0.14811986999999999</v>
      </c>
      <c r="BD132" s="151">
        <v>5.0955599999999997E-2</v>
      </c>
      <c r="BE132" s="151">
        <v>0.25955604999999998</v>
      </c>
      <c r="BF132" s="151">
        <v>0.30383574000000002</v>
      </c>
      <c r="BG132" s="151">
        <v>0.32740511</v>
      </c>
      <c r="BH132" s="151">
        <v>0.64633739999999995</v>
      </c>
      <c r="BI132" s="151">
        <v>0.87976692999999995</v>
      </c>
      <c r="BJ132" s="151">
        <v>0.19574473000000001</v>
      </c>
      <c r="BK132" s="151">
        <v>0.18790677</v>
      </c>
      <c r="BL132" s="151">
        <v>0.22655049999999999</v>
      </c>
      <c r="BM132" s="151">
        <v>0.18584128999999999</v>
      </c>
      <c r="BN132" s="151">
        <v>60.9224861</v>
      </c>
      <c r="BO132" s="151">
        <v>375.689234</v>
      </c>
      <c r="BP132" s="151">
        <v>0</v>
      </c>
      <c r="BQ132" s="6"/>
    </row>
    <row r="133" spans="1:69">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E9F19-DD03-47D4-BA12-32C5259BA0ED}">
  <dimension ref="A1:BK545"/>
  <sheetViews>
    <sheetView workbookViewId="0">
      <pane ySplit="1" topLeftCell="A562" activePane="bottomLeft" state="frozen"/>
      <selection pane="bottomLeft" activeCell="F562" sqref="F562"/>
    </sheetView>
  </sheetViews>
  <sheetFormatPr defaultRowHeight="14.85"/>
  <cols>
    <col min="1" max="1" width="23.5703125" customWidth="1"/>
    <col min="2" max="2" width="26.5703125" customWidth="1"/>
    <col min="3" max="3" width="21.5703125" customWidth="1"/>
    <col min="4" max="4" width="22.28515625" customWidth="1"/>
    <col min="5" max="5" width="16.28515625" customWidth="1"/>
    <col min="6" max="6" width="15.5703125" customWidth="1"/>
    <col min="7" max="7" width="12.28515625" customWidth="1"/>
    <col min="8" max="8" width="16.5703125" customWidth="1"/>
    <col min="9" max="9" width="18.140625" customWidth="1"/>
    <col min="10" max="10" width="17.85546875" customWidth="1"/>
    <col min="11" max="11" width="14.42578125" customWidth="1"/>
    <col min="12" max="12" width="14.28515625" customWidth="1"/>
    <col min="13" max="13" width="16.140625" customWidth="1"/>
    <col min="14" max="14" width="17.5703125" customWidth="1"/>
    <col min="15" max="15" width="15.5703125" customWidth="1"/>
    <col min="16" max="16" width="13.140625" customWidth="1"/>
  </cols>
  <sheetData>
    <row r="1" spans="1:63" ht="43.7">
      <c r="A1" s="78" t="s">
        <v>2108</v>
      </c>
      <c r="B1" s="78" t="s">
        <v>2109</v>
      </c>
      <c r="C1" s="78" t="s">
        <v>2110</v>
      </c>
      <c r="D1" s="78" t="s">
        <v>2111</v>
      </c>
      <c r="E1" s="78" t="s">
        <v>2112</v>
      </c>
      <c r="F1" s="78" t="s">
        <v>2113</v>
      </c>
      <c r="G1" s="78" t="s">
        <v>2114</v>
      </c>
      <c r="H1" s="78" t="s">
        <v>2115</v>
      </c>
      <c r="I1" s="78" t="s">
        <v>2116</v>
      </c>
      <c r="J1" s="78" t="s">
        <v>2117</v>
      </c>
      <c r="K1" s="78" t="s">
        <v>2118</v>
      </c>
      <c r="L1" s="78" t="s">
        <v>2119</v>
      </c>
      <c r="M1" s="78" t="s">
        <v>2120</v>
      </c>
      <c r="N1" s="78" t="s">
        <v>2121</v>
      </c>
      <c r="O1" s="78" t="s">
        <v>2122</v>
      </c>
      <c r="P1" s="78" t="s">
        <v>2123</v>
      </c>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row>
    <row r="2" spans="1:63" s="81" customFormat="1">
      <c r="A2" s="80"/>
      <c r="H2" s="82" t="s">
        <v>2124</v>
      </c>
      <c r="I2" s="229" t="s">
        <v>746</v>
      </c>
      <c r="J2" s="83">
        <v>177</v>
      </c>
      <c r="K2" s="83" t="s">
        <v>2125</v>
      </c>
      <c r="O2" s="258">
        <v>514</v>
      </c>
    </row>
    <row r="3" spans="1:63">
      <c r="A3" s="84"/>
      <c r="H3" s="74" t="s">
        <v>466</v>
      </c>
      <c r="I3" s="74" t="s">
        <v>2126</v>
      </c>
      <c r="J3" s="74">
        <v>15</v>
      </c>
      <c r="K3" s="74" t="s">
        <v>2125</v>
      </c>
      <c r="O3" s="259"/>
    </row>
    <row r="4" spans="1:63">
      <c r="A4" s="84"/>
      <c r="H4" s="74" t="s">
        <v>470</v>
      </c>
      <c r="I4" s="74" t="s">
        <v>471</v>
      </c>
      <c r="J4" s="74">
        <v>13</v>
      </c>
      <c r="K4" s="74" t="s">
        <v>2125</v>
      </c>
      <c r="O4" s="259"/>
    </row>
    <row r="5" spans="1:63" ht="29.25" customHeight="1">
      <c r="A5" s="84"/>
      <c r="B5" s="10" t="s">
        <v>2127</v>
      </c>
      <c r="C5" s="10" t="s">
        <v>1685</v>
      </c>
      <c r="D5" t="s">
        <v>2128</v>
      </c>
      <c r="H5" s="74" t="s">
        <v>2129</v>
      </c>
      <c r="I5" s="74" t="s">
        <v>2130</v>
      </c>
      <c r="J5" s="74">
        <v>7</v>
      </c>
      <c r="K5" s="74" t="s">
        <v>2125</v>
      </c>
      <c r="O5" s="259"/>
    </row>
    <row r="6" spans="1:63" ht="15.75">
      <c r="A6" s="84"/>
      <c r="H6" s="76" t="s">
        <v>2131</v>
      </c>
      <c r="I6" s="74" t="s">
        <v>2132</v>
      </c>
      <c r="J6" s="74">
        <v>2</v>
      </c>
      <c r="K6" s="74" t="s">
        <v>2125</v>
      </c>
      <c r="O6" s="259"/>
    </row>
    <row r="7" spans="1:63">
      <c r="A7" s="84"/>
      <c r="H7" s="74" t="s">
        <v>1018</v>
      </c>
      <c r="I7" s="74" t="s">
        <v>2133</v>
      </c>
      <c r="J7" s="74">
        <v>15</v>
      </c>
      <c r="K7" s="74" t="s">
        <v>2125</v>
      </c>
      <c r="O7" s="259"/>
    </row>
    <row r="8" spans="1:63" ht="15.75">
      <c r="A8" s="84"/>
      <c r="H8" s="76" t="s">
        <v>106</v>
      </c>
      <c r="I8" s="74" t="s">
        <v>107</v>
      </c>
      <c r="J8" s="74">
        <v>1</v>
      </c>
      <c r="K8" s="74" t="s">
        <v>2125</v>
      </c>
      <c r="O8" s="259"/>
    </row>
    <row r="9" spans="1:63" ht="15.75">
      <c r="A9" s="84"/>
      <c r="H9" s="76" t="s">
        <v>91</v>
      </c>
      <c r="I9" s="74" t="s">
        <v>92</v>
      </c>
      <c r="J9" s="74">
        <v>0.32</v>
      </c>
      <c r="K9" s="74" t="s">
        <v>2125</v>
      </c>
      <c r="O9" s="259"/>
    </row>
    <row r="10" spans="1:63" ht="15.75">
      <c r="A10" s="84"/>
      <c r="H10" s="76" t="s">
        <v>2134</v>
      </c>
      <c r="I10" s="74" t="s">
        <v>2135</v>
      </c>
      <c r="J10" s="74">
        <v>1</v>
      </c>
      <c r="K10" s="74" t="s">
        <v>2125</v>
      </c>
      <c r="O10" s="259"/>
    </row>
    <row r="11" spans="1:63" ht="15.75">
      <c r="A11" s="84"/>
      <c r="H11" s="76" t="s">
        <v>438</v>
      </c>
      <c r="I11" s="74" t="s">
        <v>2136</v>
      </c>
      <c r="J11" s="74">
        <v>6</v>
      </c>
      <c r="K11" s="74" t="s">
        <v>2125</v>
      </c>
      <c r="O11" s="259"/>
    </row>
    <row r="12" spans="1:63">
      <c r="A12" s="84"/>
      <c r="H12" s="74" t="s">
        <v>1070</v>
      </c>
      <c r="I12" s="74" t="s">
        <v>2137</v>
      </c>
      <c r="J12" s="74">
        <v>630</v>
      </c>
      <c r="K12" s="74" t="s">
        <v>2125</v>
      </c>
      <c r="N12">
        <f>SUM(J2:J12)</f>
        <v>867.31999999999994</v>
      </c>
      <c r="O12" s="259"/>
    </row>
    <row r="13" spans="1:63" s="81" customFormat="1">
      <c r="H13" s="83" t="s">
        <v>2138</v>
      </c>
      <c r="I13" s="83" t="s">
        <v>2139</v>
      </c>
      <c r="J13" s="83">
        <v>127</v>
      </c>
      <c r="K13" s="83" t="s">
        <v>2125</v>
      </c>
      <c r="O13" s="258">
        <v>662</v>
      </c>
    </row>
    <row r="14" spans="1:63">
      <c r="H14" s="79" t="s">
        <v>2140</v>
      </c>
      <c r="I14" s="79" t="s">
        <v>301</v>
      </c>
      <c r="J14" s="74">
        <v>437</v>
      </c>
      <c r="K14" s="74" t="s">
        <v>2125</v>
      </c>
      <c r="O14" s="259"/>
    </row>
    <row r="15" spans="1:63" ht="15.75">
      <c r="H15" s="76" t="s">
        <v>2129</v>
      </c>
      <c r="I15" s="74" t="s">
        <v>2130</v>
      </c>
      <c r="J15" s="74">
        <v>10</v>
      </c>
      <c r="K15" s="74" t="s">
        <v>2125</v>
      </c>
      <c r="O15" s="259"/>
    </row>
    <row r="16" spans="1:63" ht="44.25">
      <c r="B16" s="86" t="s">
        <v>2141</v>
      </c>
      <c r="C16" s="86" t="s">
        <v>1687</v>
      </c>
      <c r="D16" s="87" t="s">
        <v>301</v>
      </c>
      <c r="H16" s="76" t="s">
        <v>470</v>
      </c>
      <c r="I16" s="230" t="s">
        <v>471</v>
      </c>
      <c r="J16" s="74">
        <v>16</v>
      </c>
      <c r="K16" s="74" t="s">
        <v>2125</v>
      </c>
      <c r="O16" s="259"/>
    </row>
    <row r="17" spans="2:15" ht="15.75">
      <c r="H17" s="76" t="s">
        <v>466</v>
      </c>
      <c r="I17" s="74" t="s">
        <v>2126</v>
      </c>
      <c r="J17" s="74">
        <v>30</v>
      </c>
      <c r="K17" s="74" t="s">
        <v>2125</v>
      </c>
      <c r="O17" s="259"/>
    </row>
    <row r="18" spans="2:15" ht="15.75">
      <c r="H18" s="76" t="s">
        <v>2131</v>
      </c>
      <c r="I18" s="74" t="s">
        <v>2132</v>
      </c>
      <c r="J18" s="74">
        <v>2</v>
      </c>
      <c r="K18" s="74" t="s">
        <v>2125</v>
      </c>
      <c r="O18" s="259"/>
    </row>
    <row r="19" spans="2:15" ht="15.75">
      <c r="H19" s="76" t="s">
        <v>1070</v>
      </c>
      <c r="I19" s="74" t="s">
        <v>2137</v>
      </c>
      <c r="J19" s="74">
        <v>965</v>
      </c>
      <c r="K19" s="74" t="s">
        <v>2125</v>
      </c>
      <c r="O19" s="259"/>
    </row>
    <row r="20" spans="2:15" ht="15.75">
      <c r="H20" s="76" t="s">
        <v>1018</v>
      </c>
      <c r="I20" s="74" t="s">
        <v>2133</v>
      </c>
      <c r="J20" s="74">
        <v>37</v>
      </c>
      <c r="K20" s="74" t="s">
        <v>2125</v>
      </c>
      <c r="O20" s="259"/>
    </row>
    <row r="21" spans="2:15" ht="15.75">
      <c r="H21" s="76" t="s">
        <v>106</v>
      </c>
      <c r="I21" s="74" t="s">
        <v>107</v>
      </c>
      <c r="J21" s="74">
        <v>3</v>
      </c>
      <c r="K21" s="74" t="s">
        <v>2125</v>
      </c>
      <c r="N21" s="90">
        <v>1627</v>
      </c>
      <c r="O21" s="260"/>
    </row>
    <row r="22" spans="2:15" s="81" customFormat="1">
      <c r="H22" s="83" t="s">
        <v>2138</v>
      </c>
      <c r="I22" s="83" t="s">
        <v>2139</v>
      </c>
      <c r="J22" s="83">
        <v>127</v>
      </c>
      <c r="K22" s="83" t="s">
        <v>2125</v>
      </c>
      <c r="O22" s="258">
        <v>662</v>
      </c>
    </row>
    <row r="23" spans="2:15">
      <c r="H23" s="79" t="s">
        <v>2142</v>
      </c>
      <c r="I23" s="89" t="s">
        <v>312</v>
      </c>
      <c r="J23" s="74">
        <v>437</v>
      </c>
      <c r="K23" s="74" t="s">
        <v>2125</v>
      </c>
      <c r="O23" s="259"/>
    </row>
    <row r="24" spans="2:15" ht="15.75">
      <c r="H24" s="76" t="s">
        <v>2129</v>
      </c>
      <c r="I24" s="74" t="s">
        <v>2130</v>
      </c>
      <c r="J24" s="74">
        <v>10</v>
      </c>
      <c r="K24" s="74" t="s">
        <v>2125</v>
      </c>
      <c r="O24" s="259"/>
    </row>
    <row r="25" spans="2:15" ht="29.45">
      <c r="B25" s="86" t="s">
        <v>2143</v>
      </c>
      <c r="C25" s="86" t="s">
        <v>1688</v>
      </c>
      <c r="D25" t="s">
        <v>312</v>
      </c>
      <c r="H25" s="76" t="s">
        <v>470</v>
      </c>
      <c r="I25" s="230" t="s">
        <v>471</v>
      </c>
      <c r="J25" s="74">
        <v>16</v>
      </c>
      <c r="K25" s="74" t="s">
        <v>2125</v>
      </c>
      <c r="O25" s="259"/>
    </row>
    <row r="26" spans="2:15" ht="15.75">
      <c r="H26" s="76" t="s">
        <v>466</v>
      </c>
      <c r="I26" s="74" t="s">
        <v>2126</v>
      </c>
      <c r="J26" s="74">
        <v>30</v>
      </c>
      <c r="K26" s="74" t="s">
        <v>2125</v>
      </c>
      <c r="O26" s="259"/>
    </row>
    <row r="27" spans="2:15" ht="15.75">
      <c r="H27" s="76" t="s">
        <v>2131</v>
      </c>
      <c r="I27" s="74" t="s">
        <v>2132</v>
      </c>
      <c r="J27" s="74">
        <v>2</v>
      </c>
      <c r="K27" s="74" t="s">
        <v>2125</v>
      </c>
      <c r="O27" s="259"/>
    </row>
    <row r="28" spans="2:15" ht="15.75">
      <c r="H28" s="76" t="s">
        <v>1070</v>
      </c>
      <c r="I28" s="74" t="s">
        <v>2137</v>
      </c>
      <c r="J28" s="74">
        <v>965</v>
      </c>
      <c r="K28" s="74" t="s">
        <v>2125</v>
      </c>
      <c r="O28" s="259"/>
    </row>
    <row r="29" spans="2:15" ht="15.75">
      <c r="H29" s="76" t="s">
        <v>1018</v>
      </c>
      <c r="I29" s="74" t="s">
        <v>2133</v>
      </c>
      <c r="J29" s="74">
        <v>37</v>
      </c>
      <c r="K29" s="74" t="s">
        <v>2125</v>
      </c>
      <c r="O29" s="259"/>
    </row>
    <row r="30" spans="2:15" ht="15.75">
      <c r="H30" s="76" t="s">
        <v>106</v>
      </c>
      <c r="I30" s="74" t="s">
        <v>107</v>
      </c>
      <c r="J30" s="74">
        <v>3</v>
      </c>
      <c r="K30" s="74" t="s">
        <v>2125</v>
      </c>
      <c r="N30" s="90">
        <v>1627</v>
      </c>
      <c r="O30" s="259"/>
    </row>
    <row r="31" spans="2:15" s="81" customFormat="1" ht="15.75">
      <c r="H31" s="95" t="s">
        <v>2144</v>
      </c>
      <c r="I31" s="91" t="s">
        <v>359</v>
      </c>
      <c r="J31" s="83">
        <v>179</v>
      </c>
      <c r="K31" s="93" t="s">
        <v>2125</v>
      </c>
      <c r="L31" s="71"/>
      <c r="M31" s="96"/>
      <c r="N31" s="98"/>
      <c r="O31" s="258">
        <v>550</v>
      </c>
    </row>
    <row r="32" spans="2:15">
      <c r="H32" s="74" t="s">
        <v>2145</v>
      </c>
      <c r="I32" s="74" t="s">
        <v>2146</v>
      </c>
      <c r="J32" s="74">
        <v>131</v>
      </c>
      <c r="K32" s="94" t="s">
        <v>2125</v>
      </c>
      <c r="L32" s="72"/>
      <c r="M32" s="97"/>
      <c r="N32" s="75"/>
      <c r="O32" s="259"/>
    </row>
    <row r="33" spans="2:15" ht="15.75">
      <c r="H33" s="76" t="s">
        <v>2129</v>
      </c>
      <c r="I33" s="74" t="s">
        <v>2130</v>
      </c>
      <c r="J33" s="74">
        <v>12</v>
      </c>
      <c r="K33" s="94" t="s">
        <v>2125</v>
      </c>
      <c r="L33" s="72"/>
      <c r="M33" s="97"/>
      <c r="N33" s="75"/>
      <c r="O33" s="259"/>
    </row>
    <row r="34" spans="2:15" ht="29.45">
      <c r="B34" s="86" t="s">
        <v>2147</v>
      </c>
      <c r="C34" s="86" t="s">
        <v>1689</v>
      </c>
      <c r="D34" s="87" t="s">
        <v>359</v>
      </c>
      <c r="H34" s="76" t="s">
        <v>2131</v>
      </c>
      <c r="I34" s="74" t="s">
        <v>2132</v>
      </c>
      <c r="J34" s="74">
        <v>2</v>
      </c>
      <c r="K34" s="94" t="s">
        <v>2125</v>
      </c>
      <c r="L34" s="72"/>
      <c r="M34" s="97"/>
      <c r="N34" s="75"/>
      <c r="O34" s="259"/>
    </row>
    <row r="35" spans="2:15" ht="15.75">
      <c r="H35" s="76" t="s">
        <v>470</v>
      </c>
      <c r="I35" s="74" t="s">
        <v>471</v>
      </c>
      <c r="J35" s="74">
        <v>16</v>
      </c>
      <c r="K35" s="94" t="s">
        <v>2125</v>
      </c>
      <c r="L35" s="72"/>
      <c r="M35" s="97"/>
      <c r="N35" s="75"/>
      <c r="O35" s="259"/>
    </row>
    <row r="36" spans="2:15" ht="15.75">
      <c r="H36" s="76" t="s">
        <v>466</v>
      </c>
      <c r="I36" s="74" t="s">
        <v>2126</v>
      </c>
      <c r="J36" s="74">
        <v>37</v>
      </c>
      <c r="K36" s="94" t="s">
        <v>2125</v>
      </c>
      <c r="L36" s="72"/>
      <c r="M36" s="97"/>
      <c r="N36" s="75"/>
      <c r="O36" s="259"/>
    </row>
    <row r="37" spans="2:15" ht="15.75">
      <c r="H37" s="76" t="s">
        <v>438</v>
      </c>
      <c r="I37" s="74" t="s">
        <v>2148</v>
      </c>
      <c r="J37" s="74">
        <v>6</v>
      </c>
      <c r="K37" s="94" t="s">
        <v>2125</v>
      </c>
      <c r="L37" s="72"/>
      <c r="M37" s="97"/>
      <c r="N37" s="75"/>
      <c r="O37" s="259"/>
    </row>
    <row r="38" spans="2:15" ht="15.75">
      <c r="H38" s="76" t="s">
        <v>1018</v>
      </c>
      <c r="I38" s="74" t="s">
        <v>2133</v>
      </c>
      <c r="J38" s="74">
        <v>23</v>
      </c>
      <c r="K38" s="94" t="s">
        <v>2125</v>
      </c>
      <c r="L38" s="72"/>
      <c r="M38" s="97"/>
      <c r="N38" s="75"/>
      <c r="O38" s="259"/>
    </row>
    <row r="39" spans="2:15" ht="15.75">
      <c r="H39" s="76" t="s">
        <v>91</v>
      </c>
      <c r="I39" s="74" t="s">
        <v>92</v>
      </c>
      <c r="J39" s="74">
        <v>0.32</v>
      </c>
      <c r="K39" s="94" t="s">
        <v>2125</v>
      </c>
      <c r="L39" s="72"/>
      <c r="M39" s="97"/>
      <c r="N39" s="75"/>
      <c r="O39" s="259"/>
    </row>
    <row r="40" spans="2:15" ht="15.75">
      <c r="H40" s="76" t="s">
        <v>106</v>
      </c>
      <c r="I40" s="74" t="s">
        <v>107</v>
      </c>
      <c r="J40" s="74">
        <v>2</v>
      </c>
      <c r="K40" s="94" t="s">
        <v>2125</v>
      </c>
      <c r="L40" s="72"/>
      <c r="M40" s="97"/>
      <c r="N40" s="75"/>
      <c r="O40" s="259"/>
    </row>
    <row r="41" spans="2:15">
      <c r="H41" s="74" t="s">
        <v>1070</v>
      </c>
      <c r="I41" s="74" t="s">
        <v>2137</v>
      </c>
      <c r="J41" s="74">
        <v>454</v>
      </c>
      <c r="K41" s="94" t="s">
        <v>2125</v>
      </c>
      <c r="L41" s="72"/>
      <c r="M41" s="97"/>
      <c r="N41" s="75"/>
      <c r="O41" s="259"/>
    </row>
    <row r="42" spans="2:15" ht="15.75">
      <c r="H42" s="76" t="s">
        <v>262</v>
      </c>
      <c r="I42" s="230" t="s">
        <v>2149</v>
      </c>
      <c r="J42" s="74">
        <v>11</v>
      </c>
      <c r="K42" s="99" t="s">
        <v>2125</v>
      </c>
      <c r="L42" s="100"/>
      <c r="M42" s="101"/>
      <c r="N42" s="74">
        <v>873.32</v>
      </c>
      <c r="O42" s="260"/>
    </row>
    <row r="43" spans="2:15" s="81" customFormat="1" ht="15" customHeight="1">
      <c r="H43" s="95" t="s">
        <v>2144</v>
      </c>
      <c r="I43" s="91" t="s">
        <v>359</v>
      </c>
      <c r="J43" s="83">
        <v>156</v>
      </c>
      <c r="K43" s="83" t="s">
        <v>2125</v>
      </c>
      <c r="L43" s="98"/>
      <c r="M43" s="98"/>
      <c r="N43" s="98"/>
      <c r="O43" s="258">
        <v>366</v>
      </c>
    </row>
    <row r="44" spans="2:15">
      <c r="H44" s="74" t="s">
        <v>2145</v>
      </c>
      <c r="I44" s="74" t="s">
        <v>2146</v>
      </c>
      <c r="J44" s="74">
        <v>211</v>
      </c>
      <c r="K44" s="74" t="s">
        <v>2125</v>
      </c>
      <c r="L44" s="75"/>
      <c r="M44" s="75"/>
      <c r="N44" s="75"/>
      <c r="O44" s="259"/>
    </row>
    <row r="45" spans="2:15" ht="15.75">
      <c r="H45" s="76" t="s">
        <v>470</v>
      </c>
      <c r="I45" s="74" t="s">
        <v>471</v>
      </c>
      <c r="J45" s="74">
        <v>13</v>
      </c>
      <c r="K45" s="74" t="s">
        <v>2125</v>
      </c>
      <c r="L45" s="75"/>
      <c r="M45" s="75"/>
      <c r="N45" s="75"/>
      <c r="O45" s="259"/>
    </row>
    <row r="46" spans="2:15" ht="29.45">
      <c r="B46" s="86" t="s">
        <v>2150</v>
      </c>
      <c r="C46" s="10" t="s">
        <v>1690</v>
      </c>
      <c r="D46" t="s">
        <v>2151</v>
      </c>
      <c r="H46" s="76" t="s">
        <v>466</v>
      </c>
      <c r="I46" s="74" t="s">
        <v>2126</v>
      </c>
      <c r="J46" s="74">
        <v>44</v>
      </c>
      <c r="K46" s="74" t="s">
        <v>2125</v>
      </c>
      <c r="L46" s="75"/>
      <c r="M46" s="75"/>
      <c r="N46" s="75"/>
      <c r="O46" s="259"/>
    </row>
    <row r="47" spans="2:15" ht="15.75">
      <c r="H47" s="76" t="s">
        <v>2129</v>
      </c>
      <c r="I47" s="74" t="s">
        <v>2130</v>
      </c>
      <c r="J47" s="74">
        <v>7</v>
      </c>
      <c r="K47" s="74" t="s">
        <v>2125</v>
      </c>
      <c r="L47" s="75"/>
      <c r="M47" s="75"/>
      <c r="N47" s="75"/>
      <c r="O47" s="259"/>
    </row>
    <row r="48" spans="2:15" ht="15.75">
      <c r="H48" s="76" t="s">
        <v>2131</v>
      </c>
      <c r="I48" s="74" t="s">
        <v>2132</v>
      </c>
      <c r="J48" s="74">
        <v>2</v>
      </c>
      <c r="K48" s="74" t="s">
        <v>2125</v>
      </c>
      <c r="L48" s="75"/>
      <c r="M48" s="75"/>
      <c r="N48" s="75"/>
      <c r="O48" s="259"/>
    </row>
    <row r="49" spans="2:15" ht="15.75">
      <c r="H49" s="76" t="s">
        <v>438</v>
      </c>
      <c r="I49" s="74" t="s">
        <v>2148</v>
      </c>
      <c r="J49" s="74">
        <v>7</v>
      </c>
      <c r="K49" s="74" t="s">
        <v>2125</v>
      </c>
      <c r="L49" s="75"/>
      <c r="M49" s="75"/>
      <c r="N49" s="75"/>
      <c r="O49" s="259"/>
    </row>
    <row r="50" spans="2:15" ht="15.75">
      <c r="H50" s="76" t="s">
        <v>1018</v>
      </c>
      <c r="I50" s="74" t="s">
        <v>2133</v>
      </c>
      <c r="J50" s="74">
        <v>26</v>
      </c>
      <c r="K50" s="74" t="s">
        <v>2125</v>
      </c>
      <c r="L50" s="75"/>
      <c r="M50" s="75"/>
      <c r="N50" s="75"/>
      <c r="O50" s="259"/>
    </row>
    <row r="51" spans="2:15" ht="15.75">
      <c r="H51" s="76" t="s">
        <v>2134</v>
      </c>
      <c r="I51" s="74" t="s">
        <v>2135</v>
      </c>
      <c r="J51" s="74">
        <v>3</v>
      </c>
      <c r="K51" s="74" t="s">
        <v>2125</v>
      </c>
      <c r="L51" s="75"/>
      <c r="M51" s="75"/>
      <c r="N51" s="75"/>
      <c r="O51" s="259"/>
    </row>
    <row r="52" spans="2:15" ht="15.75">
      <c r="H52" s="76" t="s">
        <v>106</v>
      </c>
      <c r="I52" s="74" t="s">
        <v>107</v>
      </c>
      <c r="J52" s="74">
        <v>10</v>
      </c>
      <c r="K52" s="74" t="s">
        <v>2125</v>
      </c>
      <c r="L52" s="75"/>
      <c r="M52" s="75"/>
      <c r="N52" s="75"/>
      <c r="O52" s="259"/>
    </row>
    <row r="53" spans="2:15" ht="15.75">
      <c r="H53" s="76" t="s">
        <v>91</v>
      </c>
      <c r="I53" s="74" t="s">
        <v>92</v>
      </c>
      <c r="J53" s="74">
        <v>0.65</v>
      </c>
      <c r="K53" s="74" t="s">
        <v>2125</v>
      </c>
      <c r="L53" s="75"/>
      <c r="M53" s="75"/>
      <c r="N53" s="75"/>
      <c r="O53" s="259"/>
    </row>
    <row r="54" spans="2:15">
      <c r="H54" s="74" t="s">
        <v>1070</v>
      </c>
      <c r="I54" s="74" t="s">
        <v>2137</v>
      </c>
      <c r="J54" s="74">
        <v>157</v>
      </c>
      <c r="K54" s="74" t="s">
        <v>2125</v>
      </c>
      <c r="L54" s="75"/>
      <c r="M54" s="75"/>
      <c r="N54" s="75"/>
      <c r="O54" s="259"/>
    </row>
    <row r="55" spans="2:15" ht="15.75">
      <c r="H55" s="76" t="s">
        <v>262</v>
      </c>
      <c r="I55" s="230" t="s">
        <v>2149</v>
      </c>
      <c r="J55" s="74">
        <v>14</v>
      </c>
      <c r="K55" s="74" t="s">
        <v>2125</v>
      </c>
      <c r="L55" s="75"/>
      <c r="M55" s="75"/>
      <c r="N55" s="74">
        <v>650.65</v>
      </c>
      <c r="O55" s="260"/>
    </row>
    <row r="56" spans="2:15" s="81" customFormat="1" ht="15" customHeight="1">
      <c r="H56" s="95" t="s">
        <v>2144</v>
      </c>
      <c r="I56" s="91" t="s">
        <v>359</v>
      </c>
      <c r="J56" s="231">
        <v>230</v>
      </c>
      <c r="K56" s="231" t="s">
        <v>2125</v>
      </c>
      <c r="L56" s="98"/>
      <c r="M56" s="98"/>
      <c r="N56" s="98"/>
      <c r="O56" s="255">
        <v>218</v>
      </c>
    </row>
    <row r="57" spans="2:15" ht="15.75">
      <c r="H57" s="76" t="s">
        <v>2152</v>
      </c>
      <c r="I57" s="230" t="s">
        <v>2153</v>
      </c>
      <c r="J57" s="230">
        <v>3</v>
      </c>
      <c r="K57" s="230" t="s">
        <v>2125</v>
      </c>
      <c r="L57" s="75"/>
      <c r="M57" s="75"/>
      <c r="N57" s="75"/>
      <c r="O57" s="256"/>
    </row>
    <row r="58" spans="2:15" ht="15.75">
      <c r="H58" s="76" t="s">
        <v>466</v>
      </c>
      <c r="I58" s="230" t="s">
        <v>2126</v>
      </c>
      <c r="J58" s="230">
        <v>30</v>
      </c>
      <c r="K58" s="230" t="s">
        <v>2125</v>
      </c>
      <c r="L58" s="75"/>
      <c r="M58" s="75"/>
      <c r="N58" s="75"/>
      <c r="O58" s="256"/>
    </row>
    <row r="59" spans="2:15" ht="29.45">
      <c r="B59" s="10" t="s">
        <v>2154</v>
      </c>
      <c r="C59" s="199" t="s">
        <v>1691</v>
      </c>
      <c r="D59" t="s">
        <v>2155</v>
      </c>
      <c r="H59" s="76" t="s">
        <v>1012</v>
      </c>
      <c r="I59" s="230" t="s">
        <v>2156</v>
      </c>
      <c r="J59" s="230">
        <v>7</v>
      </c>
      <c r="K59" s="230" t="s">
        <v>2125</v>
      </c>
      <c r="L59" s="75"/>
      <c r="M59" s="75"/>
      <c r="N59" s="75"/>
      <c r="O59" s="256"/>
    </row>
    <row r="60" spans="2:15" ht="15.75">
      <c r="H60" s="76" t="s">
        <v>2129</v>
      </c>
      <c r="I60" s="230" t="s">
        <v>2130</v>
      </c>
      <c r="J60" s="230">
        <v>4</v>
      </c>
      <c r="K60" s="230" t="s">
        <v>2125</v>
      </c>
      <c r="L60" s="75"/>
      <c r="M60" s="75"/>
      <c r="N60" s="75"/>
      <c r="O60" s="256"/>
    </row>
    <row r="61" spans="2:15" ht="15.75">
      <c r="H61" s="76" t="s">
        <v>1070</v>
      </c>
      <c r="I61" s="230" t="s">
        <v>2137</v>
      </c>
      <c r="J61" s="230" t="s">
        <v>2157</v>
      </c>
      <c r="K61" s="230" t="s">
        <v>2158</v>
      </c>
      <c r="L61" s="75"/>
      <c r="M61" s="75"/>
      <c r="N61" s="230">
        <v>274</v>
      </c>
      <c r="O61" s="257"/>
    </row>
    <row r="62" spans="2:15" s="81" customFormat="1" ht="15.75">
      <c r="H62" s="95" t="s">
        <v>2159</v>
      </c>
      <c r="I62" s="233" t="s">
        <v>640</v>
      </c>
      <c r="J62" s="231">
        <v>230</v>
      </c>
      <c r="K62" s="231" t="s">
        <v>2125</v>
      </c>
      <c r="L62" s="98"/>
      <c r="M62" s="98"/>
      <c r="N62" s="98"/>
      <c r="O62" s="255">
        <v>218</v>
      </c>
    </row>
    <row r="63" spans="2:15" ht="15.75">
      <c r="H63" s="76" t="s">
        <v>2152</v>
      </c>
      <c r="I63" s="230" t="s">
        <v>2153</v>
      </c>
      <c r="J63" s="230">
        <v>3</v>
      </c>
      <c r="K63" s="230" t="s">
        <v>2125</v>
      </c>
      <c r="L63" s="75"/>
      <c r="M63" s="75"/>
      <c r="N63" s="75"/>
      <c r="O63" s="256"/>
    </row>
    <row r="64" spans="2:15" ht="15.75">
      <c r="H64" s="76" t="s">
        <v>466</v>
      </c>
      <c r="I64" s="230" t="s">
        <v>2126</v>
      </c>
      <c r="J64" s="230">
        <v>30</v>
      </c>
      <c r="K64" s="230" t="s">
        <v>2125</v>
      </c>
      <c r="L64" s="75"/>
      <c r="M64" s="75"/>
      <c r="N64" s="75"/>
      <c r="O64" s="256"/>
    </row>
    <row r="65" spans="2:15" ht="29.45">
      <c r="B65" s="223" t="s">
        <v>2160</v>
      </c>
      <c r="C65" s="223" t="s">
        <v>1692</v>
      </c>
      <c r="D65" s="223" t="s">
        <v>2161</v>
      </c>
      <c r="H65" s="76" t="s">
        <v>1012</v>
      </c>
      <c r="I65" s="230" t="s">
        <v>2156</v>
      </c>
      <c r="J65" s="230">
        <v>7</v>
      </c>
      <c r="K65" s="230" t="s">
        <v>2125</v>
      </c>
      <c r="L65" s="75"/>
      <c r="M65" s="75"/>
      <c r="N65" s="75"/>
      <c r="O65" s="256"/>
    </row>
    <row r="66" spans="2:15" ht="15.75">
      <c r="H66" s="76" t="s">
        <v>2129</v>
      </c>
      <c r="I66" s="230" t="s">
        <v>2130</v>
      </c>
      <c r="J66" s="230">
        <v>4</v>
      </c>
      <c r="K66" s="230" t="s">
        <v>2125</v>
      </c>
      <c r="L66" s="75"/>
      <c r="M66" s="75"/>
      <c r="N66" s="75"/>
      <c r="O66" s="256"/>
    </row>
    <row r="67" spans="2:15" ht="15.75">
      <c r="H67" s="76" t="s">
        <v>1070</v>
      </c>
      <c r="I67" s="230" t="s">
        <v>2137</v>
      </c>
      <c r="J67" s="230" t="s">
        <v>2157</v>
      </c>
      <c r="K67" s="230" t="s">
        <v>2158</v>
      </c>
      <c r="L67" s="75"/>
      <c r="M67" s="75"/>
      <c r="N67" s="230">
        <v>274</v>
      </c>
      <c r="O67" s="257"/>
    </row>
    <row r="68" spans="2:15" s="81" customFormat="1">
      <c r="H68" s="82" t="s">
        <v>2162</v>
      </c>
      <c r="I68" s="103" t="s">
        <v>162</v>
      </c>
      <c r="J68" s="83">
        <v>152</v>
      </c>
      <c r="K68" s="83" t="s">
        <v>2125</v>
      </c>
      <c r="L68" s="98"/>
      <c r="M68" s="98"/>
      <c r="N68" s="98"/>
      <c r="O68" s="258">
        <v>260</v>
      </c>
    </row>
    <row r="69" spans="2:15">
      <c r="H69" s="74" t="s">
        <v>1070</v>
      </c>
      <c r="I69" s="74" t="s">
        <v>2137</v>
      </c>
      <c r="J69" s="74">
        <v>10</v>
      </c>
      <c r="K69" s="74" t="s">
        <v>2125</v>
      </c>
      <c r="L69" s="75"/>
      <c r="M69" s="75"/>
      <c r="N69" s="75"/>
      <c r="O69" s="259"/>
    </row>
    <row r="70" spans="2:15" ht="15.75">
      <c r="H70" s="76" t="s">
        <v>2129</v>
      </c>
      <c r="I70" s="74" t="s">
        <v>2130</v>
      </c>
      <c r="J70" s="74">
        <v>6</v>
      </c>
      <c r="K70" s="74" t="s">
        <v>2125</v>
      </c>
      <c r="L70" s="75"/>
      <c r="M70" s="75"/>
      <c r="N70" s="75"/>
      <c r="O70" s="259"/>
    </row>
    <row r="71" spans="2:15" ht="29.45">
      <c r="B71" s="86" t="s">
        <v>2163</v>
      </c>
      <c r="C71" s="113" t="s">
        <v>1693</v>
      </c>
      <c r="D71" s="143" t="s">
        <v>2164</v>
      </c>
      <c r="H71" s="76" t="s">
        <v>1018</v>
      </c>
      <c r="I71" s="74" t="s">
        <v>2133</v>
      </c>
      <c r="J71" s="74">
        <v>11</v>
      </c>
      <c r="K71" s="74" t="s">
        <v>2125</v>
      </c>
      <c r="L71" s="75"/>
      <c r="M71" s="75"/>
      <c r="N71" s="75"/>
      <c r="O71" s="259"/>
    </row>
    <row r="72" spans="2:15" ht="15.75">
      <c r="H72" s="76" t="s">
        <v>470</v>
      </c>
      <c r="I72" s="74" t="s">
        <v>471</v>
      </c>
      <c r="J72" s="74">
        <v>6</v>
      </c>
      <c r="K72" s="74" t="s">
        <v>2125</v>
      </c>
      <c r="L72" s="75"/>
      <c r="M72" s="75"/>
      <c r="N72" s="75">
        <f>SUM(J68:J73)</f>
        <v>202</v>
      </c>
      <c r="O72" s="259"/>
    </row>
    <row r="73" spans="2:15" ht="15.75">
      <c r="H73" s="76" t="s">
        <v>466</v>
      </c>
      <c r="I73" s="74" t="s">
        <v>2126</v>
      </c>
      <c r="J73" s="74">
        <v>17</v>
      </c>
      <c r="K73" s="74" t="s">
        <v>2125</v>
      </c>
      <c r="L73" s="75"/>
      <c r="M73" s="75"/>
      <c r="N73" s="75"/>
      <c r="O73" s="75"/>
    </row>
    <row r="74" spans="2:15" s="81" customFormat="1" ht="15" customHeight="1">
      <c r="H74" s="95" t="s">
        <v>2165</v>
      </c>
      <c r="I74" s="103" t="s">
        <v>181</v>
      </c>
      <c r="J74" s="231">
        <v>251</v>
      </c>
      <c r="K74" s="231" t="s">
        <v>2125</v>
      </c>
      <c r="L74" s="98"/>
      <c r="M74" s="98"/>
      <c r="N74" s="98"/>
      <c r="O74" s="255">
        <v>2622</v>
      </c>
    </row>
    <row r="75" spans="2:15" ht="15.75">
      <c r="H75" s="76" t="s">
        <v>470</v>
      </c>
      <c r="I75" s="230" t="s">
        <v>471</v>
      </c>
      <c r="J75" s="230">
        <v>23</v>
      </c>
      <c r="K75" s="230" t="s">
        <v>2125</v>
      </c>
      <c r="L75" s="75"/>
      <c r="M75" s="75"/>
      <c r="N75" s="75"/>
      <c r="O75" s="256"/>
    </row>
    <row r="76" spans="2:15" ht="15.75">
      <c r="H76" s="76" t="s">
        <v>466</v>
      </c>
      <c r="I76" s="230" t="s">
        <v>2126</v>
      </c>
      <c r="J76" s="230">
        <v>54</v>
      </c>
      <c r="K76" s="230" t="s">
        <v>2125</v>
      </c>
      <c r="L76" s="75"/>
      <c r="M76" s="75"/>
      <c r="N76" s="75"/>
      <c r="O76" s="256"/>
    </row>
    <row r="77" spans="2:15" ht="29.45">
      <c r="B77" s="113" t="s">
        <v>2166</v>
      </c>
      <c r="C77" s="113" t="s">
        <v>1694</v>
      </c>
      <c r="D77" s="143" t="s">
        <v>181</v>
      </c>
      <c r="H77" s="76" t="s">
        <v>486</v>
      </c>
      <c r="I77" s="230" t="s">
        <v>2167</v>
      </c>
      <c r="J77" s="230">
        <v>19</v>
      </c>
      <c r="K77" s="230" t="s">
        <v>2125</v>
      </c>
      <c r="L77" s="75"/>
      <c r="M77" s="75"/>
      <c r="N77" s="75"/>
      <c r="O77" s="256"/>
    </row>
    <row r="78" spans="2:15" ht="15.75">
      <c r="H78" s="76" t="s">
        <v>91</v>
      </c>
      <c r="I78" s="230" t="s">
        <v>92</v>
      </c>
      <c r="J78" s="230">
        <v>1</v>
      </c>
      <c r="K78" s="230" t="s">
        <v>2125</v>
      </c>
      <c r="L78" s="75"/>
      <c r="M78" s="75"/>
      <c r="N78" s="75"/>
      <c r="O78" s="256"/>
    </row>
    <row r="79" spans="2:15" ht="15.75">
      <c r="H79" s="76" t="s">
        <v>2168</v>
      </c>
      <c r="I79" s="230" t="s">
        <v>2169</v>
      </c>
      <c r="J79" s="230">
        <v>7</v>
      </c>
      <c r="K79" s="230" t="s">
        <v>2125</v>
      </c>
      <c r="L79" s="75"/>
      <c r="M79" s="75"/>
      <c r="N79" s="75"/>
      <c r="O79" s="256"/>
    </row>
    <row r="80" spans="2:15" ht="15.75">
      <c r="H80" s="76" t="s">
        <v>100</v>
      </c>
      <c r="I80" s="230" t="s">
        <v>101</v>
      </c>
      <c r="J80" s="230">
        <v>13</v>
      </c>
      <c r="K80" s="230" t="s">
        <v>2125</v>
      </c>
      <c r="L80" s="75"/>
      <c r="M80" s="75"/>
      <c r="N80" s="75"/>
      <c r="O80" s="256"/>
    </row>
    <row r="81" spans="2:15" ht="15.75">
      <c r="H81" s="76" t="s">
        <v>1018</v>
      </c>
      <c r="I81" s="74" t="s">
        <v>2133</v>
      </c>
      <c r="J81" s="230">
        <v>55</v>
      </c>
      <c r="K81" s="230" t="s">
        <v>2125</v>
      </c>
      <c r="L81" s="75"/>
      <c r="M81" s="75"/>
      <c r="N81" s="75"/>
      <c r="O81" s="256"/>
    </row>
    <row r="82" spans="2:15" ht="15.75">
      <c r="H82" s="76" t="s">
        <v>1070</v>
      </c>
      <c r="I82" s="230" t="s">
        <v>2137</v>
      </c>
      <c r="J82" s="230">
        <v>2875</v>
      </c>
      <c r="K82" s="230" t="s">
        <v>2170</v>
      </c>
      <c r="L82" s="75"/>
      <c r="M82" s="75"/>
      <c r="N82" s="75"/>
      <c r="O82" s="256"/>
    </row>
    <row r="83" spans="2:15" ht="15.75">
      <c r="H83" s="76" t="s">
        <v>2129</v>
      </c>
      <c r="I83" s="230" t="s">
        <v>2130</v>
      </c>
      <c r="J83" s="230">
        <v>27</v>
      </c>
      <c r="K83" s="230" t="s">
        <v>2125</v>
      </c>
      <c r="L83" s="75"/>
      <c r="M83" s="75"/>
      <c r="N83" s="75"/>
      <c r="O83" s="256"/>
    </row>
    <row r="84" spans="2:15" ht="15.75">
      <c r="H84" s="76" t="s">
        <v>2131</v>
      </c>
      <c r="I84" s="230" t="s">
        <v>2171</v>
      </c>
      <c r="J84" s="230">
        <v>5</v>
      </c>
      <c r="K84" s="230" t="s">
        <v>2125</v>
      </c>
      <c r="L84" s="75"/>
      <c r="M84" s="75"/>
      <c r="N84" s="230">
        <v>3330</v>
      </c>
      <c r="O84" s="256"/>
    </row>
    <row r="85" spans="2:15" s="81" customFormat="1">
      <c r="H85" s="82" t="s">
        <v>2172</v>
      </c>
      <c r="I85" s="82"/>
      <c r="J85" s="93">
        <v>132</v>
      </c>
      <c r="K85" s="109" t="s">
        <v>2125</v>
      </c>
      <c r="L85" s="71"/>
      <c r="M85" s="71"/>
      <c r="N85" s="96"/>
      <c r="O85" s="258">
        <v>1280</v>
      </c>
    </row>
    <row r="86" spans="2:15">
      <c r="H86" s="74" t="s">
        <v>2129</v>
      </c>
      <c r="I86" s="74" t="s">
        <v>2130</v>
      </c>
      <c r="J86" s="94">
        <v>16</v>
      </c>
      <c r="K86" s="110" t="s">
        <v>2125</v>
      </c>
      <c r="L86" s="72"/>
      <c r="M86" s="72"/>
      <c r="N86" s="97"/>
      <c r="O86" s="259"/>
    </row>
    <row r="87" spans="2:15" ht="15.75">
      <c r="H87" s="76" t="s">
        <v>2131</v>
      </c>
      <c r="I87" s="74" t="s">
        <v>2132</v>
      </c>
      <c r="J87" s="94">
        <v>3</v>
      </c>
      <c r="K87" s="110" t="s">
        <v>2125</v>
      </c>
      <c r="L87" s="72"/>
      <c r="M87" s="72"/>
      <c r="N87" s="97"/>
      <c r="O87" s="259"/>
    </row>
    <row r="88" spans="2:15" ht="29.45">
      <c r="B88" s="143" t="s">
        <v>2173</v>
      </c>
      <c r="C88" s="113" t="s">
        <v>1695</v>
      </c>
      <c r="D88" s="143" t="s">
        <v>2174</v>
      </c>
      <c r="H88" s="74" t="s">
        <v>2175</v>
      </c>
      <c r="I88" s="74" t="s">
        <v>2176</v>
      </c>
      <c r="J88" s="94">
        <v>3</v>
      </c>
      <c r="K88" s="110" t="s">
        <v>2125</v>
      </c>
      <c r="L88" s="72"/>
      <c r="M88" s="72"/>
      <c r="N88" s="97"/>
      <c r="O88" s="259"/>
    </row>
    <row r="89" spans="2:15" ht="15.75">
      <c r="H89" s="76" t="s">
        <v>106</v>
      </c>
      <c r="I89" s="74" t="s">
        <v>107</v>
      </c>
      <c r="J89" s="94">
        <v>5</v>
      </c>
      <c r="K89" s="110" t="s">
        <v>2125</v>
      </c>
      <c r="L89" s="72"/>
      <c r="M89" s="72"/>
      <c r="N89" s="97"/>
      <c r="O89" s="259"/>
    </row>
    <row r="90" spans="2:15" ht="15.75">
      <c r="H90" s="76" t="s">
        <v>109</v>
      </c>
      <c r="I90" s="74" t="s">
        <v>2177</v>
      </c>
      <c r="J90" s="94">
        <v>4</v>
      </c>
      <c r="K90" s="110" t="s">
        <v>2125</v>
      </c>
      <c r="L90" s="72"/>
      <c r="M90" s="72"/>
      <c r="N90" s="97"/>
      <c r="O90" s="259"/>
    </row>
    <row r="91" spans="2:15" ht="15.75">
      <c r="H91" s="76" t="s">
        <v>79</v>
      </c>
      <c r="I91" s="230" t="s">
        <v>80</v>
      </c>
      <c r="J91" s="94">
        <v>0.625</v>
      </c>
      <c r="K91" s="110" t="s">
        <v>2125</v>
      </c>
      <c r="L91" s="72"/>
      <c r="M91" s="72"/>
      <c r="N91" s="97"/>
      <c r="O91" s="259"/>
    </row>
    <row r="92" spans="2:15" ht="15.75">
      <c r="H92" s="76" t="s">
        <v>73</v>
      </c>
      <c r="I92" s="230" t="s">
        <v>74</v>
      </c>
      <c r="J92" s="94">
        <v>0.5</v>
      </c>
      <c r="K92" s="110" t="s">
        <v>2125</v>
      </c>
      <c r="L92" s="72"/>
      <c r="M92" s="72"/>
      <c r="N92" s="97"/>
      <c r="O92" s="259"/>
    </row>
    <row r="93" spans="2:15" ht="15.75">
      <c r="H93" s="76" t="s">
        <v>111</v>
      </c>
      <c r="I93" s="74" t="s">
        <v>2178</v>
      </c>
      <c r="J93" s="94">
        <v>2</v>
      </c>
      <c r="K93" s="110" t="s">
        <v>2125</v>
      </c>
      <c r="L93" s="72"/>
      <c r="M93" s="72"/>
      <c r="N93" s="97"/>
      <c r="O93" s="259"/>
    </row>
    <row r="94" spans="2:15" ht="15.75">
      <c r="H94" s="76" t="s">
        <v>964</v>
      </c>
      <c r="I94" s="74" t="s">
        <v>2179</v>
      </c>
      <c r="J94" s="94">
        <v>0.66</v>
      </c>
      <c r="K94" s="110" t="s">
        <v>2125</v>
      </c>
      <c r="L94" s="72"/>
      <c r="M94" s="72"/>
      <c r="N94" s="97"/>
      <c r="O94" s="259"/>
    </row>
    <row r="95" spans="2:15">
      <c r="H95" s="74" t="s">
        <v>1070</v>
      </c>
      <c r="I95" s="74" t="s">
        <v>2137</v>
      </c>
      <c r="J95" s="94">
        <v>1602</v>
      </c>
      <c r="K95" s="110" t="s">
        <v>2125</v>
      </c>
      <c r="L95" s="72"/>
      <c r="M95" s="72"/>
      <c r="N95" s="97"/>
      <c r="O95" s="259"/>
    </row>
    <row r="96" spans="2:15" ht="15.75">
      <c r="H96" s="76" t="s">
        <v>100</v>
      </c>
      <c r="I96" s="74" t="s">
        <v>101</v>
      </c>
      <c r="J96" s="94">
        <v>10</v>
      </c>
      <c r="K96" s="110" t="s">
        <v>2125</v>
      </c>
      <c r="L96" s="72"/>
      <c r="M96" s="72"/>
      <c r="N96" s="97"/>
      <c r="O96" s="259"/>
    </row>
    <row r="97" spans="2:16" ht="15.75">
      <c r="H97" s="76" t="s">
        <v>438</v>
      </c>
      <c r="I97" s="74" t="s">
        <v>2136</v>
      </c>
      <c r="J97" s="94">
        <v>11</v>
      </c>
      <c r="K97" s="110" t="s">
        <v>2125</v>
      </c>
      <c r="L97" s="72"/>
      <c r="M97" s="72"/>
      <c r="N97" s="97"/>
      <c r="O97" s="259"/>
    </row>
    <row r="98" spans="2:16">
      <c r="H98" s="74" t="s">
        <v>466</v>
      </c>
      <c r="I98" s="74" t="s">
        <v>2126</v>
      </c>
      <c r="J98" s="94">
        <v>55</v>
      </c>
      <c r="K98" s="110" t="s">
        <v>2125</v>
      </c>
      <c r="L98" s="72"/>
      <c r="M98" s="72"/>
      <c r="N98" s="97"/>
      <c r="O98" s="259"/>
    </row>
    <row r="99" spans="2:16" ht="15.75">
      <c r="H99" s="76" t="s">
        <v>960</v>
      </c>
      <c r="I99" s="74" t="s">
        <v>2180</v>
      </c>
      <c r="J99" s="94">
        <v>0.38</v>
      </c>
      <c r="K99" s="110" t="s">
        <v>2125</v>
      </c>
      <c r="L99" s="72"/>
      <c r="M99" s="72"/>
      <c r="N99" s="97"/>
      <c r="O99" s="259"/>
    </row>
    <row r="100" spans="2:16" ht="15.75">
      <c r="H100" s="76" t="s">
        <v>2134</v>
      </c>
      <c r="I100" s="74" t="s">
        <v>2135</v>
      </c>
      <c r="J100" s="94">
        <v>2</v>
      </c>
      <c r="K100" s="110" t="s">
        <v>2125</v>
      </c>
      <c r="L100" s="72"/>
      <c r="M100" s="72"/>
      <c r="N100" s="97"/>
      <c r="O100" s="259"/>
    </row>
    <row r="101" spans="2:16">
      <c r="H101" s="74" t="s">
        <v>470</v>
      </c>
      <c r="I101" s="74" t="s">
        <v>471</v>
      </c>
      <c r="J101" s="94">
        <v>12</v>
      </c>
      <c r="K101" s="110" t="s">
        <v>2125</v>
      </c>
      <c r="L101" s="72"/>
      <c r="M101" s="72"/>
      <c r="N101" s="97"/>
      <c r="O101" s="259"/>
    </row>
    <row r="102" spans="2:16" ht="15.75">
      <c r="H102" s="76" t="s">
        <v>91</v>
      </c>
      <c r="I102" s="74" t="s">
        <v>92</v>
      </c>
      <c r="J102" s="94">
        <v>0.32</v>
      </c>
      <c r="K102" s="110" t="s">
        <v>2125</v>
      </c>
      <c r="L102" s="72"/>
      <c r="M102" s="72"/>
      <c r="N102" s="97"/>
      <c r="O102" s="259"/>
    </row>
    <row r="103" spans="2:16">
      <c r="G103" s="73"/>
      <c r="H103" s="85" t="s">
        <v>1018</v>
      </c>
      <c r="I103" s="85" t="s">
        <v>2133</v>
      </c>
      <c r="J103" s="114">
        <v>60</v>
      </c>
      <c r="K103" s="111" t="s">
        <v>2125</v>
      </c>
      <c r="L103" s="112"/>
      <c r="M103" s="112"/>
      <c r="N103" s="115">
        <f>SUM(J85:J103)</f>
        <v>1919.4850000000001</v>
      </c>
      <c r="O103" s="260"/>
      <c r="P103" s="73"/>
    </row>
    <row r="104" spans="2:16" s="81" customFormat="1" ht="15.75">
      <c r="G104"/>
      <c r="H104" s="92" t="s">
        <v>2181</v>
      </c>
      <c r="I104" s="58" t="s">
        <v>190</v>
      </c>
      <c r="J104" s="230">
        <v>251</v>
      </c>
      <c r="K104" s="230" t="s">
        <v>2125</v>
      </c>
      <c r="L104" s="75"/>
      <c r="M104" s="75"/>
      <c r="N104" s="75"/>
      <c r="O104" s="256">
        <v>2622</v>
      </c>
      <c r="P104"/>
    </row>
    <row r="105" spans="2:16" ht="15.75">
      <c r="H105" s="76" t="s">
        <v>470</v>
      </c>
      <c r="I105" s="230" t="s">
        <v>471</v>
      </c>
      <c r="J105" s="230">
        <v>23</v>
      </c>
      <c r="K105" s="230" t="s">
        <v>2125</v>
      </c>
      <c r="L105" s="75"/>
      <c r="M105" s="75"/>
      <c r="N105" s="75"/>
      <c r="O105" s="256"/>
    </row>
    <row r="106" spans="2:16" ht="15.75">
      <c r="H106" s="76" t="s">
        <v>466</v>
      </c>
      <c r="I106" s="230" t="s">
        <v>2126</v>
      </c>
      <c r="J106" s="230">
        <v>54</v>
      </c>
      <c r="K106" s="230" t="s">
        <v>2125</v>
      </c>
      <c r="L106" s="75"/>
      <c r="M106" s="75"/>
      <c r="N106" s="75"/>
      <c r="O106" s="256"/>
    </row>
    <row r="107" spans="2:16" ht="29.45">
      <c r="B107" s="113" t="s">
        <v>2166</v>
      </c>
      <c r="C107" s="113" t="s">
        <v>2181</v>
      </c>
      <c r="D107" s="143" t="s">
        <v>2182</v>
      </c>
      <c r="H107" s="76" t="s">
        <v>486</v>
      </c>
      <c r="I107" s="230" t="s">
        <v>2167</v>
      </c>
      <c r="J107" s="230">
        <v>19</v>
      </c>
      <c r="K107" s="230" t="s">
        <v>2125</v>
      </c>
      <c r="L107" s="75"/>
      <c r="M107" s="75"/>
      <c r="N107" s="75"/>
      <c r="O107" s="256"/>
    </row>
    <row r="108" spans="2:16" ht="15.75">
      <c r="H108" s="76" t="s">
        <v>91</v>
      </c>
      <c r="I108" s="230" t="s">
        <v>92</v>
      </c>
      <c r="J108" s="230">
        <v>1</v>
      </c>
      <c r="K108" s="230" t="s">
        <v>2125</v>
      </c>
      <c r="L108" s="75"/>
      <c r="M108" s="75"/>
      <c r="N108" s="75"/>
      <c r="O108" s="256"/>
    </row>
    <row r="109" spans="2:16" ht="15.75">
      <c r="H109" s="76" t="s">
        <v>2168</v>
      </c>
      <c r="I109" s="230" t="s">
        <v>2169</v>
      </c>
      <c r="J109" s="230">
        <v>7</v>
      </c>
      <c r="K109" s="230" t="s">
        <v>2125</v>
      </c>
      <c r="L109" s="75"/>
      <c r="M109" s="75"/>
      <c r="N109" s="75"/>
      <c r="O109" s="256"/>
    </row>
    <row r="110" spans="2:16" ht="15.75">
      <c r="H110" s="76" t="s">
        <v>100</v>
      </c>
      <c r="I110" s="230" t="s">
        <v>101</v>
      </c>
      <c r="J110" s="230">
        <v>13</v>
      </c>
      <c r="K110" s="230" t="s">
        <v>2125</v>
      </c>
      <c r="L110" s="75"/>
      <c r="M110" s="75"/>
      <c r="N110" s="75"/>
      <c r="O110" s="256"/>
    </row>
    <row r="111" spans="2:16" ht="15.75">
      <c r="H111" s="76" t="s">
        <v>1018</v>
      </c>
      <c r="I111" s="74" t="s">
        <v>2133</v>
      </c>
      <c r="J111" s="230">
        <v>55</v>
      </c>
      <c r="K111" s="230" t="s">
        <v>2125</v>
      </c>
      <c r="L111" s="75"/>
      <c r="M111" s="75"/>
      <c r="N111" s="75"/>
      <c r="O111" s="256"/>
    </row>
    <row r="112" spans="2:16" ht="15.75">
      <c r="H112" s="76" t="s">
        <v>1070</v>
      </c>
      <c r="I112" s="230" t="s">
        <v>2137</v>
      </c>
      <c r="J112" s="230">
        <v>2875</v>
      </c>
      <c r="K112" s="230" t="s">
        <v>2170</v>
      </c>
      <c r="L112" s="75"/>
      <c r="M112" s="75"/>
      <c r="N112" s="75"/>
      <c r="O112" s="256"/>
    </row>
    <row r="113" spans="2:16" ht="15.75">
      <c r="H113" s="76" t="s">
        <v>2129</v>
      </c>
      <c r="I113" s="230" t="s">
        <v>2130</v>
      </c>
      <c r="J113" s="230">
        <v>27</v>
      </c>
      <c r="K113" s="230" t="s">
        <v>2125</v>
      </c>
      <c r="L113" s="75"/>
      <c r="M113" s="75"/>
      <c r="N113" s="75"/>
      <c r="O113" s="256"/>
    </row>
    <row r="114" spans="2:16" ht="15.75">
      <c r="H114" s="76" t="s">
        <v>2131</v>
      </c>
      <c r="I114" s="230" t="s">
        <v>2171</v>
      </c>
      <c r="J114" s="230">
        <v>5</v>
      </c>
      <c r="K114" s="230" t="s">
        <v>2125</v>
      </c>
      <c r="L114" s="75"/>
      <c r="M114" s="75"/>
      <c r="N114" s="230">
        <v>3330</v>
      </c>
      <c r="O114" s="257"/>
    </row>
    <row r="115" spans="2:16" s="81" customFormat="1" ht="15" customHeight="1">
      <c r="H115" s="234" t="s">
        <v>1697</v>
      </c>
      <c r="I115" s="229" t="s">
        <v>209</v>
      </c>
      <c r="J115" s="231">
        <v>396</v>
      </c>
      <c r="K115" s="231" t="s">
        <v>2125</v>
      </c>
      <c r="L115" s="98"/>
      <c r="M115" s="98"/>
      <c r="N115" s="98"/>
      <c r="O115" s="255">
        <v>261</v>
      </c>
      <c r="P115" s="98"/>
    </row>
    <row r="116" spans="2:16" ht="15.75">
      <c r="H116" s="76" t="s">
        <v>470</v>
      </c>
      <c r="I116" s="230" t="s">
        <v>471</v>
      </c>
      <c r="J116" s="230">
        <v>17</v>
      </c>
      <c r="K116" s="230" t="s">
        <v>2125</v>
      </c>
      <c r="L116" s="75"/>
      <c r="M116" s="75"/>
      <c r="N116" s="75"/>
      <c r="O116" s="256"/>
      <c r="P116" s="75"/>
    </row>
    <row r="117" spans="2:16" ht="15.75">
      <c r="H117" s="76" t="s">
        <v>466</v>
      </c>
      <c r="I117" s="230" t="s">
        <v>2126</v>
      </c>
      <c r="J117" s="230">
        <v>117</v>
      </c>
      <c r="K117" s="230" t="s">
        <v>2125</v>
      </c>
      <c r="L117" s="75"/>
      <c r="M117" s="75"/>
      <c r="N117" s="75"/>
      <c r="O117" s="256"/>
      <c r="P117" s="75"/>
    </row>
    <row r="118" spans="2:16" ht="29.45">
      <c r="B118" s="86" t="s">
        <v>2183</v>
      </c>
      <c r="C118" s="113" t="s">
        <v>1697</v>
      </c>
      <c r="D118" s="113" t="s">
        <v>209</v>
      </c>
      <c r="H118" s="76" t="s">
        <v>438</v>
      </c>
      <c r="I118" s="230" t="s">
        <v>2136</v>
      </c>
      <c r="J118" s="230">
        <v>7</v>
      </c>
      <c r="K118" s="230" t="s">
        <v>2125</v>
      </c>
      <c r="L118" s="75"/>
      <c r="M118" s="75"/>
      <c r="N118" s="75"/>
      <c r="O118" s="256"/>
      <c r="P118" s="75"/>
    </row>
    <row r="119" spans="2:16" ht="15.75">
      <c r="H119" s="76" t="s">
        <v>1018</v>
      </c>
      <c r="I119" s="74" t="s">
        <v>2133</v>
      </c>
      <c r="J119" s="230">
        <v>27</v>
      </c>
      <c r="K119" s="230" t="s">
        <v>2125</v>
      </c>
      <c r="L119" s="75"/>
      <c r="M119" s="75"/>
      <c r="N119" s="75"/>
      <c r="O119" s="256"/>
      <c r="P119" s="75"/>
    </row>
    <row r="120" spans="2:16" ht="15.75">
      <c r="H120" s="76" t="s">
        <v>2129</v>
      </c>
      <c r="I120" s="230" t="s">
        <v>2130</v>
      </c>
      <c r="J120" s="230">
        <v>6</v>
      </c>
      <c r="K120" s="230" t="s">
        <v>2125</v>
      </c>
      <c r="L120" s="75"/>
      <c r="M120" s="75"/>
      <c r="N120" s="230">
        <v>570</v>
      </c>
      <c r="O120" s="257"/>
      <c r="P120" s="75"/>
    </row>
    <row r="121" spans="2:16" s="81" customFormat="1">
      <c r="H121" s="234" t="s">
        <v>213</v>
      </c>
      <c r="I121" s="229" t="s">
        <v>214</v>
      </c>
      <c r="J121" s="231">
        <v>396</v>
      </c>
      <c r="K121" s="231" t="s">
        <v>2125</v>
      </c>
      <c r="L121" s="98"/>
      <c r="M121" s="98"/>
      <c r="N121" s="98"/>
      <c r="O121" s="255">
        <v>261</v>
      </c>
    </row>
    <row r="122" spans="2:16" ht="15.75">
      <c r="H122" s="76" t="s">
        <v>470</v>
      </c>
      <c r="I122" s="230" t="s">
        <v>471</v>
      </c>
      <c r="J122" s="230">
        <v>17</v>
      </c>
      <c r="K122" s="230" t="s">
        <v>2125</v>
      </c>
      <c r="L122" s="75"/>
      <c r="M122" s="75"/>
      <c r="N122" s="75"/>
      <c r="O122" s="256"/>
    </row>
    <row r="123" spans="2:16" ht="15.75">
      <c r="H123" s="76" t="s">
        <v>466</v>
      </c>
      <c r="I123" s="230" t="s">
        <v>2126</v>
      </c>
      <c r="J123" s="230">
        <v>117</v>
      </c>
      <c r="K123" s="230" t="s">
        <v>2125</v>
      </c>
      <c r="L123" s="75"/>
      <c r="M123" s="75"/>
      <c r="N123" s="75"/>
      <c r="O123" s="256"/>
    </row>
    <row r="124" spans="2:16" ht="29.45">
      <c r="B124" s="86" t="s">
        <v>2183</v>
      </c>
      <c r="C124" s="113" t="s">
        <v>213</v>
      </c>
      <c r="D124" s="113" t="s">
        <v>214</v>
      </c>
      <c r="H124" s="76" t="s">
        <v>438</v>
      </c>
      <c r="I124" s="230" t="s">
        <v>2136</v>
      </c>
      <c r="J124" s="230">
        <v>7</v>
      </c>
      <c r="K124" s="230" t="s">
        <v>2125</v>
      </c>
      <c r="L124" s="75"/>
      <c r="M124" s="75"/>
      <c r="N124" s="75"/>
      <c r="O124" s="256"/>
    </row>
    <row r="125" spans="2:16" ht="15.75">
      <c r="H125" s="76" t="s">
        <v>1018</v>
      </c>
      <c r="I125" s="74" t="s">
        <v>2133</v>
      </c>
      <c r="J125" s="230">
        <v>27</v>
      </c>
      <c r="K125" s="230" t="s">
        <v>2125</v>
      </c>
      <c r="L125" s="75"/>
      <c r="M125" s="75"/>
      <c r="N125" s="75"/>
      <c r="O125" s="256"/>
    </row>
    <row r="126" spans="2:16" ht="15.75">
      <c r="H126" s="76" t="s">
        <v>2129</v>
      </c>
      <c r="I126" s="230" t="s">
        <v>2130</v>
      </c>
      <c r="J126" s="230">
        <v>6</v>
      </c>
      <c r="K126" s="230" t="s">
        <v>2125</v>
      </c>
      <c r="L126" s="75"/>
      <c r="M126" s="75"/>
      <c r="N126" s="230">
        <v>570</v>
      </c>
      <c r="O126" s="257"/>
    </row>
    <row r="127" spans="2:16" s="81" customFormat="1">
      <c r="H127" s="234" t="s">
        <v>217</v>
      </c>
      <c r="I127" s="229" t="s">
        <v>218</v>
      </c>
      <c r="J127" s="231">
        <v>396</v>
      </c>
      <c r="K127" s="231" t="s">
        <v>2125</v>
      </c>
      <c r="L127" s="98"/>
      <c r="M127" s="98"/>
      <c r="N127" s="98"/>
      <c r="O127" s="255">
        <v>261</v>
      </c>
    </row>
    <row r="128" spans="2:16" ht="15.75">
      <c r="H128" s="76" t="s">
        <v>470</v>
      </c>
      <c r="I128" s="230" t="s">
        <v>471</v>
      </c>
      <c r="J128" s="230">
        <v>17</v>
      </c>
      <c r="K128" s="230" t="s">
        <v>2125</v>
      </c>
      <c r="L128" s="75"/>
      <c r="M128" s="75"/>
      <c r="N128" s="75"/>
      <c r="O128" s="256"/>
    </row>
    <row r="129" spans="2:15" ht="15.75">
      <c r="H129" s="76" t="s">
        <v>466</v>
      </c>
      <c r="I129" s="230" t="s">
        <v>2126</v>
      </c>
      <c r="J129" s="230">
        <v>117</v>
      </c>
      <c r="K129" s="230" t="s">
        <v>2125</v>
      </c>
      <c r="L129" s="75"/>
      <c r="M129" s="75"/>
      <c r="N129" s="75"/>
      <c r="O129" s="256"/>
    </row>
    <row r="130" spans="2:15" ht="29.45">
      <c r="B130" s="86" t="s">
        <v>2183</v>
      </c>
      <c r="C130" s="113" t="s">
        <v>217</v>
      </c>
      <c r="D130" s="113" t="s">
        <v>218</v>
      </c>
      <c r="H130" s="76" t="s">
        <v>438</v>
      </c>
      <c r="I130" s="230" t="s">
        <v>2136</v>
      </c>
      <c r="J130" s="230">
        <v>7</v>
      </c>
      <c r="K130" s="230" t="s">
        <v>2125</v>
      </c>
      <c r="L130" s="75"/>
      <c r="M130" s="75"/>
      <c r="N130" s="75"/>
      <c r="O130" s="256"/>
    </row>
    <row r="131" spans="2:15" ht="15.75">
      <c r="H131" s="76" t="s">
        <v>1018</v>
      </c>
      <c r="I131" s="74" t="s">
        <v>2133</v>
      </c>
      <c r="J131" s="230">
        <v>27</v>
      </c>
      <c r="K131" s="230" t="s">
        <v>2125</v>
      </c>
      <c r="L131" s="75"/>
      <c r="M131" s="75"/>
      <c r="N131" s="75"/>
      <c r="O131" s="256"/>
    </row>
    <row r="132" spans="2:15" ht="15.75">
      <c r="H132" s="76" t="s">
        <v>2129</v>
      </c>
      <c r="I132" s="230" t="s">
        <v>2130</v>
      </c>
      <c r="J132" s="230">
        <v>6</v>
      </c>
      <c r="K132" s="230" t="s">
        <v>2125</v>
      </c>
      <c r="L132" s="75"/>
      <c r="M132" s="75"/>
      <c r="N132" s="230">
        <v>570</v>
      </c>
      <c r="O132" s="257"/>
    </row>
    <row r="133" spans="2:15" s="81" customFormat="1">
      <c r="H133" s="234" t="s">
        <v>221</v>
      </c>
      <c r="I133" s="229" t="s">
        <v>222</v>
      </c>
      <c r="J133" s="231">
        <v>396</v>
      </c>
      <c r="K133" s="231" t="s">
        <v>2125</v>
      </c>
      <c r="L133" s="98"/>
      <c r="M133" s="98"/>
      <c r="N133" s="98"/>
      <c r="O133" s="255">
        <v>261</v>
      </c>
    </row>
    <row r="134" spans="2:15" ht="15.75">
      <c r="H134" s="76" t="s">
        <v>470</v>
      </c>
      <c r="I134" s="230" t="s">
        <v>471</v>
      </c>
      <c r="J134" s="230">
        <v>17</v>
      </c>
      <c r="K134" s="230" t="s">
        <v>2125</v>
      </c>
      <c r="L134" s="75"/>
      <c r="M134" s="75"/>
      <c r="N134" s="75"/>
      <c r="O134" s="256"/>
    </row>
    <row r="135" spans="2:15" ht="15.75">
      <c r="H135" s="76" t="s">
        <v>466</v>
      </c>
      <c r="I135" s="230" t="s">
        <v>2126</v>
      </c>
      <c r="J135" s="230">
        <v>117</v>
      </c>
      <c r="K135" s="230" t="s">
        <v>2125</v>
      </c>
      <c r="L135" s="75"/>
      <c r="M135" s="75"/>
      <c r="N135" s="75"/>
      <c r="O135" s="256"/>
    </row>
    <row r="136" spans="2:15" ht="29.45">
      <c r="B136" s="86" t="s">
        <v>2183</v>
      </c>
      <c r="C136" s="113" t="s">
        <v>221</v>
      </c>
      <c r="D136" s="113" t="s">
        <v>222</v>
      </c>
      <c r="H136" s="76" t="s">
        <v>438</v>
      </c>
      <c r="I136" s="230" t="s">
        <v>2136</v>
      </c>
      <c r="J136" s="230">
        <v>7</v>
      </c>
      <c r="K136" s="230" t="s">
        <v>2125</v>
      </c>
      <c r="L136" s="75"/>
      <c r="M136" s="75"/>
      <c r="N136" s="75"/>
      <c r="O136" s="256"/>
    </row>
    <row r="137" spans="2:15" ht="15.75">
      <c r="H137" s="76" t="s">
        <v>1018</v>
      </c>
      <c r="I137" s="74" t="s">
        <v>2133</v>
      </c>
      <c r="J137" s="230">
        <v>27</v>
      </c>
      <c r="K137" s="230" t="s">
        <v>2125</v>
      </c>
      <c r="L137" s="75"/>
      <c r="M137" s="75"/>
      <c r="N137" s="75"/>
      <c r="O137" s="256"/>
    </row>
    <row r="138" spans="2:15" ht="15.75">
      <c r="H138" s="76" t="s">
        <v>2129</v>
      </c>
      <c r="I138" s="230" t="s">
        <v>2130</v>
      </c>
      <c r="J138" s="230">
        <v>6</v>
      </c>
      <c r="K138" s="230" t="s">
        <v>2125</v>
      </c>
      <c r="L138" s="75"/>
      <c r="M138" s="75"/>
      <c r="N138" s="230">
        <v>570</v>
      </c>
      <c r="O138" s="257"/>
    </row>
    <row r="139" spans="2:15" s="81" customFormat="1" ht="29.45">
      <c r="H139" s="234" t="s">
        <v>1701</v>
      </c>
      <c r="I139" s="229" t="s">
        <v>226</v>
      </c>
      <c r="J139" s="231">
        <v>396</v>
      </c>
      <c r="K139" s="231" t="s">
        <v>2125</v>
      </c>
      <c r="L139" s="98"/>
      <c r="M139" s="98"/>
      <c r="N139" s="98"/>
      <c r="O139" s="255">
        <v>261</v>
      </c>
    </row>
    <row r="140" spans="2:15" ht="15.75">
      <c r="H140" s="76" t="s">
        <v>470</v>
      </c>
      <c r="I140" s="230" t="s">
        <v>471</v>
      </c>
      <c r="J140" s="230">
        <v>17</v>
      </c>
      <c r="K140" s="230" t="s">
        <v>2125</v>
      </c>
      <c r="L140" s="75"/>
      <c r="M140" s="75"/>
      <c r="N140" s="75"/>
      <c r="O140" s="256"/>
    </row>
    <row r="141" spans="2:15" ht="15.75">
      <c r="H141" s="76" t="s">
        <v>466</v>
      </c>
      <c r="I141" s="230" t="s">
        <v>2126</v>
      </c>
      <c r="J141" s="230">
        <v>117</v>
      </c>
      <c r="K141" s="230" t="s">
        <v>2125</v>
      </c>
      <c r="L141" s="75"/>
      <c r="M141" s="75"/>
      <c r="N141" s="75"/>
      <c r="O141" s="256"/>
    </row>
    <row r="142" spans="2:15" ht="29.45">
      <c r="B142" s="86" t="s">
        <v>2183</v>
      </c>
      <c r="C142" s="113" t="s">
        <v>1701</v>
      </c>
      <c r="D142" s="113" t="s">
        <v>226</v>
      </c>
      <c r="H142" s="76" t="s">
        <v>438</v>
      </c>
      <c r="I142" s="230" t="s">
        <v>2136</v>
      </c>
      <c r="J142" s="230">
        <v>7</v>
      </c>
      <c r="K142" s="230" t="s">
        <v>2125</v>
      </c>
      <c r="L142" s="75"/>
      <c r="M142" s="75"/>
      <c r="N142" s="75"/>
      <c r="O142" s="256"/>
    </row>
    <row r="143" spans="2:15" ht="15.75">
      <c r="H143" s="76" t="s">
        <v>1018</v>
      </c>
      <c r="I143" s="74" t="s">
        <v>2133</v>
      </c>
      <c r="J143" s="230">
        <v>27</v>
      </c>
      <c r="K143" s="230" t="s">
        <v>2125</v>
      </c>
      <c r="L143" s="75"/>
      <c r="M143" s="75"/>
      <c r="N143" s="75"/>
      <c r="O143" s="256"/>
    </row>
    <row r="144" spans="2:15" ht="15.75">
      <c r="H144" s="76" t="s">
        <v>2129</v>
      </c>
      <c r="I144" s="230" t="s">
        <v>2130</v>
      </c>
      <c r="J144" s="230">
        <v>6</v>
      </c>
      <c r="K144" s="230" t="s">
        <v>2125</v>
      </c>
      <c r="L144" s="75"/>
      <c r="M144" s="75"/>
      <c r="N144" s="230">
        <v>570</v>
      </c>
      <c r="O144" s="257"/>
    </row>
    <row r="145" spans="1:16" s="81" customFormat="1" ht="29.45">
      <c r="H145" s="234" t="s">
        <v>1702</v>
      </c>
      <c r="I145" s="229" t="s">
        <v>230</v>
      </c>
      <c r="J145" s="231">
        <v>396</v>
      </c>
      <c r="K145" s="231" t="s">
        <v>2125</v>
      </c>
      <c r="L145" s="98"/>
      <c r="M145" s="98"/>
      <c r="N145" s="98"/>
      <c r="O145" s="255">
        <v>261</v>
      </c>
    </row>
    <row r="146" spans="1:16" ht="15.75">
      <c r="H146" s="76" t="s">
        <v>470</v>
      </c>
      <c r="I146" s="230" t="s">
        <v>471</v>
      </c>
      <c r="J146" s="230">
        <v>17</v>
      </c>
      <c r="K146" s="230" t="s">
        <v>2125</v>
      </c>
      <c r="L146" s="75"/>
      <c r="M146" s="75"/>
      <c r="N146" s="75"/>
      <c r="O146" s="256"/>
    </row>
    <row r="147" spans="1:16" ht="15.75">
      <c r="H147" s="76" t="s">
        <v>466</v>
      </c>
      <c r="I147" s="230" t="s">
        <v>2126</v>
      </c>
      <c r="J147" s="230">
        <v>117</v>
      </c>
      <c r="K147" s="230" t="s">
        <v>2125</v>
      </c>
      <c r="L147" s="75"/>
      <c r="M147" s="75"/>
      <c r="N147" s="75"/>
      <c r="O147" s="256"/>
    </row>
    <row r="148" spans="1:16" ht="29.45">
      <c r="B148" s="86" t="s">
        <v>2183</v>
      </c>
      <c r="C148" s="113" t="s">
        <v>1702</v>
      </c>
      <c r="D148" s="113" t="s">
        <v>230</v>
      </c>
      <c r="H148" s="76" t="s">
        <v>438</v>
      </c>
      <c r="I148" s="230" t="s">
        <v>2136</v>
      </c>
      <c r="J148" s="230">
        <v>7</v>
      </c>
      <c r="K148" s="230" t="s">
        <v>2125</v>
      </c>
      <c r="L148" s="75"/>
      <c r="M148" s="75"/>
      <c r="N148" s="75"/>
      <c r="O148" s="256"/>
    </row>
    <row r="149" spans="1:16" ht="15.75">
      <c r="H149" s="76" t="s">
        <v>1018</v>
      </c>
      <c r="I149" s="74" t="s">
        <v>2133</v>
      </c>
      <c r="J149" s="230">
        <v>27</v>
      </c>
      <c r="K149" s="230" t="s">
        <v>2125</v>
      </c>
      <c r="L149" s="75"/>
      <c r="M149" s="75"/>
      <c r="N149" s="75"/>
      <c r="O149" s="256"/>
    </row>
    <row r="150" spans="1:16" ht="15.75">
      <c r="H150" s="76" t="s">
        <v>2129</v>
      </c>
      <c r="I150" s="230" t="s">
        <v>2130</v>
      </c>
      <c r="J150" s="230">
        <v>6</v>
      </c>
      <c r="K150" s="230" t="s">
        <v>2125</v>
      </c>
      <c r="L150" s="75"/>
      <c r="M150" s="75"/>
      <c r="N150" s="230">
        <v>570</v>
      </c>
      <c r="O150" s="257"/>
    </row>
    <row r="151" spans="1:16" s="81" customFormat="1" ht="29.45">
      <c r="H151" s="234" t="s">
        <v>1703</v>
      </c>
      <c r="I151" s="229" t="s">
        <v>234</v>
      </c>
      <c r="J151" s="231">
        <v>396</v>
      </c>
      <c r="K151" s="231" t="s">
        <v>2125</v>
      </c>
      <c r="L151" s="98"/>
      <c r="M151" s="98"/>
      <c r="N151" s="98"/>
      <c r="O151" s="255">
        <v>261</v>
      </c>
    </row>
    <row r="152" spans="1:16" ht="15.75">
      <c r="H152" s="76" t="s">
        <v>470</v>
      </c>
      <c r="I152" s="230" t="s">
        <v>471</v>
      </c>
      <c r="J152" s="230">
        <v>17</v>
      </c>
      <c r="K152" s="230" t="s">
        <v>2125</v>
      </c>
      <c r="L152" s="75"/>
      <c r="M152" s="75"/>
      <c r="N152" s="75"/>
      <c r="O152" s="256"/>
    </row>
    <row r="153" spans="1:16" ht="15.75">
      <c r="H153" s="76" t="s">
        <v>466</v>
      </c>
      <c r="I153" s="230" t="s">
        <v>2126</v>
      </c>
      <c r="J153" s="230">
        <v>117</v>
      </c>
      <c r="K153" s="230" t="s">
        <v>2125</v>
      </c>
      <c r="L153" s="75"/>
      <c r="M153" s="75"/>
      <c r="N153" s="75"/>
      <c r="O153" s="256"/>
    </row>
    <row r="154" spans="1:16" ht="29.45">
      <c r="B154" s="86" t="s">
        <v>2183</v>
      </c>
      <c r="C154" s="113" t="s">
        <v>1703</v>
      </c>
      <c r="D154" s="113" t="s">
        <v>234</v>
      </c>
      <c r="H154" s="76" t="s">
        <v>438</v>
      </c>
      <c r="I154" s="230" t="s">
        <v>2136</v>
      </c>
      <c r="J154" s="230">
        <v>7</v>
      </c>
      <c r="K154" s="230" t="s">
        <v>2125</v>
      </c>
      <c r="L154" s="75"/>
      <c r="M154" s="75"/>
      <c r="N154" s="75"/>
      <c r="O154" s="256"/>
    </row>
    <row r="155" spans="1:16" ht="15.75">
      <c r="H155" s="76" t="s">
        <v>1018</v>
      </c>
      <c r="I155" s="74" t="s">
        <v>2133</v>
      </c>
      <c r="J155" s="230">
        <v>27</v>
      </c>
      <c r="K155" s="230" t="s">
        <v>2125</v>
      </c>
      <c r="L155" s="75"/>
      <c r="M155" s="75"/>
      <c r="N155" s="75"/>
      <c r="O155" s="256"/>
    </row>
    <row r="156" spans="1:16" s="73" customFormat="1" ht="15.75">
      <c r="H156" s="88" t="s">
        <v>2129</v>
      </c>
      <c r="I156" s="232" t="s">
        <v>2130</v>
      </c>
      <c r="J156" s="232">
        <v>6</v>
      </c>
      <c r="K156" s="232" t="s">
        <v>2125</v>
      </c>
      <c r="L156" s="102"/>
      <c r="M156" s="102"/>
      <c r="N156" s="232">
        <v>570</v>
      </c>
      <c r="O156" s="257"/>
    </row>
    <row r="157" spans="1:16" ht="29.45">
      <c r="A157" s="81"/>
      <c r="B157" s="81"/>
      <c r="C157" s="81"/>
      <c r="D157" s="81"/>
      <c r="E157" s="81"/>
      <c r="F157" s="81"/>
      <c r="G157" s="81"/>
      <c r="H157" s="235" t="s">
        <v>1704</v>
      </c>
      <c r="I157" s="221" t="s">
        <v>238</v>
      </c>
      <c r="J157" s="231">
        <v>396</v>
      </c>
      <c r="K157" s="231" t="s">
        <v>2125</v>
      </c>
      <c r="L157" s="98"/>
      <c r="M157" s="98"/>
      <c r="N157" s="98"/>
      <c r="O157" s="255">
        <v>261</v>
      </c>
      <c r="P157" s="81"/>
    </row>
    <row r="158" spans="1:16" ht="15.75">
      <c r="H158" s="76" t="s">
        <v>470</v>
      </c>
      <c r="I158" s="230" t="s">
        <v>471</v>
      </c>
      <c r="J158" s="230">
        <v>17</v>
      </c>
      <c r="K158" s="230" t="s">
        <v>2125</v>
      </c>
      <c r="L158" s="75"/>
      <c r="M158" s="75"/>
      <c r="N158" s="75"/>
      <c r="O158" s="256"/>
    </row>
    <row r="159" spans="1:16" ht="15.75">
      <c r="H159" s="76" t="s">
        <v>466</v>
      </c>
      <c r="I159" s="230" t="s">
        <v>2126</v>
      </c>
      <c r="J159" s="230">
        <v>117</v>
      </c>
      <c r="K159" s="230" t="s">
        <v>2125</v>
      </c>
      <c r="L159" s="75"/>
      <c r="M159" s="75"/>
      <c r="N159" s="75"/>
      <c r="O159" s="256"/>
    </row>
    <row r="160" spans="1:16" ht="29.45">
      <c r="B160" s="86" t="s">
        <v>2183</v>
      </c>
      <c r="C160" s="113" t="s">
        <v>1704</v>
      </c>
      <c r="D160" s="113" t="s">
        <v>238</v>
      </c>
      <c r="H160" s="76" t="s">
        <v>438</v>
      </c>
      <c r="I160" s="230" t="s">
        <v>2136</v>
      </c>
      <c r="J160" s="230">
        <v>7</v>
      </c>
      <c r="K160" s="230" t="s">
        <v>2125</v>
      </c>
      <c r="L160" s="75"/>
      <c r="M160" s="75"/>
      <c r="N160" s="75"/>
      <c r="O160" s="256"/>
    </row>
    <row r="161" spans="1:16" ht="15.75">
      <c r="H161" s="76" t="s">
        <v>1018</v>
      </c>
      <c r="I161" s="74" t="s">
        <v>2133</v>
      </c>
      <c r="J161" s="230">
        <v>27</v>
      </c>
      <c r="K161" s="230" t="s">
        <v>2125</v>
      </c>
      <c r="L161" s="75"/>
      <c r="M161" s="75"/>
      <c r="N161" s="75"/>
      <c r="O161" s="256"/>
    </row>
    <row r="162" spans="1:16" ht="15.75">
      <c r="A162" s="73"/>
      <c r="B162" s="73"/>
      <c r="C162" s="73"/>
      <c r="D162" s="73"/>
      <c r="E162" s="73"/>
      <c r="F162" s="73"/>
      <c r="G162" s="73"/>
      <c r="H162" s="88" t="s">
        <v>2129</v>
      </c>
      <c r="I162" s="232" t="s">
        <v>2130</v>
      </c>
      <c r="J162" s="232">
        <v>6</v>
      </c>
      <c r="K162" s="232" t="s">
        <v>2125</v>
      </c>
      <c r="L162" s="102"/>
      <c r="M162" s="102"/>
      <c r="N162" s="232">
        <v>570</v>
      </c>
      <c r="O162" s="257"/>
      <c r="P162" s="73"/>
    </row>
    <row r="163" spans="1:16">
      <c r="A163" s="81"/>
      <c r="B163" s="81"/>
      <c r="C163" s="81"/>
      <c r="D163" s="81"/>
      <c r="E163" s="81"/>
      <c r="F163" s="81"/>
      <c r="G163" s="81"/>
      <c r="H163" s="235" t="s">
        <v>1705</v>
      </c>
      <c r="I163" s="221" t="s">
        <v>246</v>
      </c>
      <c r="J163" s="231">
        <v>396</v>
      </c>
      <c r="K163" s="231" t="s">
        <v>2125</v>
      </c>
      <c r="L163" s="98"/>
      <c r="M163" s="98"/>
      <c r="N163" s="98"/>
      <c r="O163" s="255">
        <v>261</v>
      </c>
      <c r="P163" s="81"/>
    </row>
    <row r="164" spans="1:16" ht="15.75">
      <c r="H164" s="76" t="s">
        <v>470</v>
      </c>
      <c r="I164" s="230" t="s">
        <v>471</v>
      </c>
      <c r="J164" s="230">
        <v>17</v>
      </c>
      <c r="K164" s="230" t="s">
        <v>2125</v>
      </c>
      <c r="L164" s="75"/>
      <c r="M164" s="75"/>
      <c r="N164" s="75"/>
      <c r="O164" s="256"/>
    </row>
    <row r="165" spans="1:16" ht="15.75">
      <c r="H165" s="76" t="s">
        <v>466</v>
      </c>
      <c r="I165" s="230" t="s">
        <v>2126</v>
      </c>
      <c r="J165" s="230">
        <v>117</v>
      </c>
      <c r="K165" s="230" t="s">
        <v>2125</v>
      </c>
      <c r="L165" s="75"/>
      <c r="M165" s="75"/>
      <c r="N165" s="75"/>
      <c r="O165" s="256"/>
    </row>
    <row r="166" spans="1:16" ht="29.45">
      <c r="B166" s="86" t="s">
        <v>2183</v>
      </c>
      <c r="C166" s="113" t="s">
        <v>1705</v>
      </c>
      <c r="D166" s="113" t="s">
        <v>246</v>
      </c>
      <c r="H166" s="76" t="s">
        <v>438</v>
      </c>
      <c r="I166" s="230" t="s">
        <v>2136</v>
      </c>
      <c r="J166" s="230">
        <v>7</v>
      </c>
      <c r="K166" s="230" t="s">
        <v>2125</v>
      </c>
      <c r="L166" s="75"/>
      <c r="M166" s="75"/>
      <c r="N166" s="75"/>
      <c r="O166" s="256"/>
    </row>
    <row r="167" spans="1:16" ht="15.75">
      <c r="H167" s="76" t="s">
        <v>1018</v>
      </c>
      <c r="I167" s="74" t="s">
        <v>2133</v>
      </c>
      <c r="J167" s="230">
        <v>27</v>
      </c>
      <c r="K167" s="230" t="s">
        <v>2125</v>
      </c>
      <c r="L167" s="75"/>
      <c r="M167" s="75"/>
      <c r="N167" s="75"/>
      <c r="O167" s="256"/>
    </row>
    <row r="168" spans="1:16" ht="15.75">
      <c r="A168" s="73"/>
      <c r="B168" s="73"/>
      <c r="C168" s="73"/>
      <c r="D168" s="73"/>
      <c r="E168" s="73"/>
      <c r="F168" s="73"/>
      <c r="G168" s="73"/>
      <c r="H168" s="88" t="s">
        <v>2129</v>
      </c>
      <c r="I168" s="232" t="s">
        <v>2130</v>
      </c>
      <c r="J168" s="232">
        <v>6</v>
      </c>
      <c r="K168" s="232" t="s">
        <v>2125</v>
      </c>
      <c r="L168" s="102"/>
      <c r="M168" s="102"/>
      <c r="N168" s="232">
        <v>570</v>
      </c>
      <c r="O168" s="257"/>
      <c r="P168" s="73"/>
    </row>
    <row r="169" spans="1:16" ht="29.45">
      <c r="A169" s="81"/>
      <c r="B169" s="81"/>
      <c r="C169" s="81"/>
      <c r="D169" s="81"/>
      <c r="E169" s="81"/>
      <c r="F169" s="81"/>
      <c r="G169" s="81"/>
      <c r="H169" s="235" t="s">
        <v>248</v>
      </c>
      <c r="I169" s="229"/>
      <c r="J169" s="231">
        <v>396</v>
      </c>
      <c r="K169" s="231" t="s">
        <v>2125</v>
      </c>
      <c r="L169" s="98"/>
      <c r="M169" s="98"/>
      <c r="N169" s="98"/>
      <c r="O169" s="255">
        <v>261</v>
      </c>
      <c r="P169" s="81"/>
    </row>
    <row r="170" spans="1:16" ht="15.75">
      <c r="H170" s="76" t="s">
        <v>470</v>
      </c>
      <c r="I170" s="230" t="s">
        <v>471</v>
      </c>
      <c r="J170" s="230">
        <v>17</v>
      </c>
      <c r="K170" s="230" t="s">
        <v>2125</v>
      </c>
      <c r="L170" s="75"/>
      <c r="M170" s="75"/>
      <c r="N170" s="75"/>
      <c r="O170" s="256"/>
    </row>
    <row r="171" spans="1:16" ht="15.75">
      <c r="H171" s="76" t="s">
        <v>466</v>
      </c>
      <c r="I171" s="230" t="s">
        <v>2126</v>
      </c>
      <c r="J171" s="230">
        <v>117</v>
      </c>
      <c r="K171" s="230" t="s">
        <v>2125</v>
      </c>
      <c r="L171" s="75"/>
      <c r="M171" s="75"/>
      <c r="N171" s="75"/>
      <c r="O171" s="256"/>
    </row>
    <row r="172" spans="1:16" ht="29.45">
      <c r="B172" s="86" t="s">
        <v>2183</v>
      </c>
      <c r="C172" s="113" t="s">
        <v>248</v>
      </c>
      <c r="D172" s="113" t="s">
        <v>249</v>
      </c>
      <c r="H172" s="76" t="s">
        <v>438</v>
      </c>
      <c r="I172" s="230" t="s">
        <v>2136</v>
      </c>
      <c r="J172" s="230">
        <v>7</v>
      </c>
      <c r="K172" s="230" t="s">
        <v>2125</v>
      </c>
      <c r="L172" s="75"/>
      <c r="M172" s="75"/>
      <c r="N172" s="75"/>
      <c r="O172" s="256"/>
    </row>
    <row r="173" spans="1:16" ht="15.75">
      <c r="H173" s="76" t="s">
        <v>1018</v>
      </c>
      <c r="I173" s="74" t="s">
        <v>2133</v>
      </c>
      <c r="J173" s="230">
        <v>27</v>
      </c>
      <c r="K173" s="230" t="s">
        <v>2125</v>
      </c>
      <c r="L173" s="75"/>
      <c r="M173" s="75"/>
      <c r="N173" s="75"/>
      <c r="O173" s="256"/>
    </row>
    <row r="174" spans="1:16" ht="15.75">
      <c r="A174" s="73"/>
      <c r="B174" s="73"/>
      <c r="C174" s="73"/>
      <c r="D174" s="73"/>
      <c r="E174" s="73"/>
      <c r="F174" s="73"/>
      <c r="G174" s="73"/>
      <c r="H174" s="88" t="s">
        <v>2129</v>
      </c>
      <c r="I174" s="232" t="s">
        <v>2130</v>
      </c>
      <c r="J174" s="232">
        <v>6</v>
      </c>
      <c r="K174" s="232" t="s">
        <v>2125</v>
      </c>
      <c r="L174" s="102"/>
      <c r="M174" s="102"/>
      <c r="N174" s="232">
        <v>570</v>
      </c>
      <c r="O174" s="257"/>
      <c r="P174" s="73"/>
    </row>
    <row r="175" spans="1:16">
      <c r="A175" s="81"/>
      <c r="B175" s="81"/>
      <c r="C175" s="81"/>
      <c r="D175" s="81"/>
      <c r="E175" s="81"/>
      <c r="F175" s="81"/>
      <c r="G175" s="81"/>
      <c r="H175" s="235" t="s">
        <v>1706</v>
      </c>
      <c r="I175" s="229"/>
      <c r="J175" s="231">
        <v>396</v>
      </c>
      <c r="K175" s="231" t="s">
        <v>2125</v>
      </c>
      <c r="L175" s="98"/>
      <c r="M175" s="98"/>
      <c r="N175" s="98"/>
      <c r="O175" s="255">
        <v>261</v>
      </c>
      <c r="P175" s="81"/>
    </row>
    <row r="176" spans="1:16" ht="15.75">
      <c r="H176" s="76" t="s">
        <v>470</v>
      </c>
      <c r="I176" s="230" t="s">
        <v>471</v>
      </c>
      <c r="J176" s="230">
        <v>17</v>
      </c>
      <c r="K176" s="230" t="s">
        <v>2125</v>
      </c>
      <c r="L176" s="75"/>
      <c r="M176" s="75"/>
      <c r="N176" s="75"/>
      <c r="O176" s="256"/>
    </row>
    <row r="177" spans="1:16" ht="15.75">
      <c r="H177" s="76" t="s">
        <v>466</v>
      </c>
      <c r="I177" s="230" t="s">
        <v>2126</v>
      </c>
      <c r="J177" s="230">
        <v>117</v>
      </c>
      <c r="K177" s="230" t="s">
        <v>2125</v>
      </c>
      <c r="L177" s="75"/>
      <c r="M177" s="75"/>
      <c r="N177" s="75"/>
      <c r="O177" s="256"/>
    </row>
    <row r="178" spans="1:16" ht="29.45">
      <c r="B178" s="86" t="s">
        <v>2183</v>
      </c>
      <c r="C178" s="113" t="s">
        <v>1706</v>
      </c>
      <c r="D178" s="113" t="s">
        <v>253</v>
      </c>
      <c r="H178" s="76" t="s">
        <v>438</v>
      </c>
      <c r="I178" s="230" t="s">
        <v>2136</v>
      </c>
      <c r="J178" s="230">
        <v>7</v>
      </c>
      <c r="K178" s="230" t="s">
        <v>2125</v>
      </c>
      <c r="L178" s="75"/>
      <c r="M178" s="75"/>
      <c r="N178" s="75"/>
      <c r="O178" s="256"/>
    </row>
    <row r="179" spans="1:16" ht="15.75">
      <c r="H179" s="76" t="s">
        <v>1018</v>
      </c>
      <c r="I179" s="74" t="s">
        <v>2133</v>
      </c>
      <c r="J179" s="230">
        <v>27</v>
      </c>
      <c r="K179" s="230" t="s">
        <v>2125</v>
      </c>
      <c r="L179" s="75"/>
      <c r="M179" s="75"/>
      <c r="N179" s="75"/>
      <c r="O179" s="256"/>
    </row>
    <row r="180" spans="1:16" ht="15.75">
      <c r="A180" s="73"/>
      <c r="B180" s="73"/>
      <c r="C180" s="73"/>
      <c r="D180" s="73"/>
      <c r="E180" s="73"/>
      <c r="F180" s="73"/>
      <c r="G180" s="73"/>
      <c r="H180" s="88" t="s">
        <v>2129</v>
      </c>
      <c r="I180" s="232" t="s">
        <v>2130</v>
      </c>
      <c r="J180" s="232">
        <v>6</v>
      </c>
      <c r="K180" s="232" t="s">
        <v>2125</v>
      </c>
      <c r="L180" s="102"/>
      <c r="M180" s="102"/>
      <c r="N180" s="232">
        <v>570</v>
      </c>
      <c r="O180" s="257"/>
      <c r="P180" s="73"/>
    </row>
    <row r="181" spans="1:16">
      <c r="A181" s="81"/>
      <c r="B181" s="81"/>
      <c r="C181" s="81"/>
      <c r="D181" s="81"/>
      <c r="E181" s="81"/>
      <c r="F181" s="81"/>
      <c r="G181" s="81"/>
      <c r="H181" s="235" t="s">
        <v>1707</v>
      </c>
      <c r="I181" s="229"/>
      <c r="J181" s="231">
        <v>396</v>
      </c>
      <c r="K181" s="231" t="s">
        <v>2125</v>
      </c>
      <c r="L181" s="98"/>
      <c r="M181" s="98"/>
      <c r="N181" s="98"/>
      <c r="O181" s="255">
        <v>261</v>
      </c>
      <c r="P181" s="81"/>
    </row>
    <row r="182" spans="1:16" ht="15.75">
      <c r="H182" s="76" t="s">
        <v>470</v>
      </c>
      <c r="I182" s="230" t="s">
        <v>471</v>
      </c>
      <c r="J182" s="230">
        <v>17</v>
      </c>
      <c r="K182" s="230" t="s">
        <v>2125</v>
      </c>
      <c r="L182" s="75"/>
      <c r="M182" s="75"/>
      <c r="N182" s="75"/>
      <c r="O182" s="256"/>
    </row>
    <row r="183" spans="1:16" ht="15.75">
      <c r="H183" s="76" t="s">
        <v>466</v>
      </c>
      <c r="I183" s="230" t="s">
        <v>2126</v>
      </c>
      <c r="J183" s="230">
        <v>117</v>
      </c>
      <c r="K183" s="230" t="s">
        <v>2125</v>
      </c>
      <c r="L183" s="75"/>
      <c r="M183" s="75"/>
      <c r="N183" s="75"/>
      <c r="O183" s="256"/>
    </row>
    <row r="184" spans="1:16" ht="29.45">
      <c r="B184" s="86" t="s">
        <v>2183</v>
      </c>
      <c r="C184" s="113" t="s">
        <v>1707</v>
      </c>
      <c r="D184" s="113" t="s">
        <v>259</v>
      </c>
      <c r="H184" s="76" t="s">
        <v>438</v>
      </c>
      <c r="I184" s="230" t="s">
        <v>2136</v>
      </c>
      <c r="J184" s="230">
        <v>7</v>
      </c>
      <c r="K184" s="230" t="s">
        <v>2125</v>
      </c>
      <c r="L184" s="75"/>
      <c r="M184" s="75"/>
      <c r="N184" s="75"/>
      <c r="O184" s="256"/>
    </row>
    <row r="185" spans="1:16" ht="15.75">
      <c r="H185" s="76" t="s">
        <v>1018</v>
      </c>
      <c r="I185" s="74" t="s">
        <v>2133</v>
      </c>
      <c r="J185" s="230">
        <v>27</v>
      </c>
      <c r="K185" s="230" t="s">
        <v>2125</v>
      </c>
      <c r="L185" s="75"/>
      <c r="M185" s="75"/>
      <c r="N185" s="75"/>
      <c r="O185" s="256"/>
    </row>
    <row r="186" spans="1:16" ht="15.75">
      <c r="A186" s="73"/>
      <c r="B186" s="73"/>
      <c r="C186" s="73"/>
      <c r="D186" s="73"/>
      <c r="E186" s="73"/>
      <c r="F186" s="73"/>
      <c r="G186" s="73"/>
      <c r="H186" s="88" t="s">
        <v>2129</v>
      </c>
      <c r="I186" s="232" t="s">
        <v>2130</v>
      </c>
      <c r="J186" s="232">
        <v>6</v>
      </c>
      <c r="K186" s="232" t="s">
        <v>2125</v>
      </c>
      <c r="L186" s="102"/>
      <c r="M186" s="102"/>
      <c r="N186" s="232">
        <v>570</v>
      </c>
      <c r="O186" s="257"/>
      <c r="P186" s="73"/>
    </row>
    <row r="187" spans="1:16" ht="29.45">
      <c r="A187" s="81"/>
      <c r="B187" s="81"/>
      <c r="C187" s="81"/>
      <c r="D187" s="81"/>
      <c r="E187" s="81"/>
      <c r="F187" s="81"/>
      <c r="G187" s="81"/>
      <c r="H187" s="235" t="s">
        <v>1708</v>
      </c>
      <c r="I187" s="229"/>
      <c r="J187" s="231">
        <v>396</v>
      </c>
      <c r="K187" s="231" t="s">
        <v>2125</v>
      </c>
      <c r="L187" s="98"/>
      <c r="M187" s="98"/>
      <c r="N187" s="98"/>
      <c r="O187" s="255">
        <v>261</v>
      </c>
      <c r="P187" s="81"/>
    </row>
    <row r="188" spans="1:16" ht="15.75">
      <c r="H188" s="76" t="s">
        <v>470</v>
      </c>
      <c r="I188" s="230" t="s">
        <v>471</v>
      </c>
      <c r="J188" s="230">
        <v>17</v>
      </c>
      <c r="K188" s="230" t="s">
        <v>2125</v>
      </c>
      <c r="L188" s="75"/>
      <c r="M188" s="75"/>
      <c r="N188" s="75"/>
      <c r="O188" s="256"/>
    </row>
    <row r="189" spans="1:16" ht="15.75">
      <c r="H189" s="76" t="s">
        <v>466</v>
      </c>
      <c r="I189" s="230" t="s">
        <v>2126</v>
      </c>
      <c r="J189" s="230">
        <v>117</v>
      </c>
      <c r="K189" s="230" t="s">
        <v>2125</v>
      </c>
      <c r="L189" s="75"/>
      <c r="M189" s="75"/>
      <c r="N189" s="75"/>
      <c r="O189" s="256"/>
    </row>
    <row r="190" spans="1:16" ht="29.45">
      <c r="B190" s="86" t="s">
        <v>2183</v>
      </c>
      <c r="C190" s="113" t="s">
        <v>1708</v>
      </c>
      <c r="D190" s="113" t="s">
        <v>263</v>
      </c>
      <c r="H190" s="76" t="s">
        <v>438</v>
      </c>
      <c r="I190" s="230" t="s">
        <v>2136</v>
      </c>
      <c r="J190" s="230">
        <v>7</v>
      </c>
      <c r="K190" s="230" t="s">
        <v>2125</v>
      </c>
      <c r="L190" s="75"/>
      <c r="M190" s="75"/>
      <c r="N190" s="75"/>
      <c r="O190" s="256"/>
    </row>
    <row r="191" spans="1:16" ht="15.75">
      <c r="H191" s="76" t="s">
        <v>1018</v>
      </c>
      <c r="I191" s="74" t="s">
        <v>2133</v>
      </c>
      <c r="J191" s="230">
        <v>27</v>
      </c>
      <c r="K191" s="230" t="s">
        <v>2125</v>
      </c>
      <c r="L191" s="75"/>
      <c r="M191" s="75"/>
      <c r="N191" s="75"/>
      <c r="O191" s="256"/>
    </row>
    <row r="192" spans="1:16" ht="15.75">
      <c r="A192" s="73"/>
      <c r="B192" s="73"/>
      <c r="C192" s="73"/>
      <c r="D192" s="73"/>
      <c r="E192" s="73"/>
      <c r="F192" s="73"/>
      <c r="G192" s="73"/>
      <c r="H192" s="88" t="s">
        <v>2129</v>
      </c>
      <c r="I192" s="232" t="s">
        <v>2130</v>
      </c>
      <c r="J192" s="232">
        <v>6</v>
      </c>
      <c r="K192" s="232" t="s">
        <v>2125</v>
      </c>
      <c r="L192" s="102"/>
      <c r="M192" s="102"/>
      <c r="N192" s="232">
        <v>570</v>
      </c>
      <c r="O192" s="257"/>
      <c r="P192" s="73"/>
    </row>
    <row r="193" spans="1:16" ht="29.45">
      <c r="A193" s="81"/>
      <c r="B193" s="81"/>
      <c r="C193" s="81"/>
      <c r="D193" s="81"/>
      <c r="E193" s="81"/>
      <c r="F193" s="81"/>
      <c r="G193" s="81"/>
      <c r="H193" s="235" t="s">
        <v>278</v>
      </c>
      <c r="I193" s="229"/>
      <c r="J193" s="231">
        <v>396</v>
      </c>
      <c r="K193" s="231" t="s">
        <v>2125</v>
      </c>
      <c r="L193" s="98"/>
      <c r="M193" s="98"/>
      <c r="N193" s="98"/>
      <c r="O193" s="255">
        <v>261</v>
      </c>
      <c r="P193" s="81"/>
    </row>
    <row r="194" spans="1:16" ht="15.75">
      <c r="H194" s="76" t="s">
        <v>470</v>
      </c>
      <c r="I194" s="230" t="s">
        <v>471</v>
      </c>
      <c r="J194" s="230">
        <v>17</v>
      </c>
      <c r="K194" s="230" t="s">
        <v>2125</v>
      </c>
      <c r="L194" s="75"/>
      <c r="M194" s="75"/>
      <c r="N194" s="75"/>
      <c r="O194" s="256"/>
    </row>
    <row r="195" spans="1:16" ht="15.75">
      <c r="H195" s="76" t="s">
        <v>466</v>
      </c>
      <c r="I195" s="230" t="s">
        <v>2126</v>
      </c>
      <c r="J195" s="230">
        <v>117</v>
      </c>
      <c r="K195" s="230" t="s">
        <v>2125</v>
      </c>
      <c r="L195" s="75"/>
      <c r="M195" s="75"/>
      <c r="N195" s="75"/>
      <c r="O195" s="256"/>
    </row>
    <row r="196" spans="1:16" ht="29.45">
      <c r="B196" s="86" t="s">
        <v>2183</v>
      </c>
      <c r="C196" s="113" t="s">
        <v>278</v>
      </c>
      <c r="D196" s="113" t="s">
        <v>279</v>
      </c>
      <c r="H196" s="76" t="s">
        <v>438</v>
      </c>
      <c r="I196" s="230" t="s">
        <v>2136</v>
      </c>
      <c r="J196" s="230">
        <v>7</v>
      </c>
      <c r="K196" s="230" t="s">
        <v>2125</v>
      </c>
      <c r="L196" s="75"/>
      <c r="M196" s="75"/>
      <c r="N196" s="75"/>
      <c r="O196" s="256"/>
    </row>
    <row r="197" spans="1:16" ht="15.75">
      <c r="H197" s="76" t="s">
        <v>1018</v>
      </c>
      <c r="I197" s="74" t="s">
        <v>2133</v>
      </c>
      <c r="J197" s="230">
        <v>27</v>
      </c>
      <c r="K197" s="230" t="s">
        <v>2125</v>
      </c>
      <c r="L197" s="75"/>
      <c r="M197" s="75"/>
      <c r="N197" s="75"/>
      <c r="O197" s="256"/>
    </row>
    <row r="198" spans="1:16" ht="15.75">
      <c r="H198" s="76" t="s">
        <v>2129</v>
      </c>
      <c r="I198" s="230" t="s">
        <v>2130</v>
      </c>
      <c r="J198" s="230">
        <v>6</v>
      </c>
      <c r="K198" s="230" t="s">
        <v>2125</v>
      </c>
      <c r="L198" s="75"/>
      <c r="M198" s="75"/>
      <c r="N198" s="230">
        <v>570</v>
      </c>
      <c r="O198" s="256"/>
    </row>
    <row r="199" spans="1:16" s="81" customFormat="1">
      <c r="H199" s="184" t="s">
        <v>373</v>
      </c>
      <c r="I199" s="109" t="s">
        <v>2184</v>
      </c>
      <c r="J199" s="109">
        <v>300</v>
      </c>
      <c r="K199" s="109" t="s">
        <v>2125</v>
      </c>
      <c r="L199" s="71"/>
      <c r="M199" s="71"/>
      <c r="N199" s="71"/>
      <c r="O199" s="261">
        <v>524</v>
      </c>
    </row>
    <row r="200" spans="1:16">
      <c r="H200" s="181" t="s">
        <v>466</v>
      </c>
      <c r="I200" s="110" t="s">
        <v>2126</v>
      </c>
      <c r="J200" s="110">
        <v>21</v>
      </c>
      <c r="K200" s="110" t="s">
        <v>2125</v>
      </c>
      <c r="L200" s="72"/>
      <c r="M200" s="72"/>
      <c r="N200" s="72"/>
      <c r="O200" s="262"/>
    </row>
    <row r="201" spans="1:16">
      <c r="H201" s="181" t="s">
        <v>470</v>
      </c>
      <c r="I201" s="110" t="s">
        <v>471</v>
      </c>
      <c r="J201" s="110">
        <v>15</v>
      </c>
      <c r="K201" s="110" t="s">
        <v>2125</v>
      </c>
      <c r="L201" s="72"/>
      <c r="M201" s="72"/>
      <c r="N201" s="72"/>
      <c r="O201" s="262"/>
    </row>
    <row r="202" spans="1:16">
      <c r="B202" s="87" t="s">
        <v>2185</v>
      </c>
      <c r="C202" s="86" t="s">
        <v>1731</v>
      </c>
      <c r="D202" s="87" t="s">
        <v>374</v>
      </c>
      <c r="H202" s="181" t="s">
        <v>438</v>
      </c>
      <c r="I202" s="110" t="s">
        <v>2136</v>
      </c>
      <c r="J202" s="110">
        <v>4</v>
      </c>
      <c r="K202" s="110" t="s">
        <v>2125</v>
      </c>
      <c r="L202" s="72"/>
      <c r="M202" s="72"/>
      <c r="N202" s="72"/>
      <c r="O202" s="262"/>
    </row>
    <row r="203" spans="1:16" ht="15.75" customHeight="1">
      <c r="H203" s="181" t="s">
        <v>2129</v>
      </c>
      <c r="I203" s="110" t="s">
        <v>2130</v>
      </c>
      <c r="J203" s="110">
        <v>4</v>
      </c>
      <c r="K203" s="110" t="s">
        <v>2125</v>
      </c>
      <c r="L203" s="72"/>
      <c r="M203" s="72"/>
      <c r="N203" s="72"/>
      <c r="O203" s="262"/>
    </row>
    <row r="204" spans="1:16" ht="15.75" customHeight="1">
      <c r="H204" s="181" t="s">
        <v>1018</v>
      </c>
      <c r="I204" s="110" t="s">
        <v>2133</v>
      </c>
      <c r="J204" s="110">
        <v>30</v>
      </c>
      <c r="K204" s="110" t="s">
        <v>2125</v>
      </c>
      <c r="L204" s="72"/>
      <c r="M204" s="72"/>
      <c r="N204" s="72"/>
      <c r="O204" s="262"/>
    </row>
    <row r="205" spans="1:16" ht="15.75" customHeight="1">
      <c r="H205" s="181" t="s">
        <v>2131</v>
      </c>
      <c r="I205" s="110" t="s">
        <v>2132</v>
      </c>
      <c r="J205" s="110">
        <v>0.33</v>
      </c>
      <c r="K205" s="110" t="s">
        <v>2125</v>
      </c>
      <c r="L205" s="72"/>
      <c r="M205" s="72"/>
      <c r="N205" s="72"/>
      <c r="O205" s="262"/>
    </row>
    <row r="206" spans="1:16" ht="15.75" customHeight="1">
      <c r="H206" s="181" t="s">
        <v>479</v>
      </c>
      <c r="I206" s="110" t="s">
        <v>480</v>
      </c>
      <c r="J206" s="110">
        <v>5</v>
      </c>
      <c r="K206" s="110" t="s">
        <v>2125</v>
      </c>
      <c r="L206" s="72"/>
      <c r="M206" s="72"/>
      <c r="N206" s="72"/>
      <c r="O206" s="262"/>
    </row>
    <row r="207" spans="1:16" ht="15.75" customHeight="1">
      <c r="H207" s="182" t="s">
        <v>73</v>
      </c>
      <c r="I207" s="110" t="s">
        <v>74</v>
      </c>
      <c r="J207" s="110">
        <v>1</v>
      </c>
      <c r="K207" s="110" t="s">
        <v>2125</v>
      </c>
      <c r="L207" s="72"/>
      <c r="M207" s="72"/>
      <c r="N207" s="72"/>
      <c r="O207" s="262"/>
    </row>
    <row r="208" spans="1:16" ht="15.75" customHeight="1">
      <c r="H208" s="181" t="s">
        <v>1070</v>
      </c>
      <c r="I208" s="110" t="s">
        <v>2137</v>
      </c>
      <c r="J208" s="110">
        <v>420</v>
      </c>
      <c r="K208" s="110" t="s">
        <v>2125</v>
      </c>
      <c r="L208" s="72"/>
      <c r="M208" s="72"/>
      <c r="N208" s="72"/>
      <c r="O208" s="262"/>
    </row>
    <row r="209" spans="2:15" ht="15.75" customHeight="1">
      <c r="F209" s="73"/>
      <c r="H209" s="183" t="s">
        <v>262</v>
      </c>
      <c r="I209" s="236" t="s">
        <v>2186</v>
      </c>
      <c r="J209" s="111">
        <v>11</v>
      </c>
      <c r="K209" s="111" t="s">
        <v>2125</v>
      </c>
      <c r="L209" s="112"/>
      <c r="M209" s="112"/>
      <c r="N209" s="112">
        <f>SUM(J199:J209)</f>
        <v>811.32999999999993</v>
      </c>
      <c r="O209" s="263"/>
    </row>
    <row r="210" spans="2:15" s="81" customFormat="1">
      <c r="F210"/>
      <c r="H210" s="184" t="s">
        <v>376</v>
      </c>
      <c r="I210" s="109" t="s">
        <v>2184</v>
      </c>
      <c r="J210" s="109">
        <v>300</v>
      </c>
      <c r="K210" s="109" t="s">
        <v>2125</v>
      </c>
      <c r="L210" s="71"/>
      <c r="M210" s="71"/>
      <c r="N210" s="71"/>
      <c r="O210" s="261">
        <v>524</v>
      </c>
    </row>
    <row r="211" spans="2:15">
      <c r="H211" s="181" t="s">
        <v>466</v>
      </c>
      <c r="I211" s="110" t="s">
        <v>2126</v>
      </c>
      <c r="J211" s="110">
        <v>21</v>
      </c>
      <c r="K211" s="110" t="s">
        <v>2125</v>
      </c>
      <c r="L211" s="72"/>
      <c r="M211" s="72"/>
      <c r="N211" s="72"/>
      <c r="O211" s="262"/>
    </row>
    <row r="212" spans="2:15">
      <c r="H212" s="181" t="s">
        <v>470</v>
      </c>
      <c r="I212" s="110" t="s">
        <v>471</v>
      </c>
      <c r="J212" s="110">
        <v>15</v>
      </c>
      <c r="K212" s="110" t="s">
        <v>2125</v>
      </c>
      <c r="L212" s="72"/>
      <c r="M212" s="72"/>
      <c r="N212" s="72"/>
      <c r="O212" s="262"/>
    </row>
    <row r="213" spans="2:15">
      <c r="B213" s="87" t="s">
        <v>2185</v>
      </c>
      <c r="C213" s="104" t="s">
        <v>1732</v>
      </c>
      <c r="D213" s="105" t="s">
        <v>377</v>
      </c>
      <c r="H213" s="181" t="s">
        <v>438</v>
      </c>
      <c r="I213" s="110" t="s">
        <v>2136</v>
      </c>
      <c r="J213" s="110">
        <v>4</v>
      </c>
      <c r="K213" s="110" t="s">
        <v>2125</v>
      </c>
      <c r="L213" s="72"/>
      <c r="M213" s="72"/>
      <c r="N213" s="72"/>
      <c r="O213" s="262"/>
    </row>
    <row r="214" spans="2:15" ht="15.75" customHeight="1">
      <c r="H214" s="181" t="s">
        <v>2129</v>
      </c>
      <c r="I214" s="110" t="s">
        <v>2130</v>
      </c>
      <c r="J214" s="110">
        <v>4</v>
      </c>
      <c r="K214" s="110" t="s">
        <v>2125</v>
      </c>
      <c r="L214" s="72"/>
      <c r="M214" s="72"/>
      <c r="N214" s="72"/>
      <c r="O214" s="262"/>
    </row>
    <row r="215" spans="2:15" ht="15.75" customHeight="1">
      <c r="H215" s="181" t="s">
        <v>1018</v>
      </c>
      <c r="I215" s="110" t="s">
        <v>2133</v>
      </c>
      <c r="J215" s="110">
        <v>30</v>
      </c>
      <c r="K215" s="110" t="s">
        <v>2125</v>
      </c>
      <c r="L215" s="72"/>
      <c r="M215" s="72"/>
      <c r="N215" s="72"/>
      <c r="O215" s="262"/>
    </row>
    <row r="216" spans="2:15" ht="15.75" customHeight="1">
      <c r="H216" s="181" t="s">
        <v>2131</v>
      </c>
      <c r="I216" s="110" t="s">
        <v>2132</v>
      </c>
      <c r="J216" s="110">
        <v>0.33</v>
      </c>
      <c r="K216" s="110" t="s">
        <v>2125</v>
      </c>
      <c r="L216" s="72"/>
      <c r="M216" s="72"/>
      <c r="N216" s="72"/>
      <c r="O216" s="262"/>
    </row>
    <row r="217" spans="2:15" ht="15.75" customHeight="1">
      <c r="H217" s="181" t="s">
        <v>479</v>
      </c>
      <c r="I217" s="110" t="s">
        <v>480</v>
      </c>
      <c r="J217" s="110">
        <v>5</v>
      </c>
      <c r="K217" s="110" t="s">
        <v>2125</v>
      </c>
      <c r="L217" s="72"/>
      <c r="M217" s="72"/>
      <c r="N217" s="72"/>
      <c r="O217" s="262"/>
    </row>
    <row r="218" spans="2:15" ht="15.75" customHeight="1">
      <c r="H218" s="182" t="s">
        <v>73</v>
      </c>
      <c r="I218" s="110" t="s">
        <v>74</v>
      </c>
      <c r="J218" s="110">
        <v>1</v>
      </c>
      <c r="K218" s="110" t="s">
        <v>2125</v>
      </c>
      <c r="L218" s="72"/>
      <c r="M218" s="72"/>
      <c r="N218" s="72"/>
      <c r="O218" s="262"/>
    </row>
    <row r="219" spans="2:15" ht="15.75" customHeight="1">
      <c r="H219" s="181" t="s">
        <v>1070</v>
      </c>
      <c r="I219" s="110" t="s">
        <v>2137</v>
      </c>
      <c r="J219" s="110">
        <v>420</v>
      </c>
      <c r="K219" s="110" t="s">
        <v>2125</v>
      </c>
      <c r="L219" s="72"/>
      <c r="M219" s="72"/>
      <c r="N219" s="72"/>
      <c r="O219" s="262"/>
    </row>
    <row r="220" spans="2:15" ht="15.75" customHeight="1">
      <c r="H220" s="183" t="s">
        <v>262</v>
      </c>
      <c r="I220" s="236" t="s">
        <v>2186</v>
      </c>
      <c r="J220" s="111">
        <v>11</v>
      </c>
      <c r="K220" s="111" t="s">
        <v>2125</v>
      </c>
      <c r="L220" s="112"/>
      <c r="M220" s="112"/>
      <c r="N220" s="112">
        <f>SUM(J210:J220)</f>
        <v>811.32999999999993</v>
      </c>
      <c r="O220" s="263"/>
    </row>
    <row r="221" spans="2:15" s="81" customFormat="1">
      <c r="H221" s="184" t="s">
        <v>2187</v>
      </c>
      <c r="I221" s="109" t="s">
        <v>2184</v>
      </c>
      <c r="J221" s="109">
        <v>300</v>
      </c>
      <c r="K221" s="109" t="s">
        <v>2125</v>
      </c>
      <c r="L221" s="71"/>
      <c r="M221" s="71"/>
      <c r="N221" s="71"/>
      <c r="O221" s="261">
        <v>524</v>
      </c>
    </row>
    <row r="222" spans="2:15">
      <c r="H222" s="181" t="s">
        <v>466</v>
      </c>
      <c r="I222" s="110" t="s">
        <v>2126</v>
      </c>
      <c r="J222" s="110">
        <v>21</v>
      </c>
      <c r="K222" s="110" t="s">
        <v>2125</v>
      </c>
      <c r="L222" s="72"/>
      <c r="M222" s="72"/>
      <c r="N222" s="72"/>
      <c r="O222" s="262"/>
    </row>
    <row r="223" spans="2:15">
      <c r="H223" s="181" t="s">
        <v>470</v>
      </c>
      <c r="I223" s="110" t="s">
        <v>471</v>
      </c>
      <c r="J223" s="110">
        <v>15</v>
      </c>
      <c r="K223" s="110" t="s">
        <v>2125</v>
      </c>
      <c r="L223" s="72"/>
      <c r="M223" s="72"/>
      <c r="N223" s="72"/>
      <c r="O223" s="262"/>
    </row>
    <row r="224" spans="2:15">
      <c r="B224" s="87" t="s">
        <v>2185</v>
      </c>
      <c r="C224" s="86" t="s">
        <v>1733</v>
      </c>
      <c r="D224" s="87" t="s">
        <v>389</v>
      </c>
      <c r="H224" s="181" t="s">
        <v>438</v>
      </c>
      <c r="I224" s="110" t="s">
        <v>2136</v>
      </c>
      <c r="J224" s="110">
        <v>4</v>
      </c>
      <c r="K224" s="110" t="s">
        <v>2125</v>
      </c>
      <c r="L224" s="72"/>
      <c r="M224" s="72"/>
      <c r="N224" s="72"/>
      <c r="O224" s="262"/>
    </row>
    <row r="225" spans="2:16">
      <c r="H225" s="181" t="s">
        <v>2129</v>
      </c>
      <c r="I225" s="110" t="s">
        <v>2130</v>
      </c>
      <c r="J225" s="110">
        <v>4</v>
      </c>
      <c r="K225" s="110" t="s">
        <v>2125</v>
      </c>
      <c r="L225" s="72"/>
      <c r="M225" s="72"/>
      <c r="N225" s="72"/>
      <c r="O225" s="262"/>
    </row>
    <row r="226" spans="2:16">
      <c r="H226" s="181" t="s">
        <v>1018</v>
      </c>
      <c r="I226" s="110" t="s">
        <v>2133</v>
      </c>
      <c r="J226" s="110">
        <v>30</v>
      </c>
      <c r="K226" s="110" t="s">
        <v>2125</v>
      </c>
      <c r="L226" s="72"/>
      <c r="M226" s="72"/>
      <c r="N226" s="72"/>
      <c r="O226" s="262"/>
    </row>
    <row r="227" spans="2:16">
      <c r="H227" s="181" t="s">
        <v>2131</v>
      </c>
      <c r="I227" s="110" t="s">
        <v>2132</v>
      </c>
      <c r="J227" s="110">
        <v>0.33</v>
      </c>
      <c r="K227" s="110" t="s">
        <v>2125</v>
      </c>
      <c r="L227" s="72"/>
      <c r="M227" s="72"/>
      <c r="N227" s="72"/>
      <c r="O227" s="262"/>
    </row>
    <row r="228" spans="2:16">
      <c r="H228" s="181" t="s">
        <v>479</v>
      </c>
      <c r="I228" s="110" t="s">
        <v>480</v>
      </c>
      <c r="J228" s="110">
        <v>5</v>
      </c>
      <c r="K228" s="110" t="s">
        <v>2125</v>
      </c>
      <c r="L228" s="72"/>
      <c r="M228" s="72"/>
      <c r="N228" s="72"/>
      <c r="O228" s="262"/>
    </row>
    <row r="229" spans="2:16" ht="15.75">
      <c r="H229" s="182" t="s">
        <v>73</v>
      </c>
      <c r="I229" s="110" t="s">
        <v>74</v>
      </c>
      <c r="J229" s="110">
        <v>1</v>
      </c>
      <c r="K229" s="110" t="s">
        <v>2125</v>
      </c>
      <c r="L229" s="72"/>
      <c r="M229" s="72"/>
      <c r="N229" s="72"/>
      <c r="O229" s="262"/>
    </row>
    <row r="230" spans="2:16">
      <c r="H230" s="181" t="s">
        <v>1070</v>
      </c>
      <c r="I230" s="110" t="s">
        <v>2137</v>
      </c>
      <c r="J230" s="110">
        <v>420</v>
      </c>
      <c r="K230" s="110" t="s">
        <v>2125</v>
      </c>
      <c r="L230" s="72"/>
      <c r="M230" s="72"/>
      <c r="N230" s="72"/>
      <c r="O230" s="262"/>
    </row>
    <row r="231" spans="2:16" ht="17.25" customHeight="1">
      <c r="F231" s="73"/>
      <c r="G231" s="73"/>
      <c r="H231" s="183" t="s">
        <v>262</v>
      </c>
      <c r="I231" s="236" t="s">
        <v>2186</v>
      </c>
      <c r="J231" s="111">
        <v>11</v>
      </c>
      <c r="K231" s="111" t="s">
        <v>2125</v>
      </c>
      <c r="L231" s="112"/>
      <c r="M231" s="112"/>
      <c r="N231" s="112">
        <f>SUM(J221:J231)</f>
        <v>811.32999999999993</v>
      </c>
      <c r="O231" s="263"/>
    </row>
    <row r="232" spans="2:16" s="81" customFormat="1" ht="15" customHeight="1">
      <c r="F232"/>
      <c r="G232"/>
      <c r="H232" s="237" t="s">
        <v>405</v>
      </c>
      <c r="I232" s="79" t="s">
        <v>2188</v>
      </c>
      <c r="J232" s="74">
        <v>419</v>
      </c>
      <c r="K232" s="74" t="s">
        <v>2125</v>
      </c>
      <c r="L232" s="75"/>
      <c r="M232" s="75"/>
      <c r="N232" s="75"/>
      <c r="O232" s="259">
        <v>559</v>
      </c>
      <c r="P232"/>
    </row>
    <row r="233" spans="2:16">
      <c r="H233" s="74" t="s">
        <v>2145</v>
      </c>
      <c r="I233" s="74" t="s">
        <v>2146</v>
      </c>
      <c r="J233" s="74">
        <v>218</v>
      </c>
      <c r="K233" s="74" t="s">
        <v>2125</v>
      </c>
      <c r="L233" s="75"/>
      <c r="M233" s="75"/>
      <c r="N233" s="75"/>
      <c r="O233" s="259"/>
    </row>
    <row r="234" spans="2:16" ht="15.75">
      <c r="H234" s="76" t="s">
        <v>2129</v>
      </c>
      <c r="I234" s="74" t="s">
        <v>2130</v>
      </c>
      <c r="J234" s="74">
        <v>11</v>
      </c>
      <c r="K234" s="74" t="s">
        <v>2125</v>
      </c>
      <c r="L234" s="75"/>
      <c r="M234" s="75"/>
      <c r="N234" s="75"/>
      <c r="O234" s="259"/>
    </row>
    <row r="235" spans="2:16" ht="15.75">
      <c r="B235" t="s">
        <v>2189</v>
      </c>
      <c r="C235" s="10" t="s">
        <v>1710</v>
      </c>
      <c r="D235" t="s">
        <v>406</v>
      </c>
      <c r="H235" s="76" t="s">
        <v>470</v>
      </c>
      <c r="I235" s="74" t="s">
        <v>471</v>
      </c>
      <c r="J235" s="74">
        <v>21</v>
      </c>
      <c r="K235" s="74" t="s">
        <v>2125</v>
      </c>
      <c r="L235" s="75"/>
      <c r="M235" s="75"/>
      <c r="N235" s="75"/>
      <c r="O235" s="259"/>
    </row>
    <row r="236" spans="2:16" ht="15.75">
      <c r="H236" s="76" t="s">
        <v>466</v>
      </c>
      <c r="I236" s="74" t="s">
        <v>2126</v>
      </c>
      <c r="J236" s="74">
        <v>28</v>
      </c>
      <c r="K236" s="74" t="s">
        <v>2125</v>
      </c>
      <c r="L236" s="75"/>
      <c r="M236" s="75"/>
      <c r="N236" s="75"/>
      <c r="O236" s="259"/>
    </row>
    <row r="237" spans="2:16" ht="15.75">
      <c r="H237" s="76" t="s">
        <v>1018</v>
      </c>
      <c r="I237" s="74" t="s">
        <v>2133</v>
      </c>
      <c r="J237" s="74">
        <v>33</v>
      </c>
      <c r="K237" s="74" t="s">
        <v>2125</v>
      </c>
      <c r="L237" s="75"/>
      <c r="M237" s="75"/>
      <c r="N237" s="75"/>
      <c r="O237" s="259"/>
    </row>
    <row r="238" spans="2:16" ht="15.75">
      <c r="H238" s="76" t="s">
        <v>2131</v>
      </c>
      <c r="I238" s="74" t="s">
        <v>2132</v>
      </c>
      <c r="J238" s="74">
        <v>2</v>
      </c>
      <c r="K238" s="74" t="s">
        <v>2125</v>
      </c>
      <c r="L238" s="75"/>
      <c r="M238" s="75"/>
      <c r="N238" s="75"/>
      <c r="O238" s="259"/>
    </row>
    <row r="239" spans="2:16" ht="15.75">
      <c r="H239" s="76" t="s">
        <v>262</v>
      </c>
      <c r="I239" s="230" t="s">
        <v>2149</v>
      </c>
      <c r="J239" s="74">
        <v>31</v>
      </c>
      <c r="K239" s="74" t="s">
        <v>2125</v>
      </c>
      <c r="L239" s="75"/>
      <c r="M239" s="75"/>
      <c r="N239" s="75"/>
      <c r="O239" s="259"/>
    </row>
    <row r="240" spans="2:16">
      <c r="H240" s="74" t="s">
        <v>1070</v>
      </c>
      <c r="I240" s="74" t="s">
        <v>2137</v>
      </c>
      <c r="J240" s="74">
        <v>224</v>
      </c>
      <c r="K240" s="74" t="s">
        <v>2125</v>
      </c>
      <c r="L240" s="75"/>
      <c r="M240" s="75"/>
      <c r="N240" s="75"/>
      <c r="O240" s="259"/>
    </row>
    <row r="241" spans="2:16" ht="15.75">
      <c r="H241" s="76" t="s">
        <v>106</v>
      </c>
      <c r="I241" s="74" t="s">
        <v>107</v>
      </c>
      <c r="J241" s="74">
        <v>1</v>
      </c>
      <c r="K241" s="74" t="s">
        <v>2125</v>
      </c>
      <c r="L241" s="75"/>
      <c r="M241" s="75"/>
      <c r="N241" s="74">
        <v>988</v>
      </c>
      <c r="O241" s="260"/>
    </row>
    <row r="242" spans="2:16" s="81" customFormat="1" ht="15" customHeight="1">
      <c r="H242" s="107" t="s">
        <v>311</v>
      </c>
      <c r="I242" s="82"/>
      <c r="J242" s="83">
        <v>483</v>
      </c>
      <c r="K242" s="83" t="s">
        <v>2125</v>
      </c>
      <c r="L242" s="98"/>
      <c r="M242" s="98"/>
      <c r="N242" s="98"/>
      <c r="O242" s="258">
        <v>421</v>
      </c>
      <c r="P242" s="98"/>
    </row>
    <row r="243" spans="2:16" ht="15.75">
      <c r="H243" s="76" t="s">
        <v>1018</v>
      </c>
      <c r="I243" s="74" t="s">
        <v>2133</v>
      </c>
      <c r="J243" s="74">
        <v>27</v>
      </c>
      <c r="K243" s="74" t="s">
        <v>2125</v>
      </c>
      <c r="L243" s="75"/>
      <c r="M243" s="75"/>
      <c r="N243" s="75"/>
      <c r="O243" s="259"/>
      <c r="P243" s="75"/>
    </row>
    <row r="244" spans="2:16" ht="15.75">
      <c r="H244" s="76" t="s">
        <v>466</v>
      </c>
      <c r="I244" s="74" t="s">
        <v>2126</v>
      </c>
      <c r="J244" s="74">
        <v>30</v>
      </c>
      <c r="K244" s="74" t="s">
        <v>2125</v>
      </c>
      <c r="L244" s="75"/>
      <c r="M244" s="75"/>
      <c r="N244" s="75"/>
      <c r="O244" s="259"/>
      <c r="P244" s="75"/>
    </row>
    <row r="245" spans="2:16" ht="29.45">
      <c r="B245" s="86" t="s">
        <v>2190</v>
      </c>
      <c r="C245" s="10" t="s">
        <v>1711</v>
      </c>
      <c r="D245" t="s">
        <v>2191</v>
      </c>
      <c r="H245" s="76" t="s">
        <v>470</v>
      </c>
      <c r="I245" s="74" t="s">
        <v>471</v>
      </c>
      <c r="J245" s="74">
        <v>19</v>
      </c>
      <c r="K245" s="74" t="s">
        <v>2125</v>
      </c>
      <c r="L245" s="75"/>
      <c r="M245" s="75"/>
      <c r="N245" s="75"/>
      <c r="O245" s="259"/>
      <c r="P245" s="75"/>
    </row>
    <row r="246" spans="2:16" ht="15.75">
      <c r="H246" s="76" t="s">
        <v>2129</v>
      </c>
      <c r="I246" s="74" t="s">
        <v>2130</v>
      </c>
      <c r="J246" s="74">
        <v>7</v>
      </c>
      <c r="K246" s="74" t="s">
        <v>2125</v>
      </c>
      <c r="L246" s="75"/>
      <c r="M246" s="75"/>
      <c r="N246" s="75"/>
      <c r="O246" s="259"/>
      <c r="P246" s="75"/>
    </row>
    <row r="247" spans="2:16" ht="15.75">
      <c r="H247" s="76" t="s">
        <v>2131</v>
      </c>
      <c r="I247" s="74" t="s">
        <v>2132</v>
      </c>
      <c r="J247" s="74">
        <v>1</v>
      </c>
      <c r="K247" s="74" t="s">
        <v>2125</v>
      </c>
      <c r="L247" s="75"/>
      <c r="M247" s="75"/>
      <c r="N247" s="75"/>
      <c r="O247" s="259"/>
      <c r="P247" s="75"/>
    </row>
    <row r="248" spans="2:16" ht="15.75">
      <c r="H248" s="76" t="s">
        <v>438</v>
      </c>
      <c r="I248" s="74" t="s">
        <v>2148</v>
      </c>
      <c r="J248" s="74">
        <v>12</v>
      </c>
      <c r="K248" s="74" t="s">
        <v>2125</v>
      </c>
      <c r="L248" s="75"/>
      <c r="M248" s="75"/>
      <c r="N248" s="75"/>
      <c r="O248" s="259"/>
      <c r="P248" s="75"/>
    </row>
    <row r="249" spans="2:16" ht="15.75">
      <c r="H249" s="76" t="s">
        <v>2134</v>
      </c>
      <c r="I249" s="74" t="s">
        <v>2135</v>
      </c>
      <c r="J249" s="74">
        <v>1</v>
      </c>
      <c r="K249" s="74" t="s">
        <v>2125</v>
      </c>
      <c r="L249" s="75"/>
      <c r="M249" s="75"/>
      <c r="N249" s="75"/>
      <c r="O249" s="259"/>
      <c r="P249" s="75"/>
    </row>
    <row r="250" spans="2:16" ht="15.75">
      <c r="H250" s="76" t="s">
        <v>106</v>
      </c>
      <c r="I250" s="74" t="s">
        <v>107</v>
      </c>
      <c r="J250" s="74">
        <v>2</v>
      </c>
      <c r="K250" s="74" t="s">
        <v>2125</v>
      </c>
      <c r="L250" s="75"/>
      <c r="M250" s="75"/>
      <c r="N250" s="75"/>
      <c r="O250" s="259"/>
      <c r="P250" s="75"/>
    </row>
    <row r="251" spans="2:16">
      <c r="H251" s="74" t="s">
        <v>1070</v>
      </c>
      <c r="I251" s="74" t="s">
        <v>2137</v>
      </c>
      <c r="J251" s="74">
        <v>133</v>
      </c>
      <c r="K251" s="74" t="s">
        <v>2125</v>
      </c>
      <c r="L251" s="75"/>
      <c r="M251" s="75"/>
      <c r="N251" s="74">
        <v>715</v>
      </c>
      <c r="O251" s="260"/>
      <c r="P251" s="75"/>
    </row>
    <row r="252" spans="2:16" s="81" customFormat="1">
      <c r="H252" s="107" t="s">
        <v>2192</v>
      </c>
      <c r="I252" s="82"/>
      <c r="J252" s="83">
        <v>483</v>
      </c>
      <c r="K252" s="83" t="s">
        <v>2125</v>
      </c>
      <c r="L252" s="98"/>
      <c r="M252" s="98"/>
      <c r="N252" s="98"/>
      <c r="O252" s="258">
        <v>421</v>
      </c>
    </row>
    <row r="253" spans="2:16" ht="15.75">
      <c r="H253" s="76" t="s">
        <v>1018</v>
      </c>
      <c r="I253" s="74" t="s">
        <v>2133</v>
      </c>
      <c r="J253" s="74">
        <v>27</v>
      </c>
      <c r="K253" s="74" t="s">
        <v>2125</v>
      </c>
      <c r="L253" s="75"/>
      <c r="M253" s="75"/>
      <c r="N253" s="75"/>
      <c r="O253" s="259"/>
    </row>
    <row r="254" spans="2:16" ht="15.75">
      <c r="H254" s="76" t="s">
        <v>466</v>
      </c>
      <c r="I254" s="74" t="s">
        <v>2126</v>
      </c>
      <c r="J254" s="74">
        <v>30</v>
      </c>
      <c r="K254" s="74" t="s">
        <v>2125</v>
      </c>
      <c r="L254" s="75"/>
      <c r="M254" s="75"/>
      <c r="N254" s="75"/>
      <c r="O254" s="259"/>
    </row>
    <row r="255" spans="2:16" ht="29.45">
      <c r="B255" s="86" t="s">
        <v>2190</v>
      </c>
      <c r="C255" s="10" t="s">
        <v>1712</v>
      </c>
      <c r="D255" t="s">
        <v>2193</v>
      </c>
      <c r="H255" s="76" t="s">
        <v>470</v>
      </c>
      <c r="I255" s="74" t="s">
        <v>471</v>
      </c>
      <c r="J255" s="74">
        <v>19</v>
      </c>
      <c r="K255" s="74" t="s">
        <v>2125</v>
      </c>
      <c r="L255" s="75"/>
      <c r="M255" s="75"/>
      <c r="N255" s="75"/>
      <c r="O255" s="259"/>
    </row>
    <row r="256" spans="2:16" ht="15.75">
      <c r="H256" s="76" t="s">
        <v>2129</v>
      </c>
      <c r="I256" s="74" t="s">
        <v>2130</v>
      </c>
      <c r="J256" s="74">
        <v>7</v>
      </c>
      <c r="K256" s="74" t="s">
        <v>2125</v>
      </c>
      <c r="L256" s="75"/>
      <c r="M256" s="75"/>
      <c r="N256" s="75"/>
      <c r="O256" s="259"/>
    </row>
    <row r="257" spans="2:15" ht="15.75">
      <c r="H257" s="76" t="s">
        <v>2131</v>
      </c>
      <c r="I257" s="74" t="s">
        <v>2132</v>
      </c>
      <c r="J257" s="74">
        <v>1</v>
      </c>
      <c r="K257" s="74" t="s">
        <v>2125</v>
      </c>
      <c r="L257" s="75"/>
      <c r="M257" s="75"/>
      <c r="N257" s="75"/>
      <c r="O257" s="259"/>
    </row>
    <row r="258" spans="2:15" ht="15.75">
      <c r="H258" s="76" t="s">
        <v>438</v>
      </c>
      <c r="I258" s="74" t="s">
        <v>2148</v>
      </c>
      <c r="J258" s="74">
        <v>12</v>
      </c>
      <c r="K258" s="74" t="s">
        <v>2125</v>
      </c>
      <c r="L258" s="75"/>
      <c r="M258" s="75"/>
      <c r="N258" s="75"/>
      <c r="O258" s="259"/>
    </row>
    <row r="259" spans="2:15" ht="15.75">
      <c r="H259" s="76" t="s">
        <v>2134</v>
      </c>
      <c r="I259" s="74" t="s">
        <v>2135</v>
      </c>
      <c r="J259" s="74">
        <v>1</v>
      </c>
      <c r="K259" s="74" t="s">
        <v>2125</v>
      </c>
      <c r="L259" s="75"/>
      <c r="M259" s="75"/>
      <c r="N259" s="75"/>
      <c r="O259" s="259"/>
    </row>
    <row r="260" spans="2:15" ht="15.75">
      <c r="H260" s="76" t="s">
        <v>106</v>
      </c>
      <c r="I260" s="74" t="s">
        <v>107</v>
      </c>
      <c r="J260" s="74">
        <v>2</v>
      </c>
      <c r="K260" s="74" t="s">
        <v>2125</v>
      </c>
      <c r="L260" s="75"/>
      <c r="M260" s="75"/>
      <c r="N260" s="75"/>
      <c r="O260" s="259"/>
    </row>
    <row r="261" spans="2:15" s="73" customFormat="1">
      <c r="H261" s="85" t="s">
        <v>1070</v>
      </c>
      <c r="I261" s="85" t="s">
        <v>2137</v>
      </c>
      <c r="J261" s="85">
        <v>133</v>
      </c>
      <c r="K261" s="85" t="s">
        <v>2125</v>
      </c>
      <c r="L261" s="102"/>
      <c r="M261" s="102"/>
      <c r="N261" s="85">
        <v>715</v>
      </c>
      <c r="O261" s="260"/>
    </row>
    <row r="262" spans="2:15" ht="15" customHeight="1">
      <c r="H262" s="92" t="s">
        <v>373</v>
      </c>
      <c r="I262" s="79"/>
      <c r="J262" s="74">
        <v>156</v>
      </c>
      <c r="K262" s="74" t="s">
        <v>2125</v>
      </c>
      <c r="L262" s="75"/>
      <c r="M262" s="75"/>
      <c r="N262" s="75"/>
      <c r="O262" s="258">
        <v>366</v>
      </c>
    </row>
    <row r="263" spans="2:15">
      <c r="H263" s="74" t="s">
        <v>2145</v>
      </c>
      <c r="I263" s="74" t="s">
        <v>2146</v>
      </c>
      <c r="J263" s="74">
        <v>211</v>
      </c>
      <c r="K263" s="74" t="s">
        <v>2125</v>
      </c>
      <c r="L263" s="75"/>
      <c r="M263" s="75"/>
      <c r="N263" s="75"/>
      <c r="O263" s="259"/>
    </row>
    <row r="264" spans="2:15" ht="15.75">
      <c r="H264" s="76" t="s">
        <v>470</v>
      </c>
      <c r="I264" s="74" t="s">
        <v>471</v>
      </c>
      <c r="J264" s="74">
        <v>13</v>
      </c>
      <c r="K264" s="74" t="s">
        <v>2125</v>
      </c>
      <c r="L264" s="75"/>
      <c r="M264" s="75"/>
      <c r="N264" s="75"/>
      <c r="O264" s="259"/>
    </row>
    <row r="265" spans="2:15" ht="15.75">
      <c r="B265" s="87" t="s">
        <v>2194</v>
      </c>
      <c r="C265" s="86" t="s">
        <v>1713</v>
      </c>
      <c r="D265" s="87" t="s">
        <v>2195</v>
      </c>
      <c r="H265" s="76" t="s">
        <v>466</v>
      </c>
      <c r="I265" s="74" t="s">
        <v>2126</v>
      </c>
      <c r="J265" s="74">
        <v>44</v>
      </c>
      <c r="K265" s="74" t="s">
        <v>2125</v>
      </c>
      <c r="L265" s="75"/>
      <c r="M265" s="75"/>
      <c r="N265" s="75"/>
      <c r="O265" s="259"/>
    </row>
    <row r="266" spans="2:15" ht="15.75">
      <c r="H266" s="76" t="s">
        <v>2129</v>
      </c>
      <c r="I266" s="74" t="s">
        <v>2130</v>
      </c>
      <c r="J266" s="74">
        <v>7</v>
      </c>
      <c r="K266" s="74" t="s">
        <v>2125</v>
      </c>
      <c r="L266" s="75"/>
      <c r="M266" s="75"/>
      <c r="N266" s="75"/>
      <c r="O266" s="259"/>
    </row>
    <row r="267" spans="2:15" ht="15.75">
      <c r="H267" s="76" t="s">
        <v>2131</v>
      </c>
      <c r="I267" s="74" t="s">
        <v>2132</v>
      </c>
      <c r="J267" s="74">
        <v>2</v>
      </c>
      <c r="K267" s="74" t="s">
        <v>2125</v>
      </c>
      <c r="L267" s="75"/>
      <c r="M267" s="75"/>
      <c r="N267" s="75"/>
      <c r="O267" s="259"/>
    </row>
    <row r="268" spans="2:15" ht="15.75">
      <c r="H268" s="76" t="s">
        <v>438</v>
      </c>
      <c r="I268" s="74" t="s">
        <v>2148</v>
      </c>
      <c r="J268" s="74">
        <v>7</v>
      </c>
      <c r="K268" s="74" t="s">
        <v>2125</v>
      </c>
      <c r="L268" s="75"/>
      <c r="M268" s="75"/>
      <c r="N268" s="75"/>
      <c r="O268" s="259"/>
    </row>
    <row r="269" spans="2:15" ht="15.75">
      <c r="H269" s="76" t="s">
        <v>1018</v>
      </c>
      <c r="I269" s="74" t="s">
        <v>2133</v>
      </c>
      <c r="J269" s="74">
        <v>26</v>
      </c>
      <c r="K269" s="74" t="s">
        <v>2125</v>
      </c>
      <c r="L269" s="75"/>
      <c r="M269" s="75"/>
      <c r="N269" s="75"/>
      <c r="O269" s="259"/>
    </row>
    <row r="270" spans="2:15" ht="15.75">
      <c r="H270" s="76" t="s">
        <v>2134</v>
      </c>
      <c r="I270" s="74" t="s">
        <v>2135</v>
      </c>
      <c r="J270" s="74">
        <v>3</v>
      </c>
      <c r="K270" s="74" t="s">
        <v>2125</v>
      </c>
      <c r="L270" s="75"/>
      <c r="M270" s="75"/>
      <c r="N270" s="75"/>
      <c r="O270" s="259"/>
    </row>
    <row r="271" spans="2:15" ht="15.75">
      <c r="H271" s="76" t="s">
        <v>106</v>
      </c>
      <c r="I271" s="74" t="s">
        <v>107</v>
      </c>
      <c r="J271" s="74">
        <v>10</v>
      </c>
      <c r="K271" s="74" t="s">
        <v>2125</v>
      </c>
      <c r="L271" s="75"/>
      <c r="M271" s="75"/>
      <c r="N271" s="75"/>
      <c r="O271" s="259"/>
    </row>
    <row r="272" spans="2:15" ht="15.75">
      <c r="H272" s="76" t="s">
        <v>91</v>
      </c>
      <c r="I272" s="74" t="s">
        <v>92</v>
      </c>
      <c r="J272" s="74">
        <v>0.65</v>
      </c>
      <c r="K272" s="74" t="s">
        <v>2125</v>
      </c>
      <c r="L272" s="75"/>
      <c r="M272" s="75"/>
      <c r="N272" s="75"/>
      <c r="O272" s="259"/>
    </row>
    <row r="273" spans="2:15">
      <c r="H273" s="74" t="s">
        <v>1070</v>
      </c>
      <c r="I273" s="74" t="s">
        <v>2137</v>
      </c>
      <c r="J273" s="74">
        <v>157</v>
      </c>
      <c r="K273" s="74" t="s">
        <v>2125</v>
      </c>
      <c r="L273" s="75"/>
      <c r="M273" s="75"/>
      <c r="N273" s="75"/>
      <c r="O273" s="259"/>
    </row>
    <row r="274" spans="2:15" ht="15.75">
      <c r="H274" s="76" t="s">
        <v>262</v>
      </c>
      <c r="I274" s="230" t="s">
        <v>2149</v>
      </c>
      <c r="J274" s="74">
        <v>14</v>
      </c>
      <c r="K274" s="74" t="s">
        <v>2125</v>
      </c>
      <c r="L274" s="75"/>
      <c r="M274" s="75"/>
      <c r="N274" s="74">
        <v>650.65</v>
      </c>
      <c r="O274" s="260"/>
    </row>
    <row r="275" spans="2:15" s="81" customFormat="1" ht="15" customHeight="1">
      <c r="H275" s="107" t="s">
        <v>413</v>
      </c>
      <c r="I275" s="82"/>
      <c r="J275" s="83">
        <v>124</v>
      </c>
      <c r="K275" s="83" t="s">
        <v>2125</v>
      </c>
      <c r="L275" s="98"/>
      <c r="M275" s="98"/>
      <c r="N275" s="98"/>
      <c r="O275" s="258">
        <v>69</v>
      </c>
    </row>
    <row r="276" spans="2:15" ht="15.75">
      <c r="H276" s="76" t="s">
        <v>1018</v>
      </c>
      <c r="I276" s="74" t="s">
        <v>2133</v>
      </c>
      <c r="J276" s="74">
        <v>16</v>
      </c>
      <c r="K276" s="74" t="s">
        <v>2125</v>
      </c>
      <c r="L276" s="75"/>
      <c r="M276" s="75"/>
      <c r="N276" s="75"/>
      <c r="O276" s="259"/>
    </row>
    <row r="277" spans="2:15" ht="15.75">
      <c r="H277" s="76" t="s">
        <v>2129</v>
      </c>
      <c r="I277" s="74" t="s">
        <v>2130</v>
      </c>
      <c r="J277" s="74">
        <v>1</v>
      </c>
      <c r="K277" s="74" t="s">
        <v>2125</v>
      </c>
      <c r="L277" s="75"/>
      <c r="M277" s="75"/>
      <c r="N277" s="75"/>
      <c r="O277" s="259"/>
    </row>
    <row r="278" spans="2:15" ht="15.75">
      <c r="B278" t="s">
        <v>2196</v>
      </c>
      <c r="C278" s="10" t="s">
        <v>1714</v>
      </c>
      <c r="D278" t="s">
        <v>2197</v>
      </c>
      <c r="H278" s="76" t="s">
        <v>2131</v>
      </c>
      <c r="I278" s="230" t="s">
        <v>2171</v>
      </c>
      <c r="J278" s="74">
        <v>0.5</v>
      </c>
      <c r="K278" s="74" t="s">
        <v>2125</v>
      </c>
      <c r="L278" s="75"/>
      <c r="M278" s="75"/>
      <c r="N278" s="75"/>
      <c r="O278" s="259"/>
    </row>
    <row r="279" spans="2:15" ht="15.75">
      <c r="H279" s="76" t="s">
        <v>470</v>
      </c>
      <c r="I279" s="230" t="s">
        <v>471</v>
      </c>
      <c r="J279" s="74">
        <v>3</v>
      </c>
      <c r="K279" s="74" t="s">
        <v>2125</v>
      </c>
      <c r="L279" s="75"/>
      <c r="M279" s="75"/>
      <c r="N279" s="75"/>
      <c r="O279" s="259"/>
    </row>
    <row r="280" spans="2:15" ht="15.75">
      <c r="H280" s="76" t="s">
        <v>466</v>
      </c>
      <c r="I280" s="74" t="s">
        <v>2126</v>
      </c>
      <c r="J280" s="74">
        <v>16</v>
      </c>
      <c r="K280" s="74" t="s">
        <v>2125</v>
      </c>
      <c r="L280" s="75"/>
      <c r="M280" s="75"/>
      <c r="N280" s="74">
        <v>160.5</v>
      </c>
      <c r="O280" s="260"/>
    </row>
    <row r="281" spans="2:15" s="81" customFormat="1">
      <c r="H281" s="107" t="s">
        <v>287</v>
      </c>
      <c r="I281" s="82"/>
      <c r="J281" s="83">
        <v>483</v>
      </c>
      <c r="K281" s="83" t="s">
        <v>2125</v>
      </c>
      <c r="L281" s="98"/>
      <c r="M281" s="98"/>
      <c r="N281" s="98"/>
      <c r="O281" s="258">
        <v>421</v>
      </c>
    </row>
    <row r="282" spans="2:15" ht="15.75">
      <c r="H282" s="76" t="s">
        <v>1018</v>
      </c>
      <c r="I282" s="74" t="s">
        <v>2133</v>
      </c>
      <c r="J282" s="74">
        <v>27</v>
      </c>
      <c r="K282" s="74" t="s">
        <v>2125</v>
      </c>
      <c r="L282" s="75"/>
      <c r="M282" s="75"/>
      <c r="N282" s="75"/>
      <c r="O282" s="259"/>
    </row>
    <row r="283" spans="2:15" ht="15.75">
      <c r="H283" s="76" t="s">
        <v>466</v>
      </c>
      <c r="I283" s="74" t="s">
        <v>2126</v>
      </c>
      <c r="J283" s="74">
        <v>30</v>
      </c>
      <c r="K283" s="74" t="s">
        <v>2125</v>
      </c>
      <c r="L283" s="75"/>
      <c r="M283" s="75"/>
      <c r="N283" s="75"/>
      <c r="O283" s="259"/>
    </row>
    <row r="284" spans="2:15" ht="29.45">
      <c r="B284" s="86" t="s">
        <v>2190</v>
      </c>
      <c r="C284" s="10" t="s">
        <v>1715</v>
      </c>
      <c r="D284" t="s">
        <v>2198</v>
      </c>
      <c r="H284" s="76" t="s">
        <v>470</v>
      </c>
      <c r="I284" s="74" t="s">
        <v>471</v>
      </c>
      <c r="J284" s="74">
        <v>19</v>
      </c>
      <c r="K284" s="74" t="s">
        <v>2125</v>
      </c>
      <c r="L284" s="75"/>
      <c r="M284" s="75"/>
      <c r="N284" s="75"/>
      <c r="O284" s="259"/>
    </row>
    <row r="285" spans="2:15" ht="15.75">
      <c r="H285" s="76" t="s">
        <v>2129</v>
      </c>
      <c r="I285" s="74" t="s">
        <v>2130</v>
      </c>
      <c r="J285" s="74">
        <v>7</v>
      </c>
      <c r="K285" s="74" t="s">
        <v>2125</v>
      </c>
      <c r="L285" s="75"/>
      <c r="M285" s="75"/>
      <c r="N285" s="75"/>
      <c r="O285" s="259"/>
    </row>
    <row r="286" spans="2:15" ht="15.75">
      <c r="H286" s="76" t="s">
        <v>2131</v>
      </c>
      <c r="I286" s="74" t="s">
        <v>2132</v>
      </c>
      <c r="J286" s="74">
        <v>1</v>
      </c>
      <c r="K286" s="74" t="s">
        <v>2125</v>
      </c>
      <c r="L286" s="75"/>
      <c r="M286" s="75"/>
      <c r="N286" s="75"/>
      <c r="O286" s="259"/>
    </row>
    <row r="287" spans="2:15" ht="15.75">
      <c r="H287" s="76" t="s">
        <v>438</v>
      </c>
      <c r="I287" s="74" t="s">
        <v>2148</v>
      </c>
      <c r="J287" s="74">
        <v>12</v>
      </c>
      <c r="K287" s="74" t="s">
        <v>2125</v>
      </c>
      <c r="L287" s="75"/>
      <c r="M287" s="75"/>
      <c r="N287" s="75"/>
      <c r="O287" s="259"/>
    </row>
    <row r="288" spans="2:15" ht="15.75">
      <c r="H288" s="76" t="s">
        <v>2134</v>
      </c>
      <c r="I288" s="74" t="s">
        <v>2135</v>
      </c>
      <c r="J288" s="74">
        <v>1</v>
      </c>
      <c r="K288" s="74" t="s">
        <v>2125</v>
      </c>
      <c r="L288" s="75"/>
      <c r="M288" s="75"/>
      <c r="N288" s="75"/>
      <c r="O288" s="259"/>
    </row>
    <row r="289" spans="1:46" ht="15.75">
      <c r="H289" s="76" t="s">
        <v>106</v>
      </c>
      <c r="I289" s="74" t="s">
        <v>107</v>
      </c>
      <c r="J289" s="74">
        <v>2</v>
      </c>
      <c r="K289" s="74" t="s">
        <v>2125</v>
      </c>
      <c r="L289" s="75"/>
      <c r="M289" s="75"/>
      <c r="N289" s="75"/>
      <c r="O289" s="259"/>
    </row>
    <row r="290" spans="1:46">
      <c r="A290" s="73"/>
      <c r="B290" s="73"/>
      <c r="C290" s="73"/>
      <c r="D290" s="73"/>
      <c r="E290" s="73"/>
      <c r="F290" s="73"/>
      <c r="G290" s="73"/>
      <c r="H290" s="85" t="s">
        <v>1070</v>
      </c>
      <c r="I290" s="85" t="s">
        <v>2137</v>
      </c>
      <c r="J290" s="85">
        <v>133</v>
      </c>
      <c r="K290" s="85" t="s">
        <v>2125</v>
      </c>
      <c r="L290" s="102"/>
      <c r="M290" s="102"/>
      <c r="N290" s="85">
        <v>715</v>
      </c>
      <c r="O290" s="260"/>
      <c r="P290" s="73"/>
      <c r="Q290" s="73"/>
      <c r="R290" s="73"/>
      <c r="S290" s="73"/>
      <c r="T290" s="73"/>
      <c r="U290" s="73"/>
      <c r="V290" s="73"/>
      <c r="W290" s="73"/>
      <c r="X290" s="73"/>
      <c r="Y290" s="73"/>
      <c r="Z290" s="73"/>
      <c r="AA290" s="73"/>
      <c r="AB290" s="73"/>
      <c r="AC290" s="73"/>
      <c r="AD290" s="73"/>
      <c r="AE290" s="73"/>
      <c r="AF290" s="73"/>
      <c r="AG290" s="73"/>
      <c r="AH290" s="73"/>
      <c r="AI290" s="73"/>
      <c r="AJ290" s="73"/>
      <c r="AK290" s="73"/>
      <c r="AL290" s="73"/>
      <c r="AM290" s="73"/>
      <c r="AN290" s="73"/>
      <c r="AO290" s="73"/>
      <c r="AP290" s="73"/>
      <c r="AQ290" s="73"/>
      <c r="AR290" s="73"/>
      <c r="AS290" s="73"/>
      <c r="AT290" s="73"/>
    </row>
    <row r="291" spans="1:46">
      <c r="H291" s="186" t="s">
        <v>1494</v>
      </c>
      <c r="I291" s="187" t="s">
        <v>2199</v>
      </c>
      <c r="J291" s="187">
        <v>104</v>
      </c>
      <c r="K291" s="187" t="s">
        <v>2125</v>
      </c>
      <c r="L291" s="188"/>
      <c r="M291" s="188"/>
      <c r="N291" s="188"/>
      <c r="O291" s="262">
        <v>172</v>
      </c>
    </row>
    <row r="292" spans="1:46">
      <c r="H292" s="181" t="s">
        <v>470</v>
      </c>
      <c r="I292" s="110" t="s">
        <v>471</v>
      </c>
      <c r="J292" s="110">
        <v>51</v>
      </c>
      <c r="K292" s="110" t="s">
        <v>2125</v>
      </c>
      <c r="L292" s="72"/>
      <c r="M292" s="72"/>
      <c r="N292" s="72"/>
      <c r="O292" s="262"/>
    </row>
    <row r="293" spans="1:46">
      <c r="B293" t="s">
        <v>2200</v>
      </c>
      <c r="C293" s="10" t="s">
        <v>1734</v>
      </c>
      <c r="D293" t="s">
        <v>429</v>
      </c>
      <c r="H293" s="181" t="s">
        <v>466</v>
      </c>
      <c r="I293" s="110" t="s">
        <v>2126</v>
      </c>
      <c r="J293" s="110">
        <v>73</v>
      </c>
      <c r="K293" s="110" t="s">
        <v>2125</v>
      </c>
      <c r="L293" s="72"/>
      <c r="M293" s="72"/>
      <c r="N293" s="72"/>
      <c r="O293" s="262"/>
    </row>
    <row r="294" spans="1:46">
      <c r="H294" s="181" t="s">
        <v>2129</v>
      </c>
      <c r="I294" s="110" t="s">
        <v>2130</v>
      </c>
      <c r="J294" s="110">
        <v>7</v>
      </c>
      <c r="K294" s="110" t="s">
        <v>2125</v>
      </c>
      <c r="L294" s="72"/>
      <c r="M294" s="72"/>
      <c r="N294" s="72"/>
      <c r="O294" s="262"/>
    </row>
    <row r="295" spans="1:46">
      <c r="H295" s="185" t="s">
        <v>1018</v>
      </c>
      <c r="I295" s="111" t="s">
        <v>2133</v>
      </c>
      <c r="J295" s="111">
        <v>8</v>
      </c>
      <c r="K295" s="111" t="s">
        <v>2125</v>
      </c>
      <c r="L295" s="112"/>
      <c r="M295" s="112"/>
      <c r="N295" s="112">
        <f>SUM(J291:J295)</f>
        <v>243</v>
      </c>
      <c r="O295" s="263"/>
    </row>
    <row r="296" spans="1:46" s="81" customFormat="1" ht="29.45">
      <c r="H296" s="107" t="s">
        <v>2201</v>
      </c>
      <c r="I296" s="82"/>
      <c r="J296" s="83">
        <v>282</v>
      </c>
      <c r="K296" s="83" t="s">
        <v>2125</v>
      </c>
      <c r="L296" s="98"/>
      <c r="M296" s="98"/>
      <c r="N296" s="98"/>
      <c r="O296" s="258">
        <v>278</v>
      </c>
    </row>
    <row r="297" spans="1:46" ht="15.75">
      <c r="H297" s="76" t="s">
        <v>2129</v>
      </c>
      <c r="I297" s="74" t="s">
        <v>2130</v>
      </c>
      <c r="J297" s="74">
        <v>7</v>
      </c>
      <c r="K297" s="74" t="s">
        <v>2125</v>
      </c>
      <c r="L297" s="75"/>
      <c r="M297" s="75"/>
      <c r="N297" s="75"/>
      <c r="O297" s="259"/>
    </row>
    <row r="298" spans="1:46" ht="15.75">
      <c r="H298" s="76" t="s">
        <v>470</v>
      </c>
      <c r="I298" s="74" t="s">
        <v>471</v>
      </c>
      <c r="J298" s="74">
        <v>21</v>
      </c>
      <c r="K298" s="74" t="s">
        <v>2125</v>
      </c>
      <c r="L298" s="75"/>
      <c r="M298" s="75"/>
      <c r="N298" s="75"/>
      <c r="O298" s="259"/>
    </row>
    <row r="299" spans="1:46" ht="29.45">
      <c r="B299" s="87" t="s">
        <v>2202</v>
      </c>
      <c r="C299" s="10" t="s">
        <v>1716</v>
      </c>
      <c r="D299" t="s">
        <v>2203</v>
      </c>
      <c r="H299" s="76" t="s">
        <v>466</v>
      </c>
      <c r="I299" s="74" t="s">
        <v>2126</v>
      </c>
      <c r="J299" s="74">
        <v>44</v>
      </c>
      <c r="K299" s="74" t="s">
        <v>2125</v>
      </c>
      <c r="L299" s="75"/>
      <c r="M299" s="75"/>
      <c r="N299" s="75"/>
      <c r="O299" s="259"/>
    </row>
    <row r="300" spans="1:46" ht="15.75">
      <c r="H300" s="76" t="s">
        <v>1012</v>
      </c>
      <c r="I300" s="74" t="s">
        <v>2204</v>
      </c>
      <c r="J300" s="74">
        <v>8</v>
      </c>
      <c r="K300" s="74" t="s">
        <v>2125</v>
      </c>
      <c r="L300" s="75"/>
      <c r="M300" s="75"/>
      <c r="N300" s="75"/>
      <c r="O300" s="259"/>
    </row>
    <row r="301" spans="1:46">
      <c r="H301" s="74"/>
      <c r="I301" s="74"/>
      <c r="J301" s="74"/>
      <c r="K301" s="74"/>
      <c r="L301" s="75"/>
      <c r="M301" s="75"/>
      <c r="N301" s="74">
        <v>587</v>
      </c>
      <c r="O301" s="260"/>
    </row>
    <row r="302" spans="1:46" s="81" customFormat="1">
      <c r="H302" s="238" t="s">
        <v>323</v>
      </c>
      <c r="I302" s="82"/>
      <c r="J302" s="83">
        <v>282</v>
      </c>
      <c r="K302" s="83" t="s">
        <v>2125</v>
      </c>
      <c r="L302" s="98"/>
      <c r="M302" s="98"/>
      <c r="N302" s="98"/>
      <c r="O302" s="258">
        <v>278</v>
      </c>
    </row>
    <row r="303" spans="1:46" ht="15.75">
      <c r="H303" s="76" t="s">
        <v>2129</v>
      </c>
      <c r="I303" s="74" t="s">
        <v>2130</v>
      </c>
      <c r="J303" s="74">
        <v>7</v>
      </c>
      <c r="K303" s="74" t="s">
        <v>2125</v>
      </c>
      <c r="L303" s="75"/>
      <c r="M303" s="75"/>
      <c r="N303" s="75"/>
      <c r="O303" s="259"/>
    </row>
    <row r="304" spans="1:46" ht="15.75">
      <c r="H304" s="76" t="s">
        <v>470</v>
      </c>
      <c r="I304" s="74" t="s">
        <v>471</v>
      </c>
      <c r="J304" s="74">
        <v>21</v>
      </c>
      <c r="K304" s="74" t="s">
        <v>2125</v>
      </c>
      <c r="L304" s="75"/>
      <c r="M304" s="75"/>
      <c r="N304" s="75"/>
      <c r="O304" s="259"/>
    </row>
    <row r="305" spans="1:39" ht="15.75">
      <c r="B305" s="87" t="s">
        <v>2202</v>
      </c>
      <c r="C305" s="10" t="s">
        <v>1717</v>
      </c>
      <c r="D305" t="s">
        <v>2205</v>
      </c>
      <c r="H305" s="76" t="s">
        <v>466</v>
      </c>
      <c r="I305" s="74" t="s">
        <v>2126</v>
      </c>
      <c r="J305" s="74">
        <v>44</v>
      </c>
      <c r="K305" s="74" t="s">
        <v>2125</v>
      </c>
      <c r="L305" s="75"/>
      <c r="M305" s="75"/>
      <c r="N305" s="75"/>
      <c r="O305" s="259"/>
    </row>
    <row r="306" spans="1:39" ht="15.75">
      <c r="H306" s="76" t="s">
        <v>1012</v>
      </c>
      <c r="I306" s="74" t="s">
        <v>2204</v>
      </c>
      <c r="J306" s="74">
        <v>8</v>
      </c>
      <c r="K306" s="74" t="s">
        <v>2125</v>
      </c>
      <c r="L306" s="75"/>
      <c r="M306" s="75"/>
      <c r="N306" s="75"/>
      <c r="O306" s="259"/>
    </row>
    <row r="307" spans="1:39">
      <c r="G307" s="73"/>
      <c r="H307" s="85"/>
      <c r="I307" s="85"/>
      <c r="J307" s="85"/>
      <c r="K307" s="85"/>
      <c r="L307" s="75"/>
      <c r="M307" s="75"/>
      <c r="N307" s="74">
        <v>587</v>
      </c>
      <c r="O307" s="260"/>
    </row>
    <row r="308" spans="1:39" s="81" customFormat="1" ht="15" customHeight="1">
      <c r="G308"/>
      <c r="H308" s="237" t="s">
        <v>2124</v>
      </c>
      <c r="I308" s="239"/>
      <c r="J308" s="230">
        <v>230</v>
      </c>
      <c r="K308" s="230" t="s">
        <v>2125</v>
      </c>
      <c r="L308" s="98"/>
      <c r="M308" s="98"/>
      <c r="N308" s="98"/>
      <c r="O308" s="255">
        <v>218</v>
      </c>
    </row>
    <row r="309" spans="1:39" ht="15.75">
      <c r="H309" s="76" t="s">
        <v>2152</v>
      </c>
      <c r="I309" s="230" t="s">
        <v>2153</v>
      </c>
      <c r="J309" s="230">
        <v>3</v>
      </c>
      <c r="K309" s="230" t="s">
        <v>2125</v>
      </c>
      <c r="L309" s="75"/>
      <c r="M309" s="75"/>
      <c r="N309" s="75"/>
      <c r="O309" s="256"/>
    </row>
    <row r="310" spans="1:39" ht="15.75">
      <c r="H310" s="76" t="s">
        <v>466</v>
      </c>
      <c r="I310" s="230" t="s">
        <v>2126</v>
      </c>
      <c r="J310" s="230">
        <v>30</v>
      </c>
      <c r="K310" s="230" t="s">
        <v>2125</v>
      </c>
      <c r="L310" s="75"/>
      <c r="M310" s="75"/>
      <c r="N310" s="75"/>
      <c r="O310" s="256"/>
    </row>
    <row r="311" spans="1:39" ht="15.75">
      <c r="B311" t="s">
        <v>2206</v>
      </c>
      <c r="C311" s="10" t="s">
        <v>1718</v>
      </c>
      <c r="D311" t="s">
        <v>2207</v>
      </c>
      <c r="H311" s="76" t="s">
        <v>1012</v>
      </c>
      <c r="I311" s="230" t="s">
        <v>2156</v>
      </c>
      <c r="J311" s="230">
        <v>7</v>
      </c>
      <c r="K311" s="230" t="s">
        <v>2125</v>
      </c>
      <c r="L311" s="75"/>
      <c r="M311" s="75"/>
      <c r="N311" s="75"/>
      <c r="O311" s="256"/>
    </row>
    <row r="312" spans="1:39" ht="15.75">
      <c r="H312" s="76" t="s">
        <v>2129</v>
      </c>
      <c r="I312" s="230" t="s">
        <v>2130</v>
      </c>
      <c r="J312" s="230">
        <v>4</v>
      </c>
      <c r="K312" s="230" t="s">
        <v>2125</v>
      </c>
      <c r="L312" s="75"/>
      <c r="M312" s="75"/>
      <c r="N312" s="75"/>
      <c r="O312" s="256"/>
    </row>
    <row r="313" spans="1:39" ht="15.75">
      <c r="H313" s="76" t="s">
        <v>1070</v>
      </c>
      <c r="I313" s="230" t="s">
        <v>2137</v>
      </c>
      <c r="J313" s="230" t="s">
        <v>2157</v>
      </c>
      <c r="K313" s="230" t="s">
        <v>2158</v>
      </c>
      <c r="L313" s="75"/>
      <c r="M313" s="75"/>
      <c r="N313" s="230">
        <v>274</v>
      </c>
      <c r="O313" s="257"/>
    </row>
    <row r="314" spans="1:39" s="81" customFormat="1" ht="15" customHeight="1">
      <c r="H314" s="107" t="s">
        <v>2208</v>
      </c>
      <c r="I314" s="82"/>
      <c r="J314" s="83">
        <v>275</v>
      </c>
      <c r="K314" s="83" t="s">
        <v>2125</v>
      </c>
      <c r="L314" s="98"/>
      <c r="M314" s="98"/>
      <c r="N314" s="98"/>
      <c r="O314" s="258">
        <v>251</v>
      </c>
    </row>
    <row r="315" spans="1:39" ht="15.75">
      <c r="H315" s="76" t="s">
        <v>466</v>
      </c>
      <c r="I315" s="74" t="s">
        <v>2126</v>
      </c>
      <c r="J315" s="74">
        <v>25</v>
      </c>
      <c r="K315" s="74" t="s">
        <v>2125</v>
      </c>
      <c r="L315" s="75"/>
      <c r="M315" s="75"/>
      <c r="N315" s="75"/>
      <c r="O315" s="259"/>
    </row>
    <row r="316" spans="1:39" ht="15.75">
      <c r="H316" s="76" t="s">
        <v>470</v>
      </c>
      <c r="I316" s="74" t="s">
        <v>471</v>
      </c>
      <c r="J316" s="74">
        <v>14</v>
      </c>
      <c r="K316" s="74" t="s">
        <v>2125</v>
      </c>
      <c r="L316" s="75"/>
      <c r="M316" s="75"/>
      <c r="N316" s="75"/>
      <c r="O316" s="259"/>
    </row>
    <row r="317" spans="1:39" ht="29.45">
      <c r="B317" s="10" t="s">
        <v>2209</v>
      </c>
      <c r="C317" s="10" t="s">
        <v>1719</v>
      </c>
      <c r="D317" t="s">
        <v>443</v>
      </c>
      <c r="H317" s="76" t="s">
        <v>2129</v>
      </c>
      <c r="I317" s="74" t="s">
        <v>2130</v>
      </c>
      <c r="J317" s="74">
        <v>3</v>
      </c>
      <c r="K317" s="74" t="s">
        <v>2125</v>
      </c>
      <c r="L317" s="75"/>
      <c r="M317" s="75"/>
      <c r="N317" s="75"/>
      <c r="O317" s="259"/>
    </row>
    <row r="318" spans="1:39" ht="15.75">
      <c r="H318" s="76" t="s">
        <v>438</v>
      </c>
      <c r="I318" s="74" t="s">
        <v>2148</v>
      </c>
      <c r="J318" s="74">
        <v>10</v>
      </c>
      <c r="K318" s="74" t="s">
        <v>2125</v>
      </c>
      <c r="L318" s="75"/>
      <c r="M318" s="75"/>
      <c r="N318" s="75"/>
      <c r="O318" s="259"/>
    </row>
    <row r="319" spans="1:39" ht="15.75">
      <c r="A319" s="73"/>
      <c r="B319" s="73"/>
      <c r="C319" s="73"/>
      <c r="D319" s="73"/>
      <c r="E319" s="73"/>
      <c r="F319" s="73"/>
      <c r="G319" s="73"/>
      <c r="H319" s="88" t="s">
        <v>1012</v>
      </c>
      <c r="I319" s="85" t="s">
        <v>2204</v>
      </c>
      <c r="J319" s="85">
        <v>6</v>
      </c>
      <c r="K319" s="85" t="s">
        <v>2125</v>
      </c>
      <c r="L319" s="102"/>
      <c r="M319" s="102"/>
      <c r="N319" s="85">
        <v>551</v>
      </c>
      <c r="O319" s="260"/>
      <c r="P319" s="73"/>
      <c r="Q319" s="73"/>
      <c r="R319" s="73"/>
      <c r="S319" s="73"/>
      <c r="T319" s="73"/>
      <c r="U319" s="73"/>
      <c r="V319" s="73"/>
      <c r="W319" s="73"/>
      <c r="X319" s="73"/>
      <c r="Y319" s="73"/>
      <c r="Z319" s="73"/>
      <c r="AA319" s="73"/>
      <c r="AB319" s="73"/>
      <c r="AC319" s="73"/>
      <c r="AD319" s="73"/>
      <c r="AE319" s="73"/>
      <c r="AF319" s="73"/>
      <c r="AG319" s="73"/>
      <c r="AH319" s="73"/>
      <c r="AI319" s="73"/>
      <c r="AJ319" s="73"/>
      <c r="AK319" s="73"/>
      <c r="AL319" s="73"/>
      <c r="AM319" s="73"/>
    </row>
    <row r="320" spans="1:39">
      <c r="H320" s="189" t="s">
        <v>500</v>
      </c>
      <c r="I320" s="187" t="s">
        <v>2199</v>
      </c>
      <c r="J320" s="187">
        <v>104</v>
      </c>
      <c r="K320" s="187" t="s">
        <v>2125</v>
      </c>
      <c r="L320" s="188"/>
      <c r="M320" s="188"/>
      <c r="N320" s="188"/>
      <c r="O320" s="262">
        <v>172</v>
      </c>
    </row>
    <row r="321" spans="2:16">
      <c r="H321" s="181" t="s">
        <v>470</v>
      </c>
      <c r="I321" s="110" t="s">
        <v>471</v>
      </c>
      <c r="J321" s="110">
        <v>51</v>
      </c>
      <c r="K321" s="110" t="s">
        <v>2125</v>
      </c>
      <c r="L321" s="72"/>
      <c r="M321" s="72"/>
      <c r="N321" s="72"/>
      <c r="O321" s="262"/>
    </row>
    <row r="322" spans="2:16">
      <c r="B322" t="s">
        <v>2200</v>
      </c>
      <c r="C322" s="10" t="s">
        <v>1735</v>
      </c>
      <c r="D322" t="s">
        <v>501</v>
      </c>
      <c r="H322" s="181" t="s">
        <v>466</v>
      </c>
      <c r="I322" s="110" t="s">
        <v>2126</v>
      </c>
      <c r="J322" s="110">
        <v>73</v>
      </c>
      <c r="K322" s="110" t="s">
        <v>2125</v>
      </c>
      <c r="L322" s="72"/>
      <c r="M322" s="72"/>
      <c r="N322" s="72"/>
      <c r="O322" s="262"/>
    </row>
    <row r="323" spans="2:16">
      <c r="H323" s="181" t="s">
        <v>2129</v>
      </c>
      <c r="I323" s="110" t="s">
        <v>2130</v>
      </c>
      <c r="J323" s="110">
        <v>7</v>
      </c>
      <c r="K323" s="110" t="s">
        <v>2125</v>
      </c>
      <c r="L323" s="72"/>
      <c r="M323" s="72"/>
      <c r="N323" s="72"/>
      <c r="O323" s="262"/>
    </row>
    <row r="324" spans="2:16">
      <c r="H324" s="185" t="s">
        <v>1018</v>
      </c>
      <c r="I324" s="111" t="s">
        <v>2133</v>
      </c>
      <c r="J324" s="111">
        <v>8</v>
      </c>
      <c r="K324" s="111" t="s">
        <v>2125</v>
      </c>
      <c r="L324" s="112"/>
      <c r="M324" s="112"/>
      <c r="N324" s="112">
        <v>243</v>
      </c>
      <c r="O324" s="263"/>
    </row>
    <row r="325" spans="2:16" s="81" customFormat="1" ht="15" customHeight="1">
      <c r="H325" s="95" t="s">
        <v>2210</v>
      </c>
      <c r="I325" s="83"/>
      <c r="J325" s="83">
        <v>179</v>
      </c>
      <c r="K325" s="83" t="s">
        <v>2125</v>
      </c>
      <c r="L325" s="98"/>
      <c r="M325" s="98"/>
      <c r="N325" s="98"/>
      <c r="O325" s="258">
        <v>550</v>
      </c>
    </row>
    <row r="326" spans="2:16">
      <c r="H326" s="74" t="s">
        <v>2145</v>
      </c>
      <c r="I326" s="74" t="s">
        <v>2146</v>
      </c>
      <c r="J326" s="74">
        <v>131</v>
      </c>
      <c r="K326" s="74" t="s">
        <v>2125</v>
      </c>
      <c r="L326" s="75"/>
      <c r="M326" s="75"/>
      <c r="N326" s="75"/>
      <c r="O326" s="259"/>
    </row>
    <row r="327" spans="2:16" ht="15.75">
      <c r="H327" s="76" t="s">
        <v>2129</v>
      </c>
      <c r="I327" s="74" t="s">
        <v>2130</v>
      </c>
      <c r="J327" s="74">
        <v>12</v>
      </c>
      <c r="K327" s="74" t="s">
        <v>2125</v>
      </c>
      <c r="L327" s="75"/>
      <c r="M327" s="75"/>
      <c r="N327" s="75"/>
      <c r="O327" s="259"/>
    </row>
    <row r="328" spans="2:16" ht="29.45">
      <c r="B328" s="10" t="s">
        <v>2211</v>
      </c>
      <c r="C328" s="10" t="s">
        <v>508</v>
      </c>
      <c r="D328" t="s">
        <v>509</v>
      </c>
      <c r="H328" s="76" t="s">
        <v>2131</v>
      </c>
      <c r="I328" s="74" t="s">
        <v>2132</v>
      </c>
      <c r="J328" s="74">
        <v>2</v>
      </c>
      <c r="K328" s="74" t="s">
        <v>2125</v>
      </c>
      <c r="L328" s="75"/>
      <c r="M328" s="75"/>
      <c r="N328" s="75"/>
      <c r="O328" s="259"/>
    </row>
    <row r="329" spans="2:16" ht="15.75">
      <c r="H329" s="76" t="s">
        <v>470</v>
      </c>
      <c r="I329" s="74" t="s">
        <v>471</v>
      </c>
      <c r="J329" s="74">
        <v>16</v>
      </c>
      <c r="K329" s="74" t="s">
        <v>2125</v>
      </c>
      <c r="L329" s="75"/>
      <c r="M329" s="75"/>
      <c r="N329" s="75"/>
      <c r="O329" s="259"/>
    </row>
    <row r="330" spans="2:16" ht="15.75">
      <c r="H330" s="76" t="s">
        <v>466</v>
      </c>
      <c r="I330" s="74" t="s">
        <v>2126</v>
      </c>
      <c r="J330" s="74">
        <v>37</v>
      </c>
      <c r="K330" s="74" t="s">
        <v>2125</v>
      </c>
      <c r="L330" s="75"/>
      <c r="M330" s="75"/>
      <c r="N330" s="75"/>
      <c r="O330" s="259"/>
    </row>
    <row r="331" spans="2:16" ht="15.75">
      <c r="H331" s="76" t="s">
        <v>438</v>
      </c>
      <c r="I331" s="74" t="s">
        <v>2148</v>
      </c>
      <c r="J331" s="74">
        <v>6</v>
      </c>
      <c r="K331" s="74" t="s">
        <v>2125</v>
      </c>
      <c r="L331" s="75"/>
      <c r="M331" s="75"/>
      <c r="N331" s="75"/>
      <c r="O331" s="259"/>
    </row>
    <row r="332" spans="2:16" ht="15.75">
      <c r="H332" s="76" t="s">
        <v>1018</v>
      </c>
      <c r="I332" s="74" t="s">
        <v>2133</v>
      </c>
      <c r="J332" s="74">
        <v>23</v>
      </c>
      <c r="K332" s="74" t="s">
        <v>2125</v>
      </c>
      <c r="L332" s="75"/>
      <c r="M332" s="75"/>
      <c r="N332" s="75"/>
      <c r="O332" s="259"/>
    </row>
    <row r="333" spans="2:16" ht="15.75">
      <c r="H333" s="76" t="s">
        <v>91</v>
      </c>
      <c r="I333" s="74" t="s">
        <v>92</v>
      </c>
      <c r="J333" s="74">
        <v>0.32</v>
      </c>
      <c r="K333" s="74" t="s">
        <v>2125</v>
      </c>
      <c r="L333" s="75"/>
      <c r="M333" s="75"/>
      <c r="N333" s="75"/>
      <c r="O333" s="259"/>
    </row>
    <row r="334" spans="2:16" ht="15.75">
      <c r="H334" s="76" t="s">
        <v>106</v>
      </c>
      <c r="I334" s="74" t="s">
        <v>107</v>
      </c>
      <c r="J334" s="74">
        <v>2</v>
      </c>
      <c r="K334" s="74" t="s">
        <v>2125</v>
      </c>
      <c r="L334" s="75"/>
      <c r="M334" s="75"/>
      <c r="N334" s="75"/>
      <c r="O334" s="259"/>
    </row>
    <row r="335" spans="2:16">
      <c r="H335" s="74" t="s">
        <v>1070</v>
      </c>
      <c r="I335" s="74" t="s">
        <v>2137</v>
      </c>
      <c r="J335" s="74">
        <v>454</v>
      </c>
      <c r="K335" s="74" t="s">
        <v>2125</v>
      </c>
      <c r="L335" s="75"/>
      <c r="M335" s="75"/>
      <c r="N335" s="75"/>
      <c r="O335" s="259"/>
    </row>
    <row r="336" spans="2:16" ht="15.75">
      <c r="G336" s="73"/>
      <c r="H336" s="88" t="s">
        <v>262</v>
      </c>
      <c r="I336" s="232" t="s">
        <v>2149</v>
      </c>
      <c r="J336" s="85">
        <v>11</v>
      </c>
      <c r="K336" s="85" t="s">
        <v>2125</v>
      </c>
      <c r="L336" s="102"/>
      <c r="M336" s="102"/>
      <c r="N336" s="85">
        <v>873.32</v>
      </c>
      <c r="O336" s="260"/>
      <c r="P336" s="73"/>
    </row>
    <row r="337" spans="2:16" s="81" customFormat="1" ht="15" customHeight="1">
      <c r="G337"/>
      <c r="H337" s="58" t="s">
        <v>515</v>
      </c>
      <c r="I337" s="230"/>
      <c r="J337" s="230">
        <v>906</v>
      </c>
      <c r="K337" s="230" t="s">
        <v>2125</v>
      </c>
      <c r="L337" s="75"/>
      <c r="M337" s="75"/>
      <c r="N337" s="75"/>
      <c r="O337" s="256">
        <v>1402</v>
      </c>
      <c r="P337"/>
    </row>
    <row r="338" spans="2:16" ht="15.75">
      <c r="H338" s="76" t="s">
        <v>466</v>
      </c>
      <c r="I338" s="230" t="s">
        <v>2126</v>
      </c>
      <c r="J338" s="230">
        <v>237</v>
      </c>
      <c r="K338" s="230" t="s">
        <v>2125</v>
      </c>
      <c r="L338" s="75"/>
      <c r="M338" s="75"/>
      <c r="N338" s="75"/>
      <c r="O338" s="256"/>
    </row>
    <row r="339" spans="2:16" ht="15.75">
      <c r="H339" s="76" t="s">
        <v>470</v>
      </c>
      <c r="I339" s="230" t="s">
        <v>471</v>
      </c>
      <c r="J339" s="230">
        <v>44</v>
      </c>
      <c r="K339" s="230" t="s">
        <v>2125</v>
      </c>
      <c r="L339" s="75"/>
      <c r="M339" s="75"/>
      <c r="N339" s="75"/>
      <c r="O339" s="256"/>
    </row>
    <row r="340" spans="2:16" ht="15.75">
      <c r="B340" s="87" t="s">
        <v>2212</v>
      </c>
      <c r="C340" s="10" t="s">
        <v>515</v>
      </c>
      <c r="D340" t="s">
        <v>516</v>
      </c>
      <c r="H340" s="76" t="s">
        <v>2175</v>
      </c>
      <c r="I340" s="230" t="s">
        <v>2213</v>
      </c>
      <c r="J340" s="230">
        <v>2</v>
      </c>
      <c r="K340" s="230" t="s">
        <v>2125</v>
      </c>
      <c r="L340" s="75"/>
      <c r="M340" s="75"/>
      <c r="N340" s="75"/>
      <c r="O340" s="256"/>
    </row>
    <row r="341" spans="2:16" ht="15.75">
      <c r="H341" s="76" t="s">
        <v>2131</v>
      </c>
      <c r="I341" s="230" t="s">
        <v>2171</v>
      </c>
      <c r="J341" s="230">
        <v>4</v>
      </c>
      <c r="K341" s="230" t="s">
        <v>2125</v>
      </c>
      <c r="L341" s="75"/>
      <c r="M341" s="75"/>
      <c r="N341" s="75"/>
      <c r="O341" s="256"/>
    </row>
    <row r="342" spans="2:16" ht="15.75">
      <c r="H342" s="76" t="s">
        <v>2129</v>
      </c>
      <c r="I342" s="230" t="s">
        <v>2130</v>
      </c>
      <c r="J342" s="230">
        <v>25</v>
      </c>
      <c r="K342" s="230" t="s">
        <v>2125</v>
      </c>
      <c r="L342" s="75"/>
      <c r="M342" s="75"/>
      <c r="N342" s="75"/>
      <c r="O342" s="256"/>
    </row>
    <row r="343" spans="2:16" ht="15.75">
      <c r="H343" s="76" t="s">
        <v>1018</v>
      </c>
      <c r="I343" s="74" t="s">
        <v>2133</v>
      </c>
      <c r="J343" s="230">
        <v>104</v>
      </c>
      <c r="K343" s="230" t="s">
        <v>2125</v>
      </c>
      <c r="L343" s="75"/>
      <c r="M343" s="75"/>
      <c r="N343" s="75"/>
      <c r="O343" s="256"/>
    </row>
    <row r="344" spans="2:16" ht="15.75">
      <c r="H344" s="76" t="s">
        <v>1070</v>
      </c>
      <c r="I344" s="230" t="s">
        <v>2137</v>
      </c>
      <c r="J344" s="230">
        <v>738</v>
      </c>
      <c r="K344" s="230" t="s">
        <v>2125</v>
      </c>
      <c r="L344" s="75"/>
      <c r="M344" s="75"/>
      <c r="N344" s="75"/>
      <c r="O344" s="256"/>
    </row>
    <row r="345" spans="2:16" ht="15.75">
      <c r="H345" s="76" t="s">
        <v>106</v>
      </c>
      <c r="I345" s="230" t="s">
        <v>107</v>
      </c>
      <c r="J345" s="230">
        <v>5</v>
      </c>
      <c r="K345" s="230" t="s">
        <v>2125</v>
      </c>
      <c r="L345" s="75"/>
      <c r="M345" s="75"/>
      <c r="N345" s="75"/>
      <c r="O345" s="256"/>
    </row>
    <row r="346" spans="2:16" ht="15.75">
      <c r="H346" s="76" t="s">
        <v>100</v>
      </c>
      <c r="I346" s="230" t="s">
        <v>101</v>
      </c>
      <c r="J346" s="230">
        <v>5</v>
      </c>
      <c r="K346" s="230" t="s">
        <v>2125</v>
      </c>
      <c r="L346" s="75"/>
      <c r="M346" s="75"/>
      <c r="N346" s="75"/>
      <c r="O346" s="256"/>
    </row>
    <row r="347" spans="2:16" ht="15.75">
      <c r="H347" s="76" t="s">
        <v>262</v>
      </c>
      <c r="I347" s="230" t="s">
        <v>2149</v>
      </c>
      <c r="J347" s="230">
        <v>44</v>
      </c>
      <c r="K347" s="230" t="s">
        <v>2125</v>
      </c>
      <c r="L347" s="75"/>
      <c r="M347" s="75"/>
      <c r="N347" s="230">
        <v>2114</v>
      </c>
      <c r="O347" s="257"/>
    </row>
    <row r="348" spans="2:16" s="81" customFormat="1" ht="29.45">
      <c r="H348" s="107" t="s">
        <v>523</v>
      </c>
      <c r="I348" s="83"/>
      <c r="J348" s="83">
        <v>393</v>
      </c>
      <c r="K348" s="83" t="s">
        <v>2125</v>
      </c>
      <c r="L348" s="98"/>
      <c r="M348" s="98"/>
      <c r="N348" s="98"/>
      <c r="O348" s="258">
        <v>481</v>
      </c>
      <c r="P348" s="98"/>
    </row>
    <row r="349" spans="2:16" ht="15.75">
      <c r="H349" s="76" t="s">
        <v>2131</v>
      </c>
      <c r="I349" s="230" t="s">
        <v>2171</v>
      </c>
      <c r="J349" s="74">
        <v>3</v>
      </c>
      <c r="K349" s="74" t="s">
        <v>2125</v>
      </c>
      <c r="L349" s="75"/>
      <c r="M349" s="75"/>
      <c r="N349" s="75"/>
      <c r="O349" s="259"/>
      <c r="P349" s="75"/>
    </row>
    <row r="350" spans="2:16" ht="15.75">
      <c r="H350" s="76" t="s">
        <v>2129</v>
      </c>
      <c r="I350" s="74" t="s">
        <v>2130</v>
      </c>
      <c r="J350" s="74">
        <v>9</v>
      </c>
      <c r="K350" s="74" t="s">
        <v>2125</v>
      </c>
      <c r="L350" s="75"/>
      <c r="M350" s="75"/>
      <c r="N350" s="75"/>
      <c r="O350" s="259"/>
      <c r="P350" s="75"/>
    </row>
    <row r="351" spans="2:16" ht="29.45">
      <c r="B351" s="87" t="s">
        <v>2214</v>
      </c>
      <c r="C351" s="10" t="s">
        <v>523</v>
      </c>
      <c r="D351" t="s">
        <v>524</v>
      </c>
      <c r="H351" s="76" t="s">
        <v>470</v>
      </c>
      <c r="I351" s="230" t="s">
        <v>471</v>
      </c>
      <c r="J351" s="74">
        <v>11</v>
      </c>
      <c r="K351" s="74" t="s">
        <v>2125</v>
      </c>
      <c r="L351" s="75"/>
      <c r="M351" s="75"/>
      <c r="N351" s="75"/>
      <c r="O351" s="259"/>
      <c r="P351" s="75"/>
    </row>
    <row r="352" spans="2:16" ht="15.75">
      <c r="H352" s="76" t="s">
        <v>2175</v>
      </c>
      <c r="I352" s="74" t="s">
        <v>2213</v>
      </c>
      <c r="J352" s="74">
        <v>1</v>
      </c>
      <c r="K352" s="74" t="s">
        <v>2125</v>
      </c>
      <c r="L352" s="75"/>
      <c r="M352" s="75"/>
      <c r="N352" s="75"/>
      <c r="O352" s="259"/>
      <c r="P352" s="75"/>
    </row>
    <row r="353" spans="1:16" ht="15.75">
      <c r="H353" s="76" t="s">
        <v>466</v>
      </c>
      <c r="I353" s="74" t="s">
        <v>2126</v>
      </c>
      <c r="J353" s="74">
        <v>160</v>
      </c>
      <c r="K353" s="74" t="s">
        <v>2125</v>
      </c>
      <c r="L353" s="75"/>
      <c r="M353" s="75"/>
      <c r="N353" s="75"/>
      <c r="O353" s="259"/>
      <c r="P353" s="75"/>
    </row>
    <row r="354" spans="1:16" ht="15.75">
      <c r="H354" s="76" t="s">
        <v>106</v>
      </c>
      <c r="I354" s="74" t="s">
        <v>2215</v>
      </c>
      <c r="J354" s="74">
        <v>1</v>
      </c>
      <c r="K354" s="74" t="s">
        <v>2125</v>
      </c>
      <c r="L354" s="75"/>
      <c r="M354" s="75"/>
      <c r="N354" s="75"/>
      <c r="O354" s="259"/>
      <c r="P354" s="75"/>
    </row>
    <row r="355" spans="1:16">
      <c r="H355" s="74" t="s">
        <v>139</v>
      </c>
      <c r="I355" s="74" t="s">
        <v>140</v>
      </c>
      <c r="J355" s="74">
        <v>2</v>
      </c>
      <c r="K355" s="74" t="s">
        <v>2125</v>
      </c>
      <c r="L355" s="75"/>
      <c r="M355" s="75"/>
      <c r="N355" s="75"/>
      <c r="O355" s="259"/>
      <c r="P355" s="75"/>
    </row>
    <row r="356" spans="1:16" ht="15.75">
      <c r="H356" s="76" t="s">
        <v>1018</v>
      </c>
      <c r="I356" s="74" t="s">
        <v>2133</v>
      </c>
      <c r="J356" s="74">
        <v>83</v>
      </c>
      <c r="K356" s="74" t="s">
        <v>2125</v>
      </c>
      <c r="L356" s="75"/>
      <c r="M356" s="75"/>
      <c r="N356" s="75"/>
      <c r="O356" s="259"/>
      <c r="P356" s="75"/>
    </row>
    <row r="357" spans="1:16" s="73" customFormat="1" ht="15.75">
      <c r="H357" s="88" t="s">
        <v>1070</v>
      </c>
      <c r="I357" s="85" t="s">
        <v>2137</v>
      </c>
      <c r="J357" s="85">
        <v>373</v>
      </c>
      <c r="K357" s="85" t="s">
        <v>2125</v>
      </c>
      <c r="L357" s="102"/>
      <c r="M357" s="102"/>
      <c r="N357" s="85">
        <v>1036</v>
      </c>
      <c r="O357" s="260"/>
      <c r="P357" s="102"/>
    </row>
    <row r="358" spans="1:16" ht="29.45">
      <c r="A358" s="81"/>
      <c r="B358" s="81"/>
      <c r="C358" s="81"/>
      <c r="D358" s="81"/>
      <c r="E358" s="81"/>
      <c r="F358" s="81"/>
      <c r="G358" s="81"/>
      <c r="H358" s="106" t="s">
        <v>527</v>
      </c>
      <c r="I358" s="83"/>
      <c r="J358" s="83">
        <v>393</v>
      </c>
      <c r="K358" s="83" t="s">
        <v>2125</v>
      </c>
      <c r="L358" s="98"/>
      <c r="M358" s="98"/>
      <c r="N358" s="98"/>
      <c r="O358" s="258">
        <v>481</v>
      </c>
      <c r="P358" s="98"/>
    </row>
    <row r="359" spans="1:16" ht="15.75">
      <c r="H359" s="76" t="s">
        <v>2131</v>
      </c>
      <c r="I359" s="230" t="s">
        <v>2171</v>
      </c>
      <c r="J359" s="74">
        <v>3</v>
      </c>
      <c r="K359" s="74" t="s">
        <v>2125</v>
      </c>
      <c r="L359" s="75"/>
      <c r="M359" s="75"/>
      <c r="N359" s="75"/>
      <c r="O359" s="259"/>
      <c r="P359" s="75"/>
    </row>
    <row r="360" spans="1:16" ht="15.75">
      <c r="H360" s="76" t="s">
        <v>2129</v>
      </c>
      <c r="I360" s="74" t="s">
        <v>2130</v>
      </c>
      <c r="J360" s="74">
        <v>9</v>
      </c>
      <c r="K360" s="74" t="s">
        <v>2125</v>
      </c>
      <c r="L360" s="75"/>
      <c r="M360" s="75"/>
      <c r="N360" s="75"/>
      <c r="O360" s="259"/>
      <c r="P360" s="75"/>
    </row>
    <row r="361" spans="1:16" ht="15.75">
      <c r="B361" s="87" t="s">
        <v>2214</v>
      </c>
      <c r="C361" s="10" t="s">
        <v>527</v>
      </c>
      <c r="D361" t="s">
        <v>528</v>
      </c>
      <c r="H361" s="76" t="s">
        <v>470</v>
      </c>
      <c r="I361" s="230" t="s">
        <v>471</v>
      </c>
      <c r="J361" s="74">
        <v>11</v>
      </c>
      <c r="K361" s="74" t="s">
        <v>2125</v>
      </c>
      <c r="L361" s="75"/>
      <c r="M361" s="75"/>
      <c r="N361" s="75"/>
      <c r="O361" s="259"/>
      <c r="P361" s="75"/>
    </row>
    <row r="362" spans="1:16" ht="15.75">
      <c r="H362" s="76" t="s">
        <v>2175</v>
      </c>
      <c r="I362" s="74" t="s">
        <v>2213</v>
      </c>
      <c r="J362" s="74">
        <v>1</v>
      </c>
      <c r="K362" s="74" t="s">
        <v>2125</v>
      </c>
      <c r="L362" s="75"/>
      <c r="M362" s="75"/>
      <c r="N362" s="75"/>
      <c r="O362" s="259"/>
      <c r="P362" s="75"/>
    </row>
    <row r="363" spans="1:16" ht="15.75">
      <c r="H363" s="76" t="s">
        <v>466</v>
      </c>
      <c r="I363" s="74" t="s">
        <v>2126</v>
      </c>
      <c r="J363" s="74">
        <v>160</v>
      </c>
      <c r="K363" s="74" t="s">
        <v>2125</v>
      </c>
      <c r="L363" s="75"/>
      <c r="M363" s="75"/>
      <c r="N363" s="75"/>
      <c r="O363" s="259"/>
      <c r="P363" s="75"/>
    </row>
    <row r="364" spans="1:16" ht="15.75">
      <c r="H364" s="76" t="s">
        <v>106</v>
      </c>
      <c r="I364" s="74" t="s">
        <v>2215</v>
      </c>
      <c r="J364" s="74">
        <v>1</v>
      </c>
      <c r="K364" s="74" t="s">
        <v>2125</v>
      </c>
      <c r="L364" s="75"/>
      <c r="M364" s="75"/>
      <c r="N364" s="75"/>
      <c r="O364" s="259"/>
      <c r="P364" s="75"/>
    </row>
    <row r="365" spans="1:16">
      <c r="H365" s="74" t="s">
        <v>139</v>
      </c>
      <c r="I365" s="74" t="s">
        <v>140</v>
      </c>
      <c r="J365" s="74">
        <v>2</v>
      </c>
      <c r="K365" s="74" t="s">
        <v>2125</v>
      </c>
      <c r="L365" s="75"/>
      <c r="M365" s="75"/>
      <c r="N365" s="75"/>
      <c r="O365" s="259"/>
      <c r="P365" s="75"/>
    </row>
    <row r="366" spans="1:16" ht="15.75">
      <c r="H366" s="76" t="s">
        <v>1018</v>
      </c>
      <c r="I366" s="74" t="s">
        <v>2133</v>
      </c>
      <c r="J366" s="74">
        <v>83</v>
      </c>
      <c r="K366" s="74" t="s">
        <v>2125</v>
      </c>
      <c r="L366" s="75"/>
      <c r="M366" s="75"/>
      <c r="N366" s="75"/>
      <c r="O366" s="259"/>
      <c r="P366" s="75"/>
    </row>
    <row r="367" spans="1:16" ht="15.75">
      <c r="A367" s="73"/>
      <c r="B367" s="73"/>
      <c r="C367" s="73"/>
      <c r="D367" s="73"/>
      <c r="E367" s="73"/>
      <c r="F367" s="73"/>
      <c r="G367" s="73"/>
      <c r="H367" s="88" t="s">
        <v>1070</v>
      </c>
      <c r="I367" s="85" t="s">
        <v>2137</v>
      </c>
      <c r="J367" s="85">
        <v>373</v>
      </c>
      <c r="K367" s="85" t="s">
        <v>2125</v>
      </c>
      <c r="L367" s="102"/>
      <c r="M367" s="102"/>
      <c r="N367" s="85">
        <v>1036</v>
      </c>
      <c r="O367" s="260"/>
      <c r="P367" s="102"/>
    </row>
    <row r="368" spans="1:16" ht="29.45">
      <c r="A368" s="81"/>
      <c r="B368" s="81"/>
      <c r="C368" s="81"/>
      <c r="D368" s="81"/>
      <c r="E368" s="81"/>
      <c r="F368" s="81"/>
      <c r="G368" s="81"/>
      <c r="H368" s="106" t="s">
        <v>532</v>
      </c>
      <c r="I368" s="83"/>
      <c r="J368" s="83">
        <v>393</v>
      </c>
      <c r="K368" s="83" t="s">
        <v>2125</v>
      </c>
      <c r="L368" s="98"/>
      <c r="M368" s="98"/>
      <c r="N368" s="98"/>
      <c r="O368" s="258">
        <v>481</v>
      </c>
      <c r="P368" s="98"/>
    </row>
    <row r="369" spans="1:16" ht="15.75">
      <c r="H369" s="76" t="s">
        <v>2131</v>
      </c>
      <c r="I369" s="230" t="s">
        <v>2171</v>
      </c>
      <c r="J369" s="74">
        <v>3</v>
      </c>
      <c r="K369" s="74" t="s">
        <v>2125</v>
      </c>
      <c r="L369" s="75"/>
      <c r="M369" s="75"/>
      <c r="N369" s="75"/>
      <c r="O369" s="259"/>
      <c r="P369" s="75"/>
    </row>
    <row r="370" spans="1:16" ht="15.75">
      <c r="H370" s="76" t="s">
        <v>2129</v>
      </c>
      <c r="I370" s="74" t="s">
        <v>2130</v>
      </c>
      <c r="J370" s="74">
        <v>9</v>
      </c>
      <c r="K370" s="74" t="s">
        <v>2125</v>
      </c>
      <c r="L370" s="75"/>
      <c r="M370" s="75"/>
      <c r="N370" s="75"/>
      <c r="O370" s="259"/>
      <c r="P370" s="75"/>
    </row>
    <row r="371" spans="1:16" ht="15.75">
      <c r="B371" s="87" t="s">
        <v>2214</v>
      </c>
      <c r="C371" s="10" t="s">
        <v>532</v>
      </c>
      <c r="D371" t="s">
        <v>533</v>
      </c>
      <c r="H371" s="76" t="s">
        <v>470</v>
      </c>
      <c r="I371" s="230" t="s">
        <v>471</v>
      </c>
      <c r="J371" s="74">
        <v>11</v>
      </c>
      <c r="K371" s="74" t="s">
        <v>2125</v>
      </c>
      <c r="L371" s="75"/>
      <c r="M371" s="75"/>
      <c r="N371" s="75"/>
      <c r="O371" s="259"/>
      <c r="P371" s="75"/>
    </row>
    <row r="372" spans="1:16" ht="15.75">
      <c r="H372" s="76" t="s">
        <v>2175</v>
      </c>
      <c r="I372" s="74" t="s">
        <v>2213</v>
      </c>
      <c r="J372" s="74">
        <v>1</v>
      </c>
      <c r="K372" s="74" t="s">
        <v>2125</v>
      </c>
      <c r="L372" s="75"/>
      <c r="M372" s="75"/>
      <c r="N372" s="75"/>
      <c r="O372" s="259"/>
      <c r="P372" s="75"/>
    </row>
    <row r="373" spans="1:16" ht="15.75">
      <c r="H373" s="76" t="s">
        <v>466</v>
      </c>
      <c r="I373" s="74" t="s">
        <v>2126</v>
      </c>
      <c r="J373" s="74">
        <v>160</v>
      </c>
      <c r="K373" s="74" t="s">
        <v>2125</v>
      </c>
      <c r="L373" s="75"/>
      <c r="M373" s="75"/>
      <c r="N373" s="75"/>
      <c r="O373" s="259"/>
      <c r="P373" s="75"/>
    </row>
    <row r="374" spans="1:16" ht="15.75">
      <c r="H374" s="76" t="s">
        <v>106</v>
      </c>
      <c r="I374" s="74" t="s">
        <v>2215</v>
      </c>
      <c r="J374" s="74">
        <v>1</v>
      </c>
      <c r="K374" s="74" t="s">
        <v>2125</v>
      </c>
      <c r="L374" s="75"/>
      <c r="M374" s="75"/>
      <c r="N374" s="75"/>
      <c r="O374" s="259"/>
      <c r="P374" s="75"/>
    </row>
    <row r="375" spans="1:16">
      <c r="H375" s="74" t="s">
        <v>139</v>
      </c>
      <c r="I375" s="74" t="s">
        <v>140</v>
      </c>
      <c r="J375" s="74">
        <v>2</v>
      </c>
      <c r="K375" s="74" t="s">
        <v>2125</v>
      </c>
      <c r="L375" s="75"/>
      <c r="M375" s="75"/>
      <c r="N375" s="75"/>
      <c r="O375" s="259"/>
      <c r="P375" s="75"/>
    </row>
    <row r="376" spans="1:16" ht="15.75">
      <c r="H376" s="76" t="s">
        <v>1018</v>
      </c>
      <c r="I376" s="74" t="s">
        <v>2133</v>
      </c>
      <c r="J376" s="74">
        <v>83</v>
      </c>
      <c r="K376" s="74" t="s">
        <v>2125</v>
      </c>
      <c r="L376" s="75"/>
      <c r="M376" s="75"/>
      <c r="N376" s="75"/>
      <c r="O376" s="259"/>
      <c r="P376" s="75"/>
    </row>
    <row r="377" spans="1:16" ht="15.75">
      <c r="A377" s="73"/>
      <c r="B377" s="73"/>
      <c r="C377" s="73"/>
      <c r="D377" s="73"/>
      <c r="E377" s="73"/>
      <c r="F377" s="73"/>
      <c r="G377" s="73"/>
      <c r="H377" s="88" t="s">
        <v>1070</v>
      </c>
      <c r="I377" s="85" t="s">
        <v>2137</v>
      </c>
      <c r="J377" s="85">
        <v>373</v>
      </c>
      <c r="K377" s="85" t="s">
        <v>2125</v>
      </c>
      <c r="L377" s="102"/>
      <c r="M377" s="102"/>
      <c r="N377" s="85">
        <v>1036</v>
      </c>
      <c r="O377" s="260"/>
      <c r="P377" s="102"/>
    </row>
    <row r="378" spans="1:16" ht="29.45">
      <c r="A378" s="81"/>
      <c r="B378" s="81"/>
      <c r="C378" s="81"/>
      <c r="D378" s="81"/>
      <c r="E378" s="81"/>
      <c r="F378" s="81"/>
      <c r="G378" s="81"/>
      <c r="H378" s="106" t="s">
        <v>536</v>
      </c>
      <c r="I378" s="83"/>
      <c r="J378" s="83">
        <v>393</v>
      </c>
      <c r="K378" s="83" t="s">
        <v>2125</v>
      </c>
      <c r="L378" s="98"/>
      <c r="M378" s="98"/>
      <c r="N378" s="98"/>
      <c r="O378" s="258">
        <v>481</v>
      </c>
      <c r="P378" s="98"/>
    </row>
    <row r="379" spans="1:16" ht="15.75">
      <c r="H379" s="76" t="s">
        <v>2131</v>
      </c>
      <c r="I379" s="230" t="s">
        <v>2171</v>
      </c>
      <c r="J379" s="74">
        <v>3</v>
      </c>
      <c r="K379" s="74" t="s">
        <v>2125</v>
      </c>
      <c r="L379" s="75"/>
      <c r="M379" s="75"/>
      <c r="N379" s="75"/>
      <c r="O379" s="259"/>
      <c r="P379" s="75"/>
    </row>
    <row r="380" spans="1:16" ht="15.75">
      <c r="H380" s="76" t="s">
        <v>2129</v>
      </c>
      <c r="I380" s="74" t="s">
        <v>2130</v>
      </c>
      <c r="J380" s="74">
        <v>9</v>
      </c>
      <c r="K380" s="74" t="s">
        <v>2125</v>
      </c>
      <c r="L380" s="75"/>
      <c r="M380" s="75"/>
      <c r="N380" s="75"/>
      <c r="O380" s="259"/>
      <c r="P380" s="75"/>
    </row>
    <row r="381" spans="1:16" ht="29.45">
      <c r="B381" s="87" t="s">
        <v>2214</v>
      </c>
      <c r="C381" s="10" t="s">
        <v>536</v>
      </c>
      <c r="D381" t="s">
        <v>537</v>
      </c>
      <c r="H381" s="76" t="s">
        <v>470</v>
      </c>
      <c r="I381" s="230" t="s">
        <v>471</v>
      </c>
      <c r="J381" s="74">
        <v>11</v>
      </c>
      <c r="K381" s="74" t="s">
        <v>2125</v>
      </c>
      <c r="L381" s="75"/>
      <c r="M381" s="75"/>
      <c r="N381" s="75"/>
      <c r="O381" s="259"/>
      <c r="P381" s="75"/>
    </row>
    <row r="382" spans="1:16" ht="15.75">
      <c r="H382" s="76" t="s">
        <v>2175</v>
      </c>
      <c r="I382" s="74" t="s">
        <v>2213</v>
      </c>
      <c r="J382" s="74">
        <v>1</v>
      </c>
      <c r="K382" s="74" t="s">
        <v>2125</v>
      </c>
      <c r="L382" s="75"/>
      <c r="M382" s="75"/>
      <c r="N382" s="75"/>
      <c r="O382" s="259"/>
      <c r="P382" s="75"/>
    </row>
    <row r="383" spans="1:16" ht="15.75">
      <c r="H383" s="76" t="s">
        <v>466</v>
      </c>
      <c r="I383" s="74" t="s">
        <v>2126</v>
      </c>
      <c r="J383" s="74">
        <v>160</v>
      </c>
      <c r="K383" s="74" t="s">
        <v>2125</v>
      </c>
      <c r="L383" s="75"/>
      <c r="M383" s="75"/>
      <c r="N383" s="75"/>
      <c r="O383" s="259"/>
      <c r="P383" s="75"/>
    </row>
    <row r="384" spans="1:16" ht="15.75">
      <c r="H384" s="76" t="s">
        <v>106</v>
      </c>
      <c r="I384" s="74" t="s">
        <v>2215</v>
      </c>
      <c r="J384" s="74">
        <v>1</v>
      </c>
      <c r="K384" s="74" t="s">
        <v>2125</v>
      </c>
      <c r="L384" s="75"/>
      <c r="M384" s="75"/>
      <c r="N384" s="75"/>
      <c r="O384" s="259"/>
      <c r="P384" s="75"/>
    </row>
    <row r="385" spans="1:16">
      <c r="H385" s="74" t="s">
        <v>139</v>
      </c>
      <c r="I385" s="74" t="s">
        <v>140</v>
      </c>
      <c r="J385" s="74">
        <v>2</v>
      </c>
      <c r="K385" s="74" t="s">
        <v>2125</v>
      </c>
      <c r="L385" s="75"/>
      <c r="M385" s="75"/>
      <c r="N385" s="75"/>
      <c r="O385" s="259"/>
      <c r="P385" s="75"/>
    </row>
    <row r="386" spans="1:16" ht="15.75">
      <c r="H386" s="76" t="s">
        <v>1018</v>
      </c>
      <c r="I386" s="74" t="s">
        <v>2133</v>
      </c>
      <c r="J386" s="74">
        <v>83</v>
      </c>
      <c r="K386" s="74" t="s">
        <v>2125</v>
      </c>
      <c r="L386" s="75"/>
      <c r="M386" s="75"/>
      <c r="N386" s="75"/>
      <c r="O386" s="259"/>
      <c r="P386" s="75"/>
    </row>
    <row r="387" spans="1:16" ht="15.75">
      <c r="A387" s="73"/>
      <c r="B387" s="73"/>
      <c r="C387" s="73"/>
      <c r="D387" s="73"/>
      <c r="E387" s="73"/>
      <c r="F387" s="73"/>
      <c r="G387" s="73"/>
      <c r="H387" s="88" t="s">
        <v>1070</v>
      </c>
      <c r="I387" s="85" t="s">
        <v>2137</v>
      </c>
      <c r="J387" s="85">
        <v>373</v>
      </c>
      <c r="K387" s="85" t="s">
        <v>2125</v>
      </c>
      <c r="L387" s="102"/>
      <c r="M387" s="102"/>
      <c r="N387" s="85">
        <v>1036</v>
      </c>
      <c r="O387" s="260"/>
      <c r="P387" s="102"/>
    </row>
    <row r="388" spans="1:16" ht="29.45">
      <c r="A388" s="81"/>
      <c r="B388" s="81"/>
      <c r="C388" s="81"/>
      <c r="D388" s="81"/>
      <c r="E388" s="81"/>
      <c r="F388" s="81"/>
      <c r="G388" s="81"/>
      <c r="H388" s="106" t="s">
        <v>540</v>
      </c>
      <c r="I388" s="83"/>
      <c r="J388" s="83">
        <v>393</v>
      </c>
      <c r="K388" s="83" t="s">
        <v>2125</v>
      </c>
      <c r="L388" s="98"/>
      <c r="M388" s="98"/>
      <c r="N388" s="98"/>
      <c r="O388" s="258">
        <v>481</v>
      </c>
      <c r="P388" s="98"/>
    </row>
    <row r="389" spans="1:16" ht="15.75">
      <c r="H389" s="76" t="s">
        <v>2131</v>
      </c>
      <c r="I389" s="230" t="s">
        <v>2171</v>
      </c>
      <c r="J389" s="74">
        <v>3</v>
      </c>
      <c r="K389" s="74" t="s">
        <v>2125</v>
      </c>
      <c r="L389" s="75"/>
      <c r="M389" s="75"/>
      <c r="N389" s="75"/>
      <c r="O389" s="259"/>
      <c r="P389" s="75"/>
    </row>
    <row r="390" spans="1:16" ht="15.75">
      <c r="H390" s="76" t="s">
        <v>2129</v>
      </c>
      <c r="I390" s="74" t="s">
        <v>2130</v>
      </c>
      <c r="J390" s="74">
        <v>9</v>
      </c>
      <c r="K390" s="74" t="s">
        <v>2125</v>
      </c>
      <c r="L390" s="75"/>
      <c r="M390" s="75"/>
      <c r="N390" s="75"/>
      <c r="O390" s="259"/>
      <c r="P390" s="75"/>
    </row>
    <row r="391" spans="1:16" ht="29.45">
      <c r="B391" s="87" t="s">
        <v>2214</v>
      </c>
      <c r="C391" s="10" t="s">
        <v>540</v>
      </c>
      <c r="D391" t="s">
        <v>541</v>
      </c>
      <c r="H391" s="76" t="s">
        <v>470</v>
      </c>
      <c r="I391" s="230" t="s">
        <v>471</v>
      </c>
      <c r="J391" s="74">
        <v>11</v>
      </c>
      <c r="K391" s="74" t="s">
        <v>2125</v>
      </c>
      <c r="L391" s="75"/>
      <c r="M391" s="75"/>
      <c r="N391" s="75"/>
      <c r="O391" s="259"/>
      <c r="P391" s="75"/>
    </row>
    <row r="392" spans="1:16" ht="15.75">
      <c r="H392" s="76" t="s">
        <v>2175</v>
      </c>
      <c r="I392" s="74" t="s">
        <v>2213</v>
      </c>
      <c r="J392" s="74">
        <v>1</v>
      </c>
      <c r="K392" s="74" t="s">
        <v>2125</v>
      </c>
      <c r="L392" s="75"/>
      <c r="M392" s="75"/>
      <c r="N392" s="75"/>
      <c r="O392" s="259"/>
      <c r="P392" s="75"/>
    </row>
    <row r="393" spans="1:16" ht="15.75">
      <c r="H393" s="76" t="s">
        <v>466</v>
      </c>
      <c r="I393" s="74" t="s">
        <v>2126</v>
      </c>
      <c r="J393" s="74">
        <v>160</v>
      </c>
      <c r="K393" s="74" t="s">
        <v>2125</v>
      </c>
      <c r="L393" s="75"/>
      <c r="M393" s="75"/>
      <c r="N393" s="75"/>
      <c r="O393" s="259"/>
      <c r="P393" s="75"/>
    </row>
    <row r="394" spans="1:16" ht="15.75">
      <c r="H394" s="76" t="s">
        <v>106</v>
      </c>
      <c r="I394" s="74" t="s">
        <v>2215</v>
      </c>
      <c r="J394" s="74">
        <v>1</v>
      </c>
      <c r="K394" s="74" t="s">
        <v>2125</v>
      </c>
      <c r="L394" s="75"/>
      <c r="M394" s="75"/>
      <c r="N394" s="75"/>
      <c r="O394" s="259"/>
      <c r="P394" s="75"/>
    </row>
    <row r="395" spans="1:16">
      <c r="H395" s="74" t="s">
        <v>139</v>
      </c>
      <c r="I395" s="74" t="s">
        <v>140</v>
      </c>
      <c r="J395" s="74">
        <v>2</v>
      </c>
      <c r="K395" s="74" t="s">
        <v>2125</v>
      </c>
      <c r="L395" s="75"/>
      <c r="M395" s="75"/>
      <c r="N395" s="75"/>
      <c r="O395" s="259"/>
      <c r="P395" s="75"/>
    </row>
    <row r="396" spans="1:16" ht="15.75">
      <c r="H396" s="76" t="s">
        <v>1018</v>
      </c>
      <c r="I396" s="74" t="s">
        <v>2133</v>
      </c>
      <c r="J396" s="74">
        <v>83</v>
      </c>
      <c r="K396" s="74" t="s">
        <v>2125</v>
      </c>
      <c r="L396" s="75"/>
      <c r="M396" s="75"/>
      <c r="N396" s="75"/>
      <c r="O396" s="259"/>
      <c r="P396" s="75"/>
    </row>
    <row r="397" spans="1:16" ht="15.75">
      <c r="A397" s="73"/>
      <c r="B397" s="73"/>
      <c r="C397" s="73"/>
      <c r="D397" s="73"/>
      <c r="E397" s="73"/>
      <c r="F397" s="73"/>
      <c r="G397" s="73"/>
      <c r="H397" s="88" t="s">
        <v>1070</v>
      </c>
      <c r="I397" s="85" t="s">
        <v>2137</v>
      </c>
      <c r="J397" s="85">
        <v>373</v>
      </c>
      <c r="K397" s="85" t="s">
        <v>2125</v>
      </c>
      <c r="L397" s="102"/>
      <c r="M397" s="102"/>
      <c r="N397" s="85">
        <v>1036</v>
      </c>
      <c r="O397" s="260"/>
      <c r="P397" s="102"/>
    </row>
    <row r="398" spans="1:16" ht="29.45">
      <c r="A398" s="81"/>
      <c r="B398" s="81"/>
      <c r="C398" s="81"/>
      <c r="D398" s="81"/>
      <c r="E398" s="81"/>
      <c r="F398" s="81"/>
      <c r="G398" s="81"/>
      <c r="H398" s="106" t="s">
        <v>549</v>
      </c>
      <c r="I398" s="83"/>
      <c r="J398" s="83">
        <v>393</v>
      </c>
      <c r="K398" s="83" t="s">
        <v>2125</v>
      </c>
      <c r="L398" s="98"/>
      <c r="M398" s="98"/>
      <c r="N398" s="98"/>
      <c r="O398" s="258">
        <v>481</v>
      </c>
      <c r="P398" s="98"/>
    </row>
    <row r="399" spans="1:16" ht="15.75">
      <c r="H399" s="76" t="s">
        <v>2131</v>
      </c>
      <c r="I399" s="230" t="s">
        <v>2171</v>
      </c>
      <c r="J399" s="74">
        <v>3</v>
      </c>
      <c r="K399" s="74" t="s">
        <v>2125</v>
      </c>
      <c r="L399" s="75"/>
      <c r="M399" s="75"/>
      <c r="N399" s="75"/>
      <c r="O399" s="259"/>
      <c r="P399" s="75"/>
    </row>
    <row r="400" spans="1:16" ht="15.75">
      <c r="H400" s="76" t="s">
        <v>2129</v>
      </c>
      <c r="I400" s="74" t="s">
        <v>2130</v>
      </c>
      <c r="J400" s="74">
        <v>9</v>
      </c>
      <c r="K400" s="74" t="s">
        <v>2125</v>
      </c>
      <c r="L400" s="75"/>
      <c r="M400" s="75"/>
      <c r="N400" s="75"/>
      <c r="O400" s="259"/>
      <c r="P400" s="75"/>
    </row>
    <row r="401" spans="2:16" ht="15.75">
      <c r="B401" s="87" t="s">
        <v>2214</v>
      </c>
      <c r="C401" s="10" t="s">
        <v>549</v>
      </c>
      <c r="D401" t="s">
        <v>550</v>
      </c>
      <c r="H401" s="76" t="s">
        <v>470</v>
      </c>
      <c r="I401" s="230" t="s">
        <v>471</v>
      </c>
      <c r="J401" s="74">
        <v>11</v>
      </c>
      <c r="K401" s="74" t="s">
        <v>2125</v>
      </c>
      <c r="L401" s="75"/>
      <c r="M401" s="75"/>
      <c r="N401" s="75"/>
      <c r="O401" s="259"/>
      <c r="P401" s="75"/>
    </row>
    <row r="402" spans="2:16" ht="15.75">
      <c r="H402" s="76" t="s">
        <v>2175</v>
      </c>
      <c r="I402" s="74" t="s">
        <v>2213</v>
      </c>
      <c r="J402" s="74">
        <v>1</v>
      </c>
      <c r="K402" s="74" t="s">
        <v>2125</v>
      </c>
      <c r="L402" s="75"/>
      <c r="M402" s="75"/>
      <c r="N402" s="75"/>
      <c r="O402" s="259"/>
      <c r="P402" s="75"/>
    </row>
    <row r="403" spans="2:16" ht="15.75">
      <c r="H403" s="76" t="s">
        <v>466</v>
      </c>
      <c r="I403" s="74" t="s">
        <v>2126</v>
      </c>
      <c r="J403" s="74">
        <v>160</v>
      </c>
      <c r="K403" s="74" t="s">
        <v>2125</v>
      </c>
      <c r="L403" s="75"/>
      <c r="M403" s="75"/>
      <c r="N403" s="75"/>
      <c r="O403" s="259"/>
      <c r="P403" s="75"/>
    </row>
    <row r="404" spans="2:16" ht="15.75">
      <c r="H404" s="76" t="s">
        <v>106</v>
      </c>
      <c r="I404" s="74" t="s">
        <v>2215</v>
      </c>
      <c r="J404" s="74">
        <v>1</v>
      </c>
      <c r="K404" s="74" t="s">
        <v>2125</v>
      </c>
      <c r="L404" s="75"/>
      <c r="M404" s="75"/>
      <c r="N404" s="75"/>
      <c r="O404" s="259"/>
      <c r="P404" s="75"/>
    </row>
    <row r="405" spans="2:16">
      <c r="H405" s="74" t="s">
        <v>139</v>
      </c>
      <c r="I405" s="74" t="s">
        <v>140</v>
      </c>
      <c r="J405" s="74">
        <v>2</v>
      </c>
      <c r="K405" s="74" t="s">
        <v>2125</v>
      </c>
      <c r="L405" s="75"/>
      <c r="M405" s="75"/>
      <c r="N405" s="75"/>
      <c r="O405" s="259"/>
      <c r="P405" s="75"/>
    </row>
    <row r="406" spans="2:16" ht="15.75">
      <c r="H406" s="76" t="s">
        <v>1018</v>
      </c>
      <c r="I406" s="74" t="s">
        <v>2133</v>
      </c>
      <c r="J406" s="74">
        <v>83</v>
      </c>
      <c r="K406" s="74" t="s">
        <v>2125</v>
      </c>
      <c r="L406" s="75"/>
      <c r="M406" s="75"/>
      <c r="N406" s="75"/>
      <c r="O406" s="259"/>
      <c r="P406" s="75"/>
    </row>
    <row r="407" spans="2:16" ht="15.75">
      <c r="H407" s="76" t="s">
        <v>1070</v>
      </c>
      <c r="I407" s="74" t="s">
        <v>2137</v>
      </c>
      <c r="J407" s="74">
        <v>373</v>
      </c>
      <c r="K407" s="74" t="s">
        <v>2125</v>
      </c>
      <c r="L407" s="75"/>
      <c r="M407" s="75"/>
      <c r="N407" s="74">
        <v>1036</v>
      </c>
      <c r="O407" s="260"/>
      <c r="P407" s="75"/>
    </row>
    <row r="408" spans="2:16" s="81" customFormat="1" ht="15" customHeight="1">
      <c r="H408" s="103" t="s">
        <v>553</v>
      </c>
      <c r="I408" s="231"/>
      <c r="J408" s="231">
        <v>440</v>
      </c>
      <c r="K408" s="231" t="s">
        <v>2125</v>
      </c>
      <c r="L408" s="98"/>
      <c r="M408" s="98"/>
      <c r="N408" s="98"/>
      <c r="O408" s="255">
        <v>734</v>
      </c>
    </row>
    <row r="409" spans="2:16" ht="15.75">
      <c r="H409" s="76" t="s">
        <v>466</v>
      </c>
      <c r="I409" s="230" t="s">
        <v>2126</v>
      </c>
      <c r="J409" s="230">
        <v>334</v>
      </c>
      <c r="K409" s="230" t="s">
        <v>2125</v>
      </c>
      <c r="L409" s="75"/>
      <c r="M409" s="75"/>
      <c r="N409" s="75"/>
      <c r="O409" s="256"/>
    </row>
    <row r="410" spans="2:16" ht="15.75">
      <c r="H410" s="76" t="s">
        <v>470</v>
      </c>
      <c r="I410" s="230" t="s">
        <v>471</v>
      </c>
      <c r="J410" s="230">
        <v>65</v>
      </c>
      <c r="K410" s="230" t="s">
        <v>2125</v>
      </c>
      <c r="L410" s="75"/>
      <c r="M410" s="75"/>
      <c r="N410" s="75"/>
      <c r="O410" s="256"/>
    </row>
    <row r="411" spans="2:16" ht="29.45">
      <c r="B411" s="87" t="s">
        <v>2216</v>
      </c>
      <c r="C411" s="10" t="s">
        <v>553</v>
      </c>
      <c r="D411" t="s">
        <v>554</v>
      </c>
      <c r="H411" s="76" t="s">
        <v>2129</v>
      </c>
      <c r="I411" s="230" t="s">
        <v>2130</v>
      </c>
      <c r="J411" s="230">
        <v>36</v>
      </c>
      <c r="K411" s="230" t="s">
        <v>2125</v>
      </c>
      <c r="L411" s="75"/>
      <c r="M411" s="75"/>
      <c r="N411" s="75"/>
      <c r="O411" s="256"/>
    </row>
    <row r="412" spans="2:16" ht="15.75">
      <c r="H412" s="76" t="s">
        <v>2131</v>
      </c>
      <c r="I412" s="230" t="s">
        <v>2132</v>
      </c>
      <c r="J412" s="230">
        <v>4</v>
      </c>
      <c r="K412" s="230" t="s">
        <v>2125</v>
      </c>
      <c r="L412" s="75"/>
      <c r="M412" s="75"/>
      <c r="N412" s="75"/>
      <c r="O412" s="256"/>
    </row>
    <row r="413" spans="2:16" ht="15.75">
      <c r="H413" s="76" t="s">
        <v>1018</v>
      </c>
      <c r="I413" s="74" t="s">
        <v>2133</v>
      </c>
      <c r="J413" s="230">
        <v>92</v>
      </c>
      <c r="K413" s="230" t="s">
        <v>2125</v>
      </c>
      <c r="L413" s="75"/>
      <c r="M413" s="75"/>
      <c r="N413" s="75"/>
      <c r="O413" s="256"/>
    </row>
    <row r="414" spans="2:16" ht="15.75">
      <c r="H414" s="76" t="s">
        <v>1070</v>
      </c>
      <c r="I414" s="230" t="s">
        <v>2137</v>
      </c>
      <c r="J414" s="230">
        <v>288</v>
      </c>
      <c r="K414" s="230" t="s">
        <v>2125</v>
      </c>
      <c r="L414" s="75"/>
      <c r="M414" s="75"/>
      <c r="N414" s="75"/>
      <c r="O414" s="256"/>
    </row>
    <row r="415" spans="2:16" ht="15.75">
      <c r="H415" s="76" t="s">
        <v>106</v>
      </c>
      <c r="I415" s="230" t="s">
        <v>2217</v>
      </c>
      <c r="J415" s="230">
        <v>3</v>
      </c>
      <c r="K415" s="230" t="s">
        <v>2125</v>
      </c>
      <c r="L415" s="75"/>
      <c r="M415" s="75"/>
      <c r="N415" s="75"/>
      <c r="O415" s="256"/>
    </row>
    <row r="416" spans="2:16" s="73" customFormat="1" ht="15.75">
      <c r="H416" s="88" t="s">
        <v>262</v>
      </c>
      <c r="I416" s="232" t="s">
        <v>2149</v>
      </c>
      <c r="J416" s="232">
        <v>45</v>
      </c>
      <c r="K416" s="232" t="s">
        <v>2125</v>
      </c>
      <c r="L416" s="102"/>
      <c r="M416" s="102"/>
      <c r="N416" s="232">
        <v>1307</v>
      </c>
      <c r="O416" s="257"/>
    </row>
    <row r="417" spans="1:16">
      <c r="A417" s="81"/>
      <c r="B417" s="81"/>
      <c r="C417" s="81"/>
      <c r="D417" s="81"/>
      <c r="E417" s="81"/>
      <c r="F417" s="81"/>
      <c r="G417" s="81"/>
      <c r="H417" s="106" t="s">
        <v>563</v>
      </c>
      <c r="I417" s="231"/>
      <c r="J417" s="231">
        <v>440</v>
      </c>
      <c r="K417" s="231" t="s">
        <v>2125</v>
      </c>
      <c r="L417" s="98"/>
      <c r="M417" s="98"/>
      <c r="N417" s="98"/>
      <c r="O417" s="255">
        <v>734</v>
      </c>
      <c r="P417" s="81"/>
    </row>
    <row r="418" spans="1:16" ht="15.75">
      <c r="H418" s="76" t="s">
        <v>466</v>
      </c>
      <c r="I418" s="230" t="s">
        <v>2126</v>
      </c>
      <c r="J418" s="230">
        <v>334</v>
      </c>
      <c r="K418" s="230" t="s">
        <v>2125</v>
      </c>
      <c r="L418" s="75"/>
      <c r="M418" s="75"/>
      <c r="N418" s="75"/>
      <c r="O418" s="256"/>
    </row>
    <row r="419" spans="1:16" ht="15.75">
      <c r="H419" s="76" t="s">
        <v>470</v>
      </c>
      <c r="I419" s="230" t="s">
        <v>471</v>
      </c>
      <c r="J419" s="230">
        <v>65</v>
      </c>
      <c r="K419" s="230" t="s">
        <v>2125</v>
      </c>
      <c r="L419" s="75"/>
      <c r="M419" s="75"/>
      <c r="N419" s="75"/>
      <c r="O419" s="256"/>
    </row>
    <row r="420" spans="1:16" ht="15.75">
      <c r="B420" s="87" t="s">
        <v>2216</v>
      </c>
      <c r="C420" s="10" t="s">
        <v>563</v>
      </c>
      <c r="D420" t="s">
        <v>564</v>
      </c>
      <c r="H420" s="76" t="s">
        <v>2129</v>
      </c>
      <c r="I420" s="230" t="s">
        <v>2130</v>
      </c>
      <c r="J420" s="230">
        <v>36</v>
      </c>
      <c r="K420" s="230" t="s">
        <v>2125</v>
      </c>
      <c r="L420" s="75"/>
      <c r="M420" s="75"/>
      <c r="N420" s="75"/>
      <c r="O420" s="256"/>
    </row>
    <row r="421" spans="1:16" ht="15.75">
      <c r="H421" s="76" t="s">
        <v>2131</v>
      </c>
      <c r="I421" s="230" t="s">
        <v>2132</v>
      </c>
      <c r="J421" s="230">
        <v>4</v>
      </c>
      <c r="K421" s="230" t="s">
        <v>2125</v>
      </c>
      <c r="L421" s="75"/>
      <c r="M421" s="75"/>
      <c r="N421" s="75"/>
      <c r="O421" s="256"/>
    </row>
    <row r="422" spans="1:16" ht="15.75">
      <c r="H422" s="76" t="s">
        <v>1018</v>
      </c>
      <c r="I422" s="74" t="s">
        <v>2133</v>
      </c>
      <c r="J422" s="230">
        <v>92</v>
      </c>
      <c r="K422" s="230" t="s">
        <v>2125</v>
      </c>
      <c r="L422" s="75"/>
      <c r="M422" s="75"/>
      <c r="N422" s="75"/>
      <c r="O422" s="256"/>
    </row>
    <row r="423" spans="1:16" ht="15.75">
      <c r="H423" s="76" t="s">
        <v>1070</v>
      </c>
      <c r="I423" s="230" t="s">
        <v>2137</v>
      </c>
      <c r="J423" s="230">
        <v>288</v>
      </c>
      <c r="K423" s="230" t="s">
        <v>2125</v>
      </c>
      <c r="L423" s="75"/>
      <c r="M423" s="75"/>
      <c r="N423" s="75"/>
      <c r="O423" s="256"/>
    </row>
    <row r="424" spans="1:16" ht="15.75">
      <c r="H424" s="76" t="s">
        <v>106</v>
      </c>
      <c r="I424" s="230" t="s">
        <v>2217</v>
      </c>
      <c r="J424" s="230">
        <v>3</v>
      </c>
      <c r="K424" s="230" t="s">
        <v>2125</v>
      </c>
      <c r="L424" s="75"/>
      <c r="M424" s="75"/>
      <c r="N424" s="75"/>
      <c r="O424" s="256"/>
    </row>
    <row r="425" spans="1:16" ht="15.75">
      <c r="A425" s="73"/>
      <c r="B425" s="73"/>
      <c r="C425" s="73"/>
      <c r="D425" s="73"/>
      <c r="E425" s="73"/>
      <c r="F425" s="73"/>
      <c r="G425" s="73"/>
      <c r="H425" s="88" t="s">
        <v>262</v>
      </c>
      <c r="I425" s="232" t="s">
        <v>2149</v>
      </c>
      <c r="J425" s="232">
        <v>45</v>
      </c>
      <c r="K425" s="232" t="s">
        <v>2125</v>
      </c>
      <c r="L425" s="102"/>
      <c r="M425" s="102"/>
      <c r="N425" s="232">
        <v>1307</v>
      </c>
      <c r="O425" s="257"/>
      <c r="P425" s="73"/>
    </row>
    <row r="426" spans="1:16">
      <c r="A426" s="81"/>
      <c r="B426" s="81"/>
      <c r="C426" s="81"/>
      <c r="D426" s="81"/>
      <c r="E426" s="81"/>
      <c r="F426" s="81"/>
      <c r="G426" s="81"/>
      <c r="H426" s="106" t="s">
        <v>2218</v>
      </c>
      <c r="I426" s="231"/>
      <c r="J426" s="231">
        <v>440</v>
      </c>
      <c r="K426" s="231" t="s">
        <v>2125</v>
      </c>
      <c r="L426" s="98"/>
      <c r="M426" s="98"/>
      <c r="N426" s="98"/>
      <c r="O426" s="255">
        <v>734</v>
      </c>
      <c r="P426" s="81"/>
    </row>
    <row r="427" spans="1:16" ht="15.75">
      <c r="H427" s="76" t="s">
        <v>466</v>
      </c>
      <c r="I427" s="230" t="s">
        <v>2126</v>
      </c>
      <c r="J427" s="230">
        <v>334</v>
      </c>
      <c r="K427" s="230" t="s">
        <v>2125</v>
      </c>
      <c r="L427" s="75"/>
      <c r="M427" s="75"/>
      <c r="N427" s="75"/>
      <c r="O427" s="256"/>
    </row>
    <row r="428" spans="1:16" ht="15.75">
      <c r="H428" s="76" t="s">
        <v>470</v>
      </c>
      <c r="I428" s="230" t="s">
        <v>471</v>
      </c>
      <c r="J428" s="230">
        <v>65</v>
      </c>
      <c r="K428" s="230" t="s">
        <v>2125</v>
      </c>
      <c r="L428" s="75"/>
      <c r="M428" s="75"/>
      <c r="N428" s="75"/>
      <c r="O428" s="256"/>
    </row>
    <row r="429" spans="1:16" ht="15.75">
      <c r="B429" s="87" t="s">
        <v>2216</v>
      </c>
      <c r="C429" s="10" t="s">
        <v>2218</v>
      </c>
      <c r="D429" t="s">
        <v>568</v>
      </c>
      <c r="H429" s="76" t="s">
        <v>2129</v>
      </c>
      <c r="I429" s="230" t="s">
        <v>2130</v>
      </c>
      <c r="J429" s="230">
        <v>36</v>
      </c>
      <c r="K429" s="230" t="s">
        <v>2125</v>
      </c>
      <c r="L429" s="75"/>
      <c r="M429" s="75"/>
      <c r="N429" s="75"/>
      <c r="O429" s="256"/>
    </row>
    <row r="430" spans="1:16" ht="15.75">
      <c r="H430" s="76" t="s">
        <v>2131</v>
      </c>
      <c r="I430" s="230" t="s">
        <v>2132</v>
      </c>
      <c r="J430" s="230">
        <v>4</v>
      </c>
      <c r="K430" s="230" t="s">
        <v>2125</v>
      </c>
      <c r="L430" s="75"/>
      <c r="M430" s="75"/>
      <c r="N430" s="75"/>
      <c r="O430" s="256"/>
    </row>
    <row r="431" spans="1:16" ht="15.75">
      <c r="H431" s="76" t="s">
        <v>1018</v>
      </c>
      <c r="I431" s="74" t="s">
        <v>2133</v>
      </c>
      <c r="J431" s="230">
        <v>92</v>
      </c>
      <c r="K431" s="230" t="s">
        <v>2125</v>
      </c>
      <c r="L431" s="75"/>
      <c r="M431" s="75"/>
      <c r="N431" s="75"/>
      <c r="O431" s="256"/>
    </row>
    <row r="432" spans="1:16" ht="15.75">
      <c r="H432" s="76" t="s">
        <v>1070</v>
      </c>
      <c r="I432" s="230" t="s">
        <v>2137</v>
      </c>
      <c r="J432" s="230">
        <v>288</v>
      </c>
      <c r="K432" s="230" t="s">
        <v>2125</v>
      </c>
      <c r="L432" s="75"/>
      <c r="M432" s="75"/>
      <c r="N432" s="75"/>
      <c r="O432" s="256"/>
    </row>
    <row r="433" spans="1:16" ht="15.75">
      <c r="H433" s="76" t="s">
        <v>106</v>
      </c>
      <c r="I433" s="230" t="s">
        <v>2217</v>
      </c>
      <c r="J433" s="230">
        <v>3</v>
      </c>
      <c r="K433" s="230" t="s">
        <v>2125</v>
      </c>
      <c r="L433" s="75"/>
      <c r="M433" s="75"/>
      <c r="N433" s="75"/>
      <c r="O433" s="256"/>
    </row>
    <row r="434" spans="1:16" ht="15.75">
      <c r="A434" s="73"/>
      <c r="B434" s="73"/>
      <c r="C434" s="73"/>
      <c r="D434" s="73"/>
      <c r="E434" s="73"/>
      <c r="F434" s="73"/>
      <c r="G434" s="73"/>
      <c r="H434" s="88" t="s">
        <v>262</v>
      </c>
      <c r="I434" s="232" t="s">
        <v>2149</v>
      </c>
      <c r="J434" s="232">
        <v>45</v>
      </c>
      <c r="K434" s="232" t="s">
        <v>2125</v>
      </c>
      <c r="L434" s="102"/>
      <c r="M434" s="102"/>
      <c r="N434" s="232">
        <v>1307</v>
      </c>
      <c r="O434" s="257"/>
      <c r="P434" s="73"/>
    </row>
    <row r="435" spans="1:16" ht="29.45">
      <c r="A435" s="81"/>
      <c r="B435" s="81"/>
      <c r="C435" s="81"/>
      <c r="D435" s="81"/>
      <c r="E435" s="81"/>
      <c r="F435" s="81"/>
      <c r="G435" s="81"/>
      <c r="H435" s="106" t="s">
        <v>571</v>
      </c>
      <c r="I435" s="231"/>
      <c r="J435" s="231">
        <v>440</v>
      </c>
      <c r="K435" s="231" t="s">
        <v>2125</v>
      </c>
      <c r="L435" s="98"/>
      <c r="M435" s="98"/>
      <c r="N435" s="98"/>
      <c r="O435" s="255">
        <v>734</v>
      </c>
      <c r="P435" s="81"/>
    </row>
    <row r="436" spans="1:16" ht="15.75">
      <c r="H436" s="76" t="s">
        <v>466</v>
      </c>
      <c r="I436" s="230" t="s">
        <v>2126</v>
      </c>
      <c r="J436" s="230">
        <v>334</v>
      </c>
      <c r="K436" s="230" t="s">
        <v>2125</v>
      </c>
      <c r="L436" s="75"/>
      <c r="M436" s="75"/>
      <c r="N436" s="75"/>
      <c r="O436" s="256"/>
    </row>
    <row r="437" spans="1:16" ht="15.75">
      <c r="H437" s="76" t="s">
        <v>470</v>
      </c>
      <c r="I437" s="230" t="s">
        <v>471</v>
      </c>
      <c r="J437" s="230">
        <v>65</v>
      </c>
      <c r="K437" s="230" t="s">
        <v>2125</v>
      </c>
      <c r="L437" s="75"/>
      <c r="M437" s="75"/>
      <c r="N437" s="75"/>
      <c r="O437" s="256"/>
    </row>
    <row r="438" spans="1:16" ht="15.75">
      <c r="B438" s="87" t="s">
        <v>2216</v>
      </c>
      <c r="C438" s="10" t="s">
        <v>571</v>
      </c>
      <c r="D438" t="s">
        <v>572</v>
      </c>
      <c r="H438" s="76" t="s">
        <v>2129</v>
      </c>
      <c r="I438" s="230" t="s">
        <v>2130</v>
      </c>
      <c r="J438" s="230">
        <v>36</v>
      </c>
      <c r="K438" s="230" t="s">
        <v>2125</v>
      </c>
      <c r="L438" s="75"/>
      <c r="M438" s="75"/>
      <c r="N438" s="75"/>
      <c r="O438" s="256"/>
    </row>
    <row r="439" spans="1:16" ht="15.75">
      <c r="H439" s="76" t="s">
        <v>2131</v>
      </c>
      <c r="I439" s="230" t="s">
        <v>2132</v>
      </c>
      <c r="J439" s="230">
        <v>4</v>
      </c>
      <c r="K439" s="230" t="s">
        <v>2125</v>
      </c>
      <c r="L439" s="75"/>
      <c r="M439" s="75"/>
      <c r="N439" s="75"/>
      <c r="O439" s="256"/>
    </row>
    <row r="440" spans="1:16" ht="15.75">
      <c r="H440" s="76" t="s">
        <v>1018</v>
      </c>
      <c r="I440" s="74" t="s">
        <v>2133</v>
      </c>
      <c r="J440" s="230">
        <v>92</v>
      </c>
      <c r="K440" s="230" t="s">
        <v>2125</v>
      </c>
      <c r="L440" s="75"/>
      <c r="M440" s="75"/>
      <c r="N440" s="75"/>
      <c r="O440" s="256"/>
    </row>
    <row r="441" spans="1:16" ht="15.75">
      <c r="H441" s="76" t="s">
        <v>1070</v>
      </c>
      <c r="I441" s="230" t="s">
        <v>2137</v>
      </c>
      <c r="J441" s="230">
        <v>288</v>
      </c>
      <c r="K441" s="230" t="s">
        <v>2125</v>
      </c>
      <c r="L441" s="75"/>
      <c r="M441" s="75"/>
      <c r="N441" s="75"/>
      <c r="O441" s="256"/>
    </row>
    <row r="442" spans="1:16" ht="15.75">
      <c r="H442" s="76" t="s">
        <v>106</v>
      </c>
      <c r="I442" s="230" t="s">
        <v>2217</v>
      </c>
      <c r="J442" s="230">
        <v>3</v>
      </c>
      <c r="K442" s="230" t="s">
        <v>2125</v>
      </c>
      <c r="L442" s="75"/>
      <c r="M442" s="75"/>
      <c r="N442" s="75"/>
      <c r="O442" s="256"/>
    </row>
    <row r="443" spans="1:16" ht="15.75">
      <c r="H443" s="76" t="s">
        <v>262</v>
      </c>
      <c r="I443" s="230" t="s">
        <v>2149</v>
      </c>
      <c r="J443" s="230">
        <v>45</v>
      </c>
      <c r="K443" s="230" t="s">
        <v>2125</v>
      </c>
      <c r="L443" s="75"/>
      <c r="M443" s="75"/>
      <c r="N443" s="230">
        <v>1307</v>
      </c>
      <c r="O443" s="256"/>
    </row>
    <row r="444" spans="1:16" s="81" customFormat="1">
      <c r="H444" s="82" t="s">
        <v>2219</v>
      </c>
      <c r="I444" s="82"/>
      <c r="J444" s="83">
        <v>68</v>
      </c>
      <c r="K444" s="83" t="s">
        <v>2125</v>
      </c>
      <c r="L444" s="98"/>
      <c r="M444" s="98"/>
      <c r="N444" s="98"/>
      <c r="O444" s="258">
        <v>86</v>
      </c>
    </row>
    <row r="445" spans="1:16">
      <c r="H445" s="74" t="s">
        <v>438</v>
      </c>
      <c r="I445" s="74" t="s">
        <v>2136</v>
      </c>
      <c r="J445" s="74">
        <v>25</v>
      </c>
      <c r="K445" s="74" t="s">
        <v>2125</v>
      </c>
      <c r="L445" s="75"/>
      <c r="M445" s="75"/>
      <c r="N445" s="75"/>
      <c r="O445" s="259"/>
    </row>
    <row r="446" spans="1:16">
      <c r="H446" s="74" t="s">
        <v>466</v>
      </c>
      <c r="I446" s="74" t="s">
        <v>2126</v>
      </c>
      <c r="J446" s="74">
        <v>29</v>
      </c>
      <c r="K446" s="74" t="s">
        <v>2125</v>
      </c>
      <c r="L446" s="75"/>
      <c r="M446" s="75"/>
      <c r="N446" s="75"/>
      <c r="O446" s="259"/>
    </row>
    <row r="447" spans="1:16">
      <c r="B447" s="87" t="s">
        <v>2220</v>
      </c>
      <c r="C447" s="10" t="s">
        <v>1727</v>
      </c>
      <c r="D447" t="s">
        <v>2221</v>
      </c>
      <c r="H447" s="74" t="s">
        <v>2222</v>
      </c>
      <c r="I447" s="74" t="s">
        <v>2153</v>
      </c>
      <c r="J447" s="74">
        <v>1</v>
      </c>
      <c r="K447" s="74" t="s">
        <v>2125</v>
      </c>
      <c r="L447" s="75"/>
      <c r="M447" s="75"/>
      <c r="N447" s="75"/>
      <c r="O447" s="259"/>
    </row>
    <row r="448" spans="1:16">
      <c r="H448" s="74" t="s">
        <v>2129</v>
      </c>
      <c r="I448" s="74" t="s">
        <v>2130</v>
      </c>
      <c r="J448" s="74">
        <v>6</v>
      </c>
      <c r="K448" s="74" t="s">
        <v>2125</v>
      </c>
      <c r="L448" s="75"/>
      <c r="M448" s="75"/>
      <c r="N448" s="75"/>
      <c r="O448" s="259"/>
    </row>
    <row r="449" spans="1:17">
      <c r="H449" s="74" t="s">
        <v>1018</v>
      </c>
      <c r="I449" s="74" t="s">
        <v>2133</v>
      </c>
      <c r="J449" s="74">
        <v>27</v>
      </c>
      <c r="K449" s="74" t="s">
        <v>2125</v>
      </c>
      <c r="L449" s="75"/>
      <c r="M449" s="75"/>
      <c r="N449" s="75">
        <f>SUM(J444:J449)</f>
        <v>156</v>
      </c>
      <c r="O449" s="259"/>
    </row>
    <row r="450" spans="1:17">
      <c r="A450" s="81"/>
      <c r="B450" s="81"/>
      <c r="C450" s="81"/>
      <c r="D450" s="81"/>
      <c r="E450" s="81"/>
      <c r="F450" s="81"/>
      <c r="G450" s="81"/>
      <c r="H450" s="82" t="s">
        <v>2219</v>
      </c>
      <c r="I450" s="82"/>
      <c r="J450" s="83">
        <v>34</v>
      </c>
      <c r="K450" s="83" t="s">
        <v>2125</v>
      </c>
      <c r="L450" s="98"/>
      <c r="M450" s="98"/>
      <c r="N450" s="98"/>
      <c r="O450" s="258">
        <v>86</v>
      </c>
      <c r="P450" s="81"/>
    </row>
    <row r="451" spans="1:17">
      <c r="H451" s="74" t="s">
        <v>438</v>
      </c>
      <c r="I451" s="74" t="s">
        <v>2136</v>
      </c>
      <c r="J451" s="74">
        <v>25</v>
      </c>
      <c r="K451" s="74" t="s">
        <v>2125</v>
      </c>
      <c r="L451" s="75"/>
      <c r="M451" s="75"/>
      <c r="N451" s="75"/>
      <c r="O451" s="259"/>
    </row>
    <row r="452" spans="1:17">
      <c r="H452" s="74" t="s">
        <v>466</v>
      </c>
      <c r="I452" s="74" t="s">
        <v>2126</v>
      </c>
      <c r="J452" s="74">
        <v>29</v>
      </c>
      <c r="K452" s="74" t="s">
        <v>2125</v>
      </c>
      <c r="L452" s="75"/>
      <c r="M452" s="75"/>
      <c r="N452" s="75"/>
      <c r="O452" s="259"/>
    </row>
    <row r="453" spans="1:17" ht="29.45">
      <c r="B453" s="87" t="s">
        <v>2220</v>
      </c>
      <c r="C453" s="10" t="s">
        <v>1721</v>
      </c>
      <c r="D453" t="s">
        <v>2223</v>
      </c>
      <c r="H453" s="74" t="s">
        <v>2222</v>
      </c>
      <c r="I453" s="74" t="s">
        <v>2153</v>
      </c>
      <c r="J453" s="74">
        <v>1</v>
      </c>
      <c r="K453" s="74" t="s">
        <v>2125</v>
      </c>
      <c r="L453" s="75"/>
      <c r="M453" s="75"/>
      <c r="N453" s="75"/>
      <c r="O453" s="259"/>
    </row>
    <row r="454" spans="1:17">
      <c r="H454" s="74" t="s">
        <v>2129</v>
      </c>
      <c r="I454" s="74" t="s">
        <v>2130</v>
      </c>
      <c r="J454" s="74">
        <v>6</v>
      </c>
      <c r="K454" s="74" t="s">
        <v>2125</v>
      </c>
      <c r="L454" s="75"/>
      <c r="M454" s="75"/>
      <c r="N454" s="75"/>
      <c r="O454" s="259"/>
    </row>
    <row r="455" spans="1:17">
      <c r="H455" s="74" t="s">
        <v>1018</v>
      </c>
      <c r="I455" s="74" t="s">
        <v>2133</v>
      </c>
      <c r="J455" s="74">
        <v>27</v>
      </c>
      <c r="K455" s="74" t="s">
        <v>2125</v>
      </c>
      <c r="L455" s="75"/>
      <c r="M455" s="75"/>
      <c r="N455" s="75">
        <f>SUM(J450:J456)</f>
        <v>156</v>
      </c>
      <c r="O455" s="259"/>
    </row>
    <row r="456" spans="1:17">
      <c r="H456" s="58" t="s">
        <v>2224</v>
      </c>
      <c r="I456" s="58"/>
      <c r="J456" s="58">
        <v>34</v>
      </c>
      <c r="K456" t="s">
        <v>2125</v>
      </c>
    </row>
    <row r="457" spans="1:17">
      <c r="A457" s="81"/>
      <c r="B457" s="81"/>
      <c r="C457" s="81"/>
      <c r="D457" s="81"/>
      <c r="E457" s="81"/>
      <c r="F457" s="81"/>
      <c r="G457" s="81"/>
      <c r="H457" s="82" t="s">
        <v>2225</v>
      </c>
      <c r="I457" s="82"/>
      <c r="J457" s="83">
        <v>68</v>
      </c>
      <c r="K457" s="83" t="s">
        <v>2125</v>
      </c>
      <c r="L457" s="98"/>
      <c r="M457" s="98"/>
      <c r="N457" s="98"/>
      <c r="O457" s="258">
        <v>86</v>
      </c>
      <c r="P457" s="81"/>
      <c r="Q457" s="81"/>
    </row>
    <row r="458" spans="1:17">
      <c r="H458" s="74" t="s">
        <v>438</v>
      </c>
      <c r="I458" s="74" t="s">
        <v>2136</v>
      </c>
      <c r="J458" s="74">
        <v>25</v>
      </c>
      <c r="K458" s="74" t="s">
        <v>2125</v>
      </c>
      <c r="L458" s="75"/>
      <c r="M458" s="75"/>
      <c r="N458" s="75"/>
      <c r="O458" s="259"/>
    </row>
    <row r="459" spans="1:17">
      <c r="H459" s="74" t="s">
        <v>466</v>
      </c>
      <c r="I459" s="74" t="s">
        <v>2126</v>
      </c>
      <c r="J459" s="74">
        <v>29</v>
      </c>
      <c r="K459" s="74" t="s">
        <v>2125</v>
      </c>
      <c r="L459" s="75"/>
      <c r="M459" s="75"/>
      <c r="N459" s="75"/>
      <c r="O459" s="259"/>
    </row>
    <row r="460" spans="1:17">
      <c r="B460" s="87" t="s">
        <v>2220</v>
      </c>
      <c r="C460" s="10" t="s">
        <v>1722</v>
      </c>
      <c r="D460" t="s">
        <v>2226</v>
      </c>
      <c r="H460" s="74" t="s">
        <v>2222</v>
      </c>
      <c r="I460" s="74" t="s">
        <v>2153</v>
      </c>
      <c r="J460" s="74">
        <v>1</v>
      </c>
      <c r="K460" s="74" t="s">
        <v>2125</v>
      </c>
      <c r="L460" s="75"/>
      <c r="M460" s="75"/>
      <c r="N460" s="75"/>
      <c r="O460" s="259"/>
    </row>
    <row r="461" spans="1:17">
      <c r="H461" s="74" t="s">
        <v>2129</v>
      </c>
      <c r="I461" s="74" t="s">
        <v>2130</v>
      </c>
      <c r="J461" s="74">
        <v>6</v>
      </c>
      <c r="K461" s="74" t="s">
        <v>2125</v>
      </c>
      <c r="L461" s="75"/>
      <c r="M461" s="75"/>
      <c r="N461" s="75"/>
      <c r="O461" s="259"/>
    </row>
    <row r="462" spans="1:17">
      <c r="H462" s="74" t="s">
        <v>1018</v>
      </c>
      <c r="I462" s="74" t="s">
        <v>2133</v>
      </c>
      <c r="J462" s="74">
        <v>27</v>
      </c>
      <c r="K462" s="74" t="s">
        <v>2125</v>
      </c>
      <c r="L462" s="75"/>
      <c r="M462" s="75"/>
      <c r="N462" s="75">
        <f>SUM(J457:J462)</f>
        <v>156</v>
      </c>
      <c r="O462" s="259"/>
      <c r="Q462" s="73"/>
    </row>
    <row r="463" spans="1:17" s="81" customFormat="1">
      <c r="H463" s="82" t="s">
        <v>2227</v>
      </c>
      <c r="I463" s="82"/>
      <c r="J463" s="83">
        <v>67</v>
      </c>
      <c r="K463" s="83" t="s">
        <v>2125</v>
      </c>
      <c r="L463" s="98"/>
      <c r="M463" s="98"/>
      <c r="N463" s="98"/>
      <c r="O463" s="258">
        <v>345</v>
      </c>
      <c r="Q463"/>
    </row>
    <row r="464" spans="1:17">
      <c r="H464" s="74" t="s">
        <v>2138</v>
      </c>
      <c r="I464" s="74" t="s">
        <v>2139</v>
      </c>
      <c r="J464" s="74">
        <v>264</v>
      </c>
      <c r="K464" s="74" t="s">
        <v>2125</v>
      </c>
      <c r="L464" s="75"/>
      <c r="M464" s="75"/>
      <c r="N464" s="75"/>
      <c r="O464" s="259"/>
    </row>
    <row r="465" spans="2:15">
      <c r="H465" s="74" t="s">
        <v>470</v>
      </c>
      <c r="I465" s="74" t="s">
        <v>471</v>
      </c>
      <c r="J465" s="74">
        <v>17</v>
      </c>
      <c r="K465" s="74" t="s">
        <v>2125</v>
      </c>
      <c r="L465" s="75"/>
      <c r="M465" s="75"/>
      <c r="N465" s="75"/>
      <c r="O465" s="259"/>
    </row>
    <row r="466" spans="2:15">
      <c r="B466" s="168" t="s">
        <v>2228</v>
      </c>
      <c r="C466" s="223" t="s">
        <v>1723</v>
      </c>
      <c r="D466" s="168" t="s">
        <v>2229</v>
      </c>
      <c r="H466" s="74" t="s">
        <v>466</v>
      </c>
      <c r="I466" s="74" t="s">
        <v>2126</v>
      </c>
      <c r="J466" s="74">
        <v>23</v>
      </c>
      <c r="K466" s="74" t="s">
        <v>2125</v>
      </c>
      <c r="L466" s="75"/>
      <c r="M466" s="75"/>
      <c r="N466" s="75"/>
      <c r="O466" s="259"/>
    </row>
    <row r="467" spans="2:15">
      <c r="H467" s="74" t="s">
        <v>486</v>
      </c>
      <c r="I467" s="74" t="s">
        <v>2167</v>
      </c>
      <c r="J467" s="74">
        <v>15</v>
      </c>
      <c r="K467" s="74" t="s">
        <v>2125</v>
      </c>
      <c r="L467" s="75"/>
      <c r="M467" s="75"/>
      <c r="N467" s="75"/>
      <c r="O467" s="259"/>
    </row>
    <row r="468" spans="2:15">
      <c r="H468" s="74" t="s">
        <v>1018</v>
      </c>
      <c r="I468" s="74" t="s">
        <v>2133</v>
      </c>
      <c r="J468" s="74">
        <v>22</v>
      </c>
      <c r="K468" s="74" t="s">
        <v>2125</v>
      </c>
      <c r="L468" s="75"/>
      <c r="M468" s="75"/>
      <c r="N468" s="75"/>
      <c r="O468" s="259"/>
    </row>
    <row r="469" spans="2:15">
      <c r="H469" s="74" t="s">
        <v>2129</v>
      </c>
      <c r="I469" s="74" t="s">
        <v>2130</v>
      </c>
      <c r="J469" s="74">
        <v>10</v>
      </c>
      <c r="K469" s="74" t="s">
        <v>2125</v>
      </c>
      <c r="L469" s="75"/>
      <c r="M469" s="75"/>
      <c r="N469" s="75"/>
      <c r="O469" s="259"/>
    </row>
    <row r="470" spans="2:15">
      <c r="H470" s="74" t="s">
        <v>2131</v>
      </c>
      <c r="I470" s="74" t="s">
        <v>2132</v>
      </c>
      <c r="J470" s="74">
        <v>2</v>
      </c>
      <c r="K470" s="74" t="s">
        <v>2125</v>
      </c>
      <c r="L470" s="75"/>
      <c r="M470" s="75"/>
      <c r="N470" s="75"/>
      <c r="O470" s="259"/>
    </row>
    <row r="471" spans="2:15">
      <c r="H471" s="74" t="s">
        <v>106</v>
      </c>
      <c r="I471" s="74" t="s">
        <v>107</v>
      </c>
      <c r="J471" s="74">
        <v>2</v>
      </c>
      <c r="K471" s="74" t="s">
        <v>2125</v>
      </c>
      <c r="L471" s="75"/>
      <c r="M471" s="75"/>
      <c r="N471" s="75"/>
      <c r="O471" s="259"/>
    </row>
    <row r="472" spans="2:15">
      <c r="H472" s="74" t="s">
        <v>79</v>
      </c>
      <c r="I472" s="74" t="s">
        <v>80</v>
      </c>
      <c r="J472" s="74">
        <v>1.25</v>
      </c>
      <c r="K472" s="74" t="s">
        <v>2125</v>
      </c>
      <c r="L472" s="75"/>
      <c r="M472" s="75"/>
      <c r="N472" s="75"/>
      <c r="O472" s="259"/>
    </row>
    <row r="473" spans="2:15" ht="15.75">
      <c r="H473" s="76" t="s">
        <v>73</v>
      </c>
      <c r="I473" s="74" t="s">
        <v>74</v>
      </c>
      <c r="J473" s="74">
        <v>0.5</v>
      </c>
      <c r="K473" s="74" t="s">
        <v>2125</v>
      </c>
      <c r="L473" s="75"/>
      <c r="M473" s="75"/>
      <c r="N473" s="75"/>
      <c r="O473" s="259"/>
    </row>
    <row r="474" spans="2:15">
      <c r="H474" s="74" t="s">
        <v>960</v>
      </c>
      <c r="I474" s="74" t="s">
        <v>2180</v>
      </c>
      <c r="J474" s="74">
        <v>0.28000000000000003</v>
      </c>
      <c r="K474" s="74" t="s">
        <v>2125</v>
      </c>
      <c r="L474" s="75"/>
      <c r="M474" s="75"/>
      <c r="N474" s="75"/>
      <c r="O474" s="259"/>
    </row>
    <row r="475" spans="2:15">
      <c r="H475" s="74" t="s">
        <v>111</v>
      </c>
      <c r="I475" s="74" t="s">
        <v>2178</v>
      </c>
      <c r="J475" s="74">
        <v>2</v>
      </c>
      <c r="K475" s="74" t="s">
        <v>2125</v>
      </c>
      <c r="L475" s="75"/>
      <c r="M475" s="75"/>
      <c r="N475" s="75"/>
      <c r="O475" s="259"/>
    </row>
    <row r="476" spans="2:15">
      <c r="H476" s="74" t="s">
        <v>1070</v>
      </c>
      <c r="I476" s="74" t="s">
        <v>2137</v>
      </c>
      <c r="J476" s="74">
        <v>263</v>
      </c>
      <c r="K476" s="74" t="s">
        <v>2125</v>
      </c>
      <c r="L476" s="75"/>
      <c r="M476" s="75"/>
      <c r="N476" s="75"/>
      <c r="O476" s="259"/>
    </row>
    <row r="477" spans="2:15">
      <c r="H477" s="74" t="s">
        <v>100</v>
      </c>
      <c r="I477" s="74" t="s">
        <v>101</v>
      </c>
      <c r="J477" s="74">
        <v>9</v>
      </c>
      <c r="K477" s="74" t="s">
        <v>2125</v>
      </c>
      <c r="L477" s="75"/>
      <c r="M477" s="75"/>
      <c r="N477" s="75"/>
      <c r="O477" s="259"/>
    </row>
    <row r="478" spans="2:15">
      <c r="H478" s="74" t="s">
        <v>91</v>
      </c>
      <c r="I478" s="74" t="s">
        <v>92</v>
      </c>
      <c r="J478" s="74">
        <v>0.32</v>
      </c>
      <c r="K478" s="74" t="s">
        <v>2125</v>
      </c>
      <c r="L478" s="75"/>
      <c r="M478" s="75"/>
      <c r="N478" s="75"/>
      <c r="O478" s="259"/>
    </row>
    <row r="479" spans="2:15">
      <c r="H479" s="74" t="s">
        <v>964</v>
      </c>
      <c r="I479" s="74" t="s">
        <v>2230</v>
      </c>
      <c r="J479" s="74">
        <v>0.17599999999999999</v>
      </c>
      <c r="K479" s="74" t="s">
        <v>2125</v>
      </c>
      <c r="L479" s="75"/>
      <c r="M479" s="75"/>
      <c r="N479" s="75">
        <f>SUM(J463:J479)</f>
        <v>698.52600000000007</v>
      </c>
      <c r="O479" s="259"/>
    </row>
    <row r="480" spans="2:15" s="81" customFormat="1" ht="15" customHeight="1">
      <c r="H480" s="95" t="s">
        <v>674</v>
      </c>
      <c r="I480" s="240"/>
      <c r="J480" s="231">
        <v>2366</v>
      </c>
      <c r="K480" s="231" t="s">
        <v>2125</v>
      </c>
      <c r="L480" s="98"/>
      <c r="M480" s="98"/>
      <c r="N480" s="98"/>
      <c r="O480" s="255">
        <v>3014</v>
      </c>
    </row>
    <row r="481" spans="2:16" ht="15.75">
      <c r="H481" s="76" t="s">
        <v>466</v>
      </c>
      <c r="I481" s="230" t="s">
        <v>2126</v>
      </c>
      <c r="J481" s="230">
        <v>540</v>
      </c>
      <c r="K481" s="230" t="s">
        <v>2125</v>
      </c>
      <c r="L481" s="75"/>
      <c r="M481" s="75"/>
      <c r="N481" s="75"/>
      <c r="O481" s="256"/>
    </row>
    <row r="482" spans="2:16" ht="15.75">
      <c r="H482" s="76" t="s">
        <v>2175</v>
      </c>
      <c r="I482" s="230" t="s">
        <v>2213</v>
      </c>
      <c r="J482" s="230">
        <v>23</v>
      </c>
      <c r="K482" s="230" t="s">
        <v>2125</v>
      </c>
      <c r="L482" s="75"/>
      <c r="M482" s="75"/>
      <c r="N482" s="75"/>
      <c r="O482" s="256"/>
    </row>
    <row r="483" spans="2:16" ht="15.75">
      <c r="B483" s="168" t="s">
        <v>2231</v>
      </c>
      <c r="C483" s="10" t="s">
        <v>1724</v>
      </c>
      <c r="D483" s="168" t="s">
        <v>675</v>
      </c>
      <c r="H483" s="76" t="s">
        <v>129</v>
      </c>
      <c r="I483" s="230" t="s">
        <v>130</v>
      </c>
      <c r="J483" s="230">
        <v>14</v>
      </c>
      <c r="K483" s="230" t="s">
        <v>2125</v>
      </c>
      <c r="L483" s="75"/>
      <c r="M483" s="75"/>
      <c r="N483" s="75"/>
      <c r="O483" s="256"/>
    </row>
    <row r="484" spans="2:16" ht="15.75">
      <c r="H484" s="76" t="s">
        <v>479</v>
      </c>
      <c r="I484" s="230" t="s">
        <v>480</v>
      </c>
      <c r="J484" s="230">
        <v>65</v>
      </c>
      <c r="K484" s="230" t="s">
        <v>2125</v>
      </c>
      <c r="L484" s="75"/>
      <c r="M484" s="75"/>
      <c r="N484" s="75"/>
      <c r="O484" s="256"/>
    </row>
    <row r="485" spans="2:16" ht="15.75">
      <c r="H485" s="76" t="s">
        <v>438</v>
      </c>
      <c r="I485" s="230" t="s">
        <v>2136</v>
      </c>
      <c r="J485" s="230">
        <v>48</v>
      </c>
      <c r="K485" s="230" t="s">
        <v>2125</v>
      </c>
      <c r="L485" s="75"/>
      <c r="M485" s="75"/>
      <c r="N485" s="75"/>
      <c r="O485" s="256"/>
    </row>
    <row r="486" spans="2:16" ht="15.75">
      <c r="H486" s="76" t="s">
        <v>2131</v>
      </c>
      <c r="I486" s="230" t="s">
        <v>2132</v>
      </c>
      <c r="J486" s="230">
        <v>12</v>
      </c>
      <c r="K486" s="230" t="s">
        <v>2125</v>
      </c>
      <c r="L486" s="75"/>
      <c r="M486" s="75"/>
      <c r="N486" s="75"/>
      <c r="O486" s="256"/>
    </row>
    <row r="487" spans="2:16" ht="15.75">
      <c r="H487" s="76" t="s">
        <v>2129</v>
      </c>
      <c r="I487" s="230" t="s">
        <v>2130</v>
      </c>
      <c r="J487" s="230">
        <v>40</v>
      </c>
      <c r="K487" s="230" t="s">
        <v>2125</v>
      </c>
      <c r="L487" s="75"/>
      <c r="M487" s="75"/>
      <c r="N487" s="75"/>
      <c r="O487" s="256"/>
    </row>
    <row r="488" spans="2:16" ht="15.75">
      <c r="H488" s="76" t="s">
        <v>111</v>
      </c>
      <c r="I488" s="230" t="s">
        <v>112</v>
      </c>
      <c r="J488" s="230">
        <v>6</v>
      </c>
      <c r="K488" s="230" t="s">
        <v>2125</v>
      </c>
      <c r="L488" s="75"/>
      <c r="M488" s="75"/>
      <c r="N488" s="75"/>
      <c r="O488" s="256"/>
    </row>
    <row r="489" spans="2:16" ht="15.75">
      <c r="H489" s="76" t="s">
        <v>73</v>
      </c>
      <c r="I489" s="230" t="s">
        <v>2232</v>
      </c>
      <c r="J489" s="230">
        <v>3</v>
      </c>
      <c r="K489" s="230" t="s">
        <v>2125</v>
      </c>
      <c r="L489" s="75"/>
      <c r="M489" s="75"/>
      <c r="N489" s="75"/>
      <c r="O489" s="256"/>
    </row>
    <row r="490" spans="2:16" ht="15.75">
      <c r="H490" s="76" t="s">
        <v>79</v>
      </c>
      <c r="I490" s="230" t="s">
        <v>80</v>
      </c>
      <c r="J490" s="230">
        <v>7</v>
      </c>
      <c r="K490" s="230" t="s">
        <v>2125</v>
      </c>
      <c r="L490" s="75"/>
      <c r="M490" s="75"/>
      <c r="N490" s="75"/>
      <c r="O490" s="256"/>
    </row>
    <row r="491" spans="2:16" ht="15.75">
      <c r="H491" s="76" t="s">
        <v>960</v>
      </c>
      <c r="I491" s="230" t="s">
        <v>2180</v>
      </c>
      <c r="J491" s="230">
        <v>2</v>
      </c>
      <c r="K491" s="230" t="s">
        <v>2125</v>
      </c>
      <c r="L491" s="75"/>
      <c r="M491" s="75"/>
      <c r="N491" s="75"/>
      <c r="O491" s="256"/>
    </row>
    <row r="492" spans="2:16" ht="15.75">
      <c r="H492" s="76" t="s">
        <v>91</v>
      </c>
      <c r="I492" s="230" t="s">
        <v>92</v>
      </c>
      <c r="J492" s="230">
        <v>1</v>
      </c>
      <c r="K492" s="230" t="s">
        <v>2125</v>
      </c>
      <c r="L492" s="75"/>
      <c r="M492" s="75"/>
      <c r="N492" s="75"/>
      <c r="O492" s="256"/>
    </row>
    <row r="493" spans="2:16" ht="15.75">
      <c r="H493" s="76" t="s">
        <v>1018</v>
      </c>
      <c r="I493" s="74" t="s">
        <v>2133</v>
      </c>
      <c r="J493" s="230">
        <v>281</v>
      </c>
      <c r="K493" s="230" t="s">
        <v>2125</v>
      </c>
      <c r="L493" s="75"/>
      <c r="M493" s="75"/>
      <c r="N493" s="75"/>
      <c r="O493" s="256"/>
    </row>
    <row r="494" spans="2:16" ht="15.75">
      <c r="H494" s="76" t="s">
        <v>1070</v>
      </c>
      <c r="I494" s="230" t="s">
        <v>2137</v>
      </c>
      <c r="J494" s="230">
        <v>510</v>
      </c>
      <c r="K494" s="230" t="s">
        <v>2125</v>
      </c>
      <c r="L494" s="75"/>
      <c r="M494" s="75"/>
      <c r="N494" s="75"/>
      <c r="O494" s="256"/>
    </row>
    <row r="495" spans="2:16" ht="15.75">
      <c r="H495" s="76" t="s">
        <v>2233</v>
      </c>
      <c r="I495" s="230" t="s">
        <v>133</v>
      </c>
      <c r="J495" s="230">
        <v>10</v>
      </c>
      <c r="K495" s="230" t="s">
        <v>2125</v>
      </c>
      <c r="L495" s="75"/>
      <c r="M495" s="75"/>
      <c r="N495" s="75"/>
      <c r="O495" s="256"/>
    </row>
    <row r="496" spans="2:16" ht="15.75">
      <c r="F496" s="73"/>
      <c r="G496" s="73"/>
      <c r="H496" s="88" t="s">
        <v>964</v>
      </c>
      <c r="I496" s="232" t="s">
        <v>2179</v>
      </c>
      <c r="J496" s="232">
        <v>5</v>
      </c>
      <c r="K496" s="232" t="s">
        <v>2125</v>
      </c>
      <c r="L496" s="102"/>
      <c r="M496" s="102"/>
      <c r="N496" s="232">
        <v>3933</v>
      </c>
      <c r="O496" s="257"/>
      <c r="P496" s="73"/>
    </row>
    <row r="497" spans="2:16" s="81" customFormat="1" ht="15" customHeight="1">
      <c r="F497"/>
      <c r="G497"/>
      <c r="H497" s="241" t="s">
        <v>1725</v>
      </c>
      <c r="I497" s="74"/>
      <c r="J497" s="74">
        <v>913</v>
      </c>
      <c r="K497" s="74" t="s">
        <v>2125</v>
      </c>
      <c r="L497" s="75"/>
      <c r="M497" s="75"/>
      <c r="N497" s="75"/>
      <c r="O497" s="259">
        <v>917</v>
      </c>
      <c r="P497"/>
    </row>
    <row r="498" spans="2:16" ht="15.75">
      <c r="H498" s="76" t="s">
        <v>2129</v>
      </c>
      <c r="I498" s="74" t="s">
        <v>2130</v>
      </c>
      <c r="J498" s="74">
        <v>12</v>
      </c>
      <c r="K498" s="74" t="s">
        <v>2125</v>
      </c>
      <c r="L498" s="75"/>
      <c r="M498" s="75"/>
      <c r="N498" s="75"/>
      <c r="O498" s="259"/>
    </row>
    <row r="499" spans="2:16" ht="15.75">
      <c r="H499" s="76" t="s">
        <v>2131</v>
      </c>
      <c r="I499" s="74" t="s">
        <v>2132</v>
      </c>
      <c r="J499" s="74">
        <v>2</v>
      </c>
      <c r="K499" s="74" t="s">
        <v>2125</v>
      </c>
      <c r="L499" s="75"/>
      <c r="M499" s="75"/>
      <c r="N499" s="75"/>
      <c r="O499" s="259"/>
    </row>
    <row r="500" spans="2:16" ht="15.75">
      <c r="B500" s="223" t="s">
        <v>2234</v>
      </c>
      <c r="C500" s="223" t="s">
        <v>1725</v>
      </c>
      <c r="D500" s="223" t="s">
        <v>722</v>
      </c>
      <c r="H500" s="76" t="s">
        <v>2175</v>
      </c>
      <c r="I500" s="74" t="s">
        <v>2213</v>
      </c>
      <c r="J500" s="74">
        <v>1</v>
      </c>
      <c r="K500" s="74" t="s">
        <v>2125</v>
      </c>
      <c r="L500" s="75"/>
      <c r="M500" s="75"/>
      <c r="N500" s="75"/>
      <c r="O500" s="259"/>
    </row>
    <row r="501" spans="2:16" ht="15.75">
      <c r="H501" s="76" t="s">
        <v>1012</v>
      </c>
      <c r="I501" s="74" t="s">
        <v>2204</v>
      </c>
      <c r="J501" s="74">
        <v>181</v>
      </c>
      <c r="K501" s="74" t="s">
        <v>2125</v>
      </c>
      <c r="L501" s="75"/>
      <c r="M501" s="75"/>
      <c r="N501" s="75"/>
      <c r="O501" s="259"/>
    </row>
    <row r="502" spans="2:16" ht="15.75">
      <c r="H502" s="76" t="s">
        <v>2134</v>
      </c>
      <c r="I502" s="74" t="s">
        <v>2135</v>
      </c>
      <c r="J502" s="74">
        <v>1</v>
      </c>
      <c r="K502" s="74" t="s">
        <v>2125</v>
      </c>
      <c r="L502" s="75"/>
      <c r="M502" s="75"/>
      <c r="N502" s="75"/>
      <c r="O502" s="259"/>
    </row>
    <row r="503" spans="2:16" ht="15.75">
      <c r="H503" s="76" t="s">
        <v>106</v>
      </c>
      <c r="I503" s="74" t="s">
        <v>107</v>
      </c>
      <c r="J503" s="74">
        <v>6</v>
      </c>
      <c r="K503" s="74" t="s">
        <v>2125</v>
      </c>
      <c r="L503" s="75"/>
      <c r="M503" s="75"/>
      <c r="N503" s="75"/>
      <c r="O503" s="259"/>
    </row>
    <row r="504" spans="2:16" ht="15.75">
      <c r="H504" s="76" t="s">
        <v>109</v>
      </c>
      <c r="I504" s="74" t="s">
        <v>2177</v>
      </c>
      <c r="J504" s="74">
        <v>4</v>
      </c>
      <c r="K504" s="74" t="s">
        <v>2125</v>
      </c>
      <c r="L504" s="75"/>
      <c r="M504" s="75"/>
      <c r="N504" s="75"/>
      <c r="O504" s="259"/>
    </row>
    <row r="505" spans="2:16" ht="15.75">
      <c r="H505" s="76" t="s">
        <v>2235</v>
      </c>
      <c r="I505" s="74" t="s">
        <v>2236</v>
      </c>
      <c r="J505" s="74">
        <v>4</v>
      </c>
      <c r="K505" s="74" t="s">
        <v>2125</v>
      </c>
      <c r="L505" s="75"/>
      <c r="M505" s="75"/>
      <c r="N505" s="75"/>
      <c r="O505" s="259"/>
    </row>
    <row r="506" spans="2:16" ht="15.75">
      <c r="H506" s="76" t="s">
        <v>91</v>
      </c>
      <c r="I506" s="74" t="s">
        <v>92</v>
      </c>
      <c r="J506" s="75"/>
      <c r="K506" s="74" t="s">
        <v>2125</v>
      </c>
      <c r="L506" s="75"/>
      <c r="M506" s="75"/>
      <c r="N506" s="75"/>
      <c r="O506" s="259"/>
    </row>
    <row r="507" spans="2:16">
      <c r="H507" s="74" t="s">
        <v>2237</v>
      </c>
      <c r="I507" s="74" t="s">
        <v>2238</v>
      </c>
      <c r="J507" s="74">
        <v>604</v>
      </c>
      <c r="K507" s="74" t="s">
        <v>2125</v>
      </c>
      <c r="L507" s="75"/>
      <c r="M507" s="75"/>
      <c r="N507" s="75"/>
      <c r="O507" s="259"/>
    </row>
    <row r="508" spans="2:16" ht="15.75">
      <c r="H508" s="76" t="s">
        <v>438</v>
      </c>
      <c r="I508" s="74" t="s">
        <v>2239</v>
      </c>
      <c r="J508" s="74">
        <v>5</v>
      </c>
      <c r="K508" s="74" t="s">
        <v>2125</v>
      </c>
      <c r="L508" s="75"/>
      <c r="M508" s="75"/>
      <c r="N508" s="75"/>
      <c r="O508" s="259"/>
    </row>
    <row r="509" spans="2:16" ht="122.45">
      <c r="H509" s="108" t="s">
        <v>1482</v>
      </c>
      <c r="I509" s="77" t="s">
        <v>2240</v>
      </c>
      <c r="J509" s="74">
        <v>5</v>
      </c>
      <c r="K509" s="74" t="s">
        <v>2125</v>
      </c>
      <c r="L509" s="75"/>
      <c r="M509" s="75"/>
      <c r="N509" s="75"/>
      <c r="O509" s="259"/>
    </row>
    <row r="510" spans="2:16" ht="15.75">
      <c r="H510" s="76" t="s">
        <v>2222</v>
      </c>
      <c r="I510" s="74" t="s">
        <v>2153</v>
      </c>
      <c r="J510" s="74">
        <v>1</v>
      </c>
      <c r="K510" s="74" t="s">
        <v>2125</v>
      </c>
      <c r="L510" s="75"/>
      <c r="M510" s="75"/>
      <c r="N510" s="74">
        <v>2617</v>
      </c>
      <c r="O510" s="260"/>
    </row>
    <row r="511" spans="2:16" s="81" customFormat="1">
      <c r="H511" s="107" t="s">
        <v>910</v>
      </c>
      <c r="I511" s="83"/>
      <c r="J511" s="83">
        <v>456</v>
      </c>
      <c r="K511" s="83" t="s">
        <v>2125</v>
      </c>
      <c r="L511" s="98"/>
      <c r="M511" s="98"/>
      <c r="N511" s="98"/>
      <c r="O511" s="258">
        <v>515</v>
      </c>
      <c r="P511" s="98"/>
    </row>
    <row r="512" spans="2:16">
      <c r="H512" s="74" t="s">
        <v>886</v>
      </c>
      <c r="I512" s="74" t="s">
        <v>2241</v>
      </c>
      <c r="J512" s="74">
        <v>159</v>
      </c>
      <c r="K512" s="74" t="s">
        <v>2125</v>
      </c>
      <c r="L512" s="75"/>
      <c r="M512" s="75"/>
      <c r="N512" s="75"/>
      <c r="O512" s="259"/>
      <c r="P512" s="75"/>
    </row>
    <row r="513" spans="1:42">
      <c r="H513" s="74" t="s">
        <v>2242</v>
      </c>
      <c r="I513" s="74" t="s">
        <v>654</v>
      </c>
      <c r="J513" s="74">
        <v>503</v>
      </c>
      <c r="K513" s="74" t="s">
        <v>2125</v>
      </c>
      <c r="L513" s="75"/>
      <c r="M513" s="75"/>
      <c r="N513" s="75"/>
      <c r="O513" s="259"/>
      <c r="P513" s="75"/>
    </row>
    <row r="514" spans="1:42" ht="15.75">
      <c r="B514" t="s">
        <v>2243</v>
      </c>
      <c r="C514" s="10" t="s">
        <v>1726</v>
      </c>
      <c r="D514" t="s">
        <v>2244</v>
      </c>
      <c r="H514" s="76" t="s">
        <v>1070</v>
      </c>
      <c r="I514" s="74" t="s">
        <v>2137</v>
      </c>
      <c r="J514" s="74">
        <v>496</v>
      </c>
      <c r="K514" s="74" t="s">
        <v>2125</v>
      </c>
      <c r="L514" s="75"/>
      <c r="M514" s="75"/>
      <c r="N514" s="75"/>
      <c r="O514" s="259"/>
      <c r="P514" s="75"/>
    </row>
    <row r="515" spans="1:42" ht="15.75">
      <c r="H515" s="76" t="s">
        <v>73</v>
      </c>
      <c r="I515" s="74" t="s">
        <v>74</v>
      </c>
      <c r="J515" s="74">
        <v>1</v>
      </c>
      <c r="K515" s="74" t="s">
        <v>2125</v>
      </c>
      <c r="L515" s="75"/>
      <c r="M515" s="75"/>
      <c r="N515" s="75"/>
      <c r="O515" s="259"/>
      <c r="P515" s="75"/>
    </row>
    <row r="516" spans="1:42" ht="15.75">
      <c r="H516" s="76" t="s">
        <v>91</v>
      </c>
      <c r="I516" s="74" t="s">
        <v>2245</v>
      </c>
      <c r="J516" s="74">
        <v>1</v>
      </c>
      <c r="K516" s="74" t="s">
        <v>2125</v>
      </c>
      <c r="L516" s="75"/>
      <c r="M516" s="75"/>
      <c r="N516" s="75"/>
      <c r="O516" s="259"/>
      <c r="P516" s="75"/>
    </row>
    <row r="517" spans="1:42" ht="15.75">
      <c r="H517" s="76" t="s">
        <v>111</v>
      </c>
      <c r="I517" s="74" t="s">
        <v>2178</v>
      </c>
      <c r="J517" s="74">
        <v>1</v>
      </c>
      <c r="K517" s="74" t="s">
        <v>2125</v>
      </c>
      <c r="L517" s="75"/>
      <c r="M517" s="75"/>
      <c r="N517" s="74">
        <v>1617</v>
      </c>
      <c r="O517" s="259"/>
      <c r="P517" s="75"/>
    </row>
    <row r="518" spans="1:42" s="81" customFormat="1">
      <c r="H518" s="83" t="s">
        <v>479</v>
      </c>
      <c r="I518" s="83" t="s">
        <v>480</v>
      </c>
      <c r="J518" s="83">
        <v>8</v>
      </c>
      <c r="K518" s="83" t="s">
        <v>2125</v>
      </c>
      <c r="L518" s="98"/>
      <c r="M518" s="98"/>
      <c r="N518" s="98"/>
      <c r="O518" s="258">
        <v>708</v>
      </c>
    </row>
    <row r="519" spans="1:42">
      <c r="H519" s="74" t="s">
        <v>960</v>
      </c>
      <c r="I519" s="74" t="s">
        <v>2180</v>
      </c>
      <c r="J519" s="74">
        <v>0.75</v>
      </c>
      <c r="K519" s="74" t="s">
        <v>2125</v>
      </c>
      <c r="L519" s="75"/>
      <c r="M519" s="75"/>
      <c r="N519" s="75"/>
      <c r="O519" s="259"/>
    </row>
    <row r="520" spans="1:42" ht="29.45">
      <c r="B520" s="86" t="s">
        <v>2246</v>
      </c>
      <c r="C520" s="86" t="s">
        <v>1729</v>
      </c>
      <c r="D520" s="87" t="s">
        <v>2247</v>
      </c>
      <c r="H520" s="74" t="s">
        <v>2248</v>
      </c>
      <c r="I520" s="74" t="s">
        <v>2249</v>
      </c>
      <c r="J520" s="74">
        <v>5</v>
      </c>
      <c r="K520" s="74" t="s">
        <v>2125</v>
      </c>
      <c r="L520" s="75"/>
      <c r="M520" s="75"/>
      <c r="N520" s="75"/>
      <c r="O520" s="259"/>
    </row>
    <row r="521" spans="1:42">
      <c r="H521" s="74" t="s">
        <v>1070</v>
      </c>
      <c r="I521" s="74" t="s">
        <v>2137</v>
      </c>
      <c r="J521" s="74">
        <v>873</v>
      </c>
      <c r="K521" s="74" t="s">
        <v>2125</v>
      </c>
      <c r="L521" s="75"/>
      <c r="M521" s="75"/>
      <c r="N521" s="75"/>
      <c r="O521" s="259"/>
    </row>
    <row r="522" spans="1:42" s="81" customFormat="1">
      <c r="H522" s="83" t="s">
        <v>479</v>
      </c>
      <c r="I522" s="83" t="s">
        <v>480</v>
      </c>
      <c r="J522" s="83">
        <v>8</v>
      </c>
      <c r="K522" s="83" t="s">
        <v>2125</v>
      </c>
      <c r="L522" s="98"/>
      <c r="M522" s="98"/>
      <c r="N522" s="98"/>
      <c r="O522" s="258">
        <v>767.25</v>
      </c>
    </row>
    <row r="523" spans="1:42">
      <c r="H523" s="74" t="s">
        <v>2248</v>
      </c>
      <c r="I523" s="74" t="s">
        <v>2249</v>
      </c>
      <c r="J523" s="74">
        <v>5</v>
      </c>
      <c r="K523" s="74" t="s">
        <v>2125</v>
      </c>
      <c r="L523" s="75"/>
      <c r="M523" s="75"/>
      <c r="N523" s="75"/>
      <c r="O523" s="259"/>
    </row>
    <row r="524" spans="1:42" ht="29.45">
      <c r="B524" s="104" t="s">
        <v>2246</v>
      </c>
      <c r="C524" s="86" t="s">
        <v>1730</v>
      </c>
      <c r="D524" s="87" t="s">
        <v>2250</v>
      </c>
      <c r="H524" s="74" t="s">
        <v>886</v>
      </c>
      <c r="I524" s="74" t="s">
        <v>2241</v>
      </c>
      <c r="J524" s="74">
        <v>60</v>
      </c>
      <c r="K524" s="74" t="s">
        <v>2125</v>
      </c>
      <c r="L524" s="75"/>
      <c r="M524" s="75"/>
      <c r="N524" s="75"/>
      <c r="O524" s="259"/>
    </row>
    <row r="525" spans="1:42">
      <c r="H525" s="74" t="s">
        <v>1070</v>
      </c>
      <c r="I525" s="74" t="s">
        <v>2137</v>
      </c>
      <c r="J525" s="74">
        <v>873</v>
      </c>
      <c r="K525" s="74" t="s">
        <v>2125</v>
      </c>
      <c r="L525" s="75"/>
      <c r="M525" s="75"/>
      <c r="N525" s="75">
        <f>SUM(J522:J525)</f>
        <v>946</v>
      </c>
      <c r="O525" s="259"/>
    </row>
    <row r="526" spans="1:42">
      <c r="A526" s="81"/>
      <c r="B526" s="81"/>
      <c r="C526" s="81"/>
      <c r="D526" s="81"/>
      <c r="E526" s="81"/>
      <c r="F526" s="81"/>
      <c r="G526" s="81"/>
      <c r="H526" s="190" t="s">
        <v>2251</v>
      </c>
      <c r="I526" s="81"/>
      <c r="J526" s="98">
        <v>68</v>
      </c>
      <c r="K526" s="83" t="s">
        <v>2125</v>
      </c>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c r="AL526" s="81"/>
      <c r="AM526" s="81"/>
      <c r="AN526" s="81"/>
      <c r="AO526" s="81"/>
      <c r="AP526" s="81"/>
    </row>
    <row r="527" spans="1:42">
      <c r="H527" s="75" t="s">
        <v>438</v>
      </c>
      <c r="J527" s="75">
        <v>25</v>
      </c>
      <c r="K527" s="74" t="s">
        <v>2125</v>
      </c>
    </row>
    <row r="528" spans="1:42">
      <c r="H528" s="75" t="s">
        <v>466</v>
      </c>
      <c r="J528" s="75">
        <v>29</v>
      </c>
      <c r="K528" s="74" t="s">
        <v>2125</v>
      </c>
    </row>
    <row r="529" spans="1:42">
      <c r="B529" t="s">
        <v>2252</v>
      </c>
      <c r="C529" t="s">
        <v>1727</v>
      </c>
      <c r="H529" s="75" t="s">
        <v>2222</v>
      </c>
      <c r="J529" s="75">
        <v>1</v>
      </c>
      <c r="K529" s="74" t="s">
        <v>2125</v>
      </c>
    </row>
    <row r="530" spans="1:42">
      <c r="H530" s="75" t="s">
        <v>2129</v>
      </c>
      <c r="J530" s="75">
        <v>6</v>
      </c>
      <c r="K530" t="s">
        <v>2125</v>
      </c>
    </row>
    <row r="531" spans="1:42">
      <c r="H531" s="75" t="s">
        <v>1018</v>
      </c>
      <c r="J531" s="75">
        <v>27</v>
      </c>
      <c r="K531" t="s">
        <v>2125</v>
      </c>
      <c r="N531">
        <v>156</v>
      </c>
      <c r="O531">
        <v>86</v>
      </c>
      <c r="Y531" s="73"/>
      <c r="Z531" s="73"/>
      <c r="AA531" s="73"/>
      <c r="AB531" s="73"/>
      <c r="AC531" s="73"/>
      <c r="AD531" s="73"/>
      <c r="AE531" s="73"/>
      <c r="AF531" s="73"/>
      <c r="AG531" s="73"/>
      <c r="AH531" s="73"/>
      <c r="AI531" s="73"/>
      <c r="AJ531" s="73"/>
      <c r="AK531" s="73"/>
      <c r="AL531" s="73"/>
      <c r="AM531" s="73"/>
      <c r="AN531" s="73"/>
      <c r="AO531" s="73"/>
      <c r="AP531" s="73"/>
    </row>
    <row r="532" spans="1:42">
      <c r="A532" s="81"/>
      <c r="B532" s="81"/>
      <c r="C532" s="81"/>
      <c r="D532" s="81"/>
      <c r="E532" s="81"/>
      <c r="F532" s="81"/>
      <c r="G532" s="81"/>
      <c r="H532" s="98" t="s">
        <v>158</v>
      </c>
      <c r="J532" s="98">
        <v>505</v>
      </c>
      <c r="K532" s="83" t="s">
        <v>2125</v>
      </c>
      <c r="L532" s="98"/>
      <c r="M532" s="98"/>
      <c r="N532" s="98"/>
      <c r="O532" s="258">
        <v>1314</v>
      </c>
      <c r="P532" s="81"/>
      <c r="Q532" s="81"/>
      <c r="R532" s="81"/>
      <c r="S532" s="81"/>
      <c r="T532" s="81"/>
      <c r="U532" s="81"/>
      <c r="V532" s="81"/>
      <c r="W532" s="81"/>
      <c r="X532" s="81"/>
    </row>
    <row r="533" spans="1:42">
      <c r="H533" s="75" t="s">
        <v>2253</v>
      </c>
      <c r="J533" s="75">
        <v>119</v>
      </c>
      <c r="K533" s="74" t="s">
        <v>2125</v>
      </c>
      <c r="L533" s="75"/>
      <c r="M533" s="75"/>
      <c r="N533" s="75"/>
      <c r="O533" s="259"/>
    </row>
    <row r="534" spans="1:42">
      <c r="B534" t="s">
        <v>2254</v>
      </c>
      <c r="C534" t="s">
        <v>1728</v>
      </c>
      <c r="H534" s="75" t="s">
        <v>886</v>
      </c>
      <c r="J534" s="75">
        <v>357</v>
      </c>
      <c r="K534" s="74" t="s">
        <v>2125</v>
      </c>
      <c r="L534" s="75"/>
      <c r="M534" s="75"/>
      <c r="N534" s="75"/>
      <c r="O534" s="259"/>
    </row>
    <row r="535" spans="1:42">
      <c r="H535" s="75" t="s">
        <v>2255</v>
      </c>
      <c r="J535" s="75">
        <v>3</v>
      </c>
      <c r="K535" s="74" t="s">
        <v>2125</v>
      </c>
      <c r="L535" s="75"/>
      <c r="M535" s="75"/>
      <c r="N535" s="75"/>
      <c r="O535" s="259"/>
    </row>
    <row r="536" spans="1:42">
      <c r="H536" s="191" t="s">
        <v>1018</v>
      </c>
      <c r="J536" s="75">
        <v>115</v>
      </c>
      <c r="K536" s="74" t="s">
        <v>2125</v>
      </c>
      <c r="L536" s="75"/>
      <c r="M536" s="75"/>
      <c r="N536" s="75"/>
      <c r="O536" s="259"/>
    </row>
    <row r="537" spans="1:42">
      <c r="H537" s="191" t="s">
        <v>1070</v>
      </c>
      <c r="J537" s="75">
        <v>589</v>
      </c>
      <c r="K537" s="74" t="s">
        <v>2125</v>
      </c>
      <c r="L537" s="75"/>
      <c r="M537" s="75"/>
      <c r="N537" s="75">
        <v>1688</v>
      </c>
      <c r="O537" s="259"/>
    </row>
    <row r="538" spans="1:42" s="73" customFormat="1"/>
    <row r="539" spans="1:42">
      <c r="H539" s="75" t="s">
        <v>296</v>
      </c>
      <c r="J539" s="75">
        <v>108</v>
      </c>
      <c r="K539" t="s">
        <v>2125</v>
      </c>
    </row>
    <row r="540" spans="1:42">
      <c r="H540" s="75" t="s">
        <v>1014</v>
      </c>
      <c r="J540" s="75">
        <v>26</v>
      </c>
      <c r="K540" t="s">
        <v>2125</v>
      </c>
    </row>
    <row r="541" spans="1:42">
      <c r="B541" t="s">
        <v>2256</v>
      </c>
      <c r="C541" t="s">
        <v>1737</v>
      </c>
      <c r="H541" s="75" t="s">
        <v>2129</v>
      </c>
      <c r="J541" s="75">
        <v>2</v>
      </c>
      <c r="K541" t="s">
        <v>2125</v>
      </c>
    </row>
    <row r="542" spans="1:42">
      <c r="H542" s="75" t="s">
        <v>2131</v>
      </c>
      <c r="J542" s="75">
        <v>0.5</v>
      </c>
      <c r="K542" t="s">
        <v>2125</v>
      </c>
    </row>
    <row r="543" spans="1:42">
      <c r="H543" s="75" t="s">
        <v>447</v>
      </c>
      <c r="J543" s="75">
        <v>3</v>
      </c>
      <c r="K543" t="s">
        <v>2125</v>
      </c>
    </row>
    <row r="544" spans="1:42" s="73" customFormat="1">
      <c r="H544" s="102" t="s">
        <v>466</v>
      </c>
      <c r="J544" s="102">
        <v>15</v>
      </c>
      <c r="K544" s="73" t="s">
        <v>2125</v>
      </c>
      <c r="N544" s="73">
        <v>154.5</v>
      </c>
      <c r="O544" s="73">
        <v>84</v>
      </c>
    </row>
    <row r="545" customFormat="1"/>
  </sheetData>
  <mergeCells count="62">
    <mergeCell ref="O532:O537"/>
    <mergeCell ref="O497:O510"/>
    <mergeCell ref="O511:O517"/>
    <mergeCell ref="O398:O407"/>
    <mergeCell ref="O408:O416"/>
    <mergeCell ref="O417:O425"/>
    <mergeCell ref="O426:O434"/>
    <mergeCell ref="O435:O443"/>
    <mergeCell ref="O480:O496"/>
    <mergeCell ref="O444:O449"/>
    <mergeCell ref="O450:O455"/>
    <mergeCell ref="O457:O462"/>
    <mergeCell ref="O463:O479"/>
    <mergeCell ref="O518:O521"/>
    <mergeCell ref="O522:O525"/>
    <mergeCell ref="O388:O397"/>
    <mergeCell ref="O275:O280"/>
    <mergeCell ref="O281:O290"/>
    <mergeCell ref="O296:O301"/>
    <mergeCell ref="O302:O307"/>
    <mergeCell ref="O308:O313"/>
    <mergeCell ref="O314:O319"/>
    <mergeCell ref="O337:O347"/>
    <mergeCell ref="O348:O357"/>
    <mergeCell ref="O358:O367"/>
    <mergeCell ref="O368:O377"/>
    <mergeCell ref="O378:O387"/>
    <mergeCell ref="O325:O336"/>
    <mergeCell ref="O291:O295"/>
    <mergeCell ref="O320:O324"/>
    <mergeCell ref="O262:O274"/>
    <mergeCell ref="O151:O156"/>
    <mergeCell ref="O157:O162"/>
    <mergeCell ref="O163:O168"/>
    <mergeCell ref="O169:O174"/>
    <mergeCell ref="O175:O180"/>
    <mergeCell ref="O181:O186"/>
    <mergeCell ref="O199:O209"/>
    <mergeCell ref="O210:O220"/>
    <mergeCell ref="O221:O231"/>
    <mergeCell ref="O187:O192"/>
    <mergeCell ref="O193:O198"/>
    <mergeCell ref="O232:O241"/>
    <mergeCell ref="O242:O251"/>
    <mergeCell ref="O252:O261"/>
    <mergeCell ref="O2:O12"/>
    <mergeCell ref="O13:O21"/>
    <mergeCell ref="O22:O30"/>
    <mergeCell ref="O31:O42"/>
    <mergeCell ref="O85:O103"/>
    <mergeCell ref="O145:O150"/>
    <mergeCell ref="O43:O55"/>
    <mergeCell ref="O56:O61"/>
    <mergeCell ref="O62:O67"/>
    <mergeCell ref="O68:O72"/>
    <mergeCell ref="O74:O84"/>
    <mergeCell ref="O104:O114"/>
    <mergeCell ref="O115:O120"/>
    <mergeCell ref="O121:O126"/>
    <mergeCell ref="O127:O132"/>
    <mergeCell ref="O133:O138"/>
    <mergeCell ref="O139:O14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ADD88-29CB-48C7-8387-EA0C6FA9AEC1}">
  <dimension ref="A1:AA10"/>
  <sheetViews>
    <sheetView workbookViewId="0">
      <selection activeCell="G14" sqref="G14"/>
    </sheetView>
  </sheetViews>
  <sheetFormatPr defaultRowHeight="14.85"/>
  <cols>
    <col min="7" max="7" width="19.42578125" customWidth="1"/>
    <col min="8" max="8" width="21.42578125" customWidth="1"/>
    <col min="9" max="10" width="14.5703125" customWidth="1"/>
    <col min="11" max="11" width="17.28515625" customWidth="1"/>
    <col min="12" max="12" width="18.28515625" customWidth="1"/>
  </cols>
  <sheetData>
    <row r="1" spans="1:27" ht="73.7">
      <c r="A1" s="41" t="s">
        <v>0</v>
      </c>
      <c r="B1" s="41" t="s">
        <v>1</v>
      </c>
      <c r="C1" s="41" t="s">
        <v>2</v>
      </c>
      <c r="D1" s="43" t="s">
        <v>3</v>
      </c>
      <c r="E1" s="41" t="s">
        <v>4</v>
      </c>
      <c r="F1" s="41" t="s">
        <v>5</v>
      </c>
      <c r="G1" s="41" t="s">
        <v>6</v>
      </c>
      <c r="H1" s="41" t="s">
        <v>2257</v>
      </c>
      <c r="I1" s="41" t="s">
        <v>2258</v>
      </c>
      <c r="J1" s="41" t="s">
        <v>2259</v>
      </c>
      <c r="K1" s="41" t="s">
        <v>2260</v>
      </c>
      <c r="L1" s="41" t="s">
        <v>2261</v>
      </c>
      <c r="M1" s="41" t="s">
        <v>2262</v>
      </c>
      <c r="N1" s="41" t="s">
        <v>2258</v>
      </c>
      <c r="O1" s="41" t="s">
        <v>2259</v>
      </c>
      <c r="P1" s="41" t="s">
        <v>2260</v>
      </c>
      <c r="Q1" s="41" t="s">
        <v>2261</v>
      </c>
      <c r="R1" s="41" t="s">
        <v>2263</v>
      </c>
      <c r="S1" s="41" t="s">
        <v>2258</v>
      </c>
      <c r="T1" s="41" t="s">
        <v>2259</v>
      </c>
      <c r="U1" s="41" t="s">
        <v>2260</v>
      </c>
      <c r="V1" s="41" t="s">
        <v>2261</v>
      </c>
      <c r="W1" s="41" t="s">
        <v>2264</v>
      </c>
      <c r="X1" s="41" t="s">
        <v>2258</v>
      </c>
      <c r="Y1" s="41" t="s">
        <v>2259</v>
      </c>
      <c r="Z1" s="41" t="s">
        <v>2260</v>
      </c>
      <c r="AA1" s="41" t="s">
        <v>2261</v>
      </c>
    </row>
    <row r="2" spans="1:27" ht="40.700000000000003">
      <c r="A2" s="70"/>
      <c r="B2" s="68" t="s">
        <v>79</v>
      </c>
      <c r="C2" s="33" t="s">
        <v>80</v>
      </c>
      <c r="D2" s="38" t="s">
        <v>81</v>
      </c>
      <c r="E2" s="38" t="s">
        <v>82</v>
      </c>
      <c r="F2" s="38" t="s">
        <v>83</v>
      </c>
      <c r="G2" s="38" t="s">
        <v>84</v>
      </c>
      <c r="H2" s="10" t="s">
        <v>2265</v>
      </c>
      <c r="I2" t="s">
        <v>82</v>
      </c>
      <c r="J2" t="s">
        <v>2158</v>
      </c>
      <c r="K2" t="s">
        <v>2266</v>
      </c>
      <c r="L2" t="s">
        <v>2267</v>
      </c>
    </row>
    <row r="3" spans="1:27">
      <c r="A3" s="40"/>
      <c r="B3" s="67" t="s">
        <v>86</v>
      </c>
      <c r="C3" s="31" t="s">
        <v>87</v>
      </c>
      <c r="D3" s="35" t="s">
        <v>88</v>
      </c>
      <c r="E3" s="35" t="s">
        <v>82</v>
      </c>
      <c r="F3" s="35" t="s">
        <v>89</v>
      </c>
      <c r="G3" s="35" t="s">
        <v>90</v>
      </c>
      <c r="H3" s="10" t="s">
        <v>2265</v>
      </c>
      <c r="I3" t="s">
        <v>82</v>
      </c>
      <c r="J3" t="s">
        <v>2158</v>
      </c>
      <c r="K3" t="s">
        <v>2266</v>
      </c>
      <c r="L3" t="s">
        <v>2268</v>
      </c>
    </row>
    <row r="4" spans="1:27">
      <c r="A4" s="30"/>
      <c r="B4" s="69" t="s">
        <v>346</v>
      </c>
      <c r="C4" s="30" t="s">
        <v>347</v>
      </c>
      <c r="D4" s="35" t="s">
        <v>341</v>
      </c>
      <c r="E4" s="35" t="s">
        <v>82</v>
      </c>
      <c r="F4" s="35" t="s">
        <v>348</v>
      </c>
      <c r="G4" s="35" t="s">
        <v>349</v>
      </c>
      <c r="H4" s="10" t="s">
        <v>2265</v>
      </c>
      <c r="I4" t="s">
        <v>82</v>
      </c>
      <c r="J4" t="s">
        <v>2158</v>
      </c>
      <c r="K4" t="s">
        <v>2266</v>
      </c>
      <c r="L4" t="s">
        <v>2269</v>
      </c>
    </row>
    <row r="5" spans="1:27" ht="27.2">
      <c r="A5" s="30">
        <v>25005</v>
      </c>
      <c r="B5" s="69" t="s">
        <v>473</v>
      </c>
      <c r="C5" s="33" t="s">
        <v>474</v>
      </c>
      <c r="D5" s="38" t="s">
        <v>449</v>
      </c>
      <c r="E5" s="35" t="s">
        <v>82</v>
      </c>
      <c r="F5" s="35" t="s">
        <v>475</v>
      </c>
      <c r="G5" s="35" t="s">
        <v>476</v>
      </c>
      <c r="H5" t="s">
        <v>2270</v>
      </c>
      <c r="I5" t="s">
        <v>82</v>
      </c>
      <c r="J5" t="s">
        <v>2158</v>
      </c>
      <c r="K5" t="s">
        <v>2266</v>
      </c>
      <c r="L5" t="s">
        <v>2271</v>
      </c>
      <c r="M5" t="s">
        <v>32</v>
      </c>
      <c r="N5" t="s">
        <v>82</v>
      </c>
      <c r="O5" t="s">
        <v>2272</v>
      </c>
      <c r="P5" t="s">
        <v>2266</v>
      </c>
      <c r="Q5" t="s">
        <v>2273</v>
      </c>
    </row>
    <row r="6" spans="1:27" ht="29.45">
      <c r="A6" s="30"/>
      <c r="B6" s="69" t="s">
        <v>527</v>
      </c>
      <c r="C6" s="31" t="s">
        <v>528</v>
      </c>
      <c r="D6" s="35" t="s">
        <v>529</v>
      </c>
      <c r="E6" s="35" t="s">
        <v>82</v>
      </c>
      <c r="F6" s="48" t="s">
        <v>530</v>
      </c>
      <c r="G6" s="35" t="s">
        <v>531</v>
      </c>
      <c r="H6" t="s">
        <v>2274</v>
      </c>
      <c r="I6" t="s">
        <v>82</v>
      </c>
      <c r="J6" t="s">
        <v>2158</v>
      </c>
      <c r="K6" t="s">
        <v>2266</v>
      </c>
      <c r="L6" t="s">
        <v>2275</v>
      </c>
      <c r="M6" s="10" t="s">
        <v>2265</v>
      </c>
      <c r="N6" t="s">
        <v>82</v>
      </c>
      <c r="O6" t="s">
        <v>2158</v>
      </c>
      <c r="P6" t="s">
        <v>2266</v>
      </c>
      <c r="Q6" t="s">
        <v>2276</v>
      </c>
      <c r="R6" t="s">
        <v>2277</v>
      </c>
      <c r="S6" t="s">
        <v>82</v>
      </c>
      <c r="T6" t="s">
        <v>2158</v>
      </c>
      <c r="U6" t="s">
        <v>2266</v>
      </c>
      <c r="V6" t="s">
        <v>2278</v>
      </c>
    </row>
    <row r="7" spans="1:27" ht="29.45">
      <c r="A7" s="30"/>
      <c r="B7" s="69" t="s">
        <v>677</v>
      </c>
      <c r="C7" s="31" t="s">
        <v>678</v>
      </c>
      <c r="D7" s="35"/>
      <c r="E7" s="35" t="s">
        <v>82</v>
      </c>
      <c r="F7" s="35" t="s">
        <v>679</v>
      </c>
      <c r="G7" s="35" t="s">
        <v>680</v>
      </c>
      <c r="H7" t="s">
        <v>2274</v>
      </c>
      <c r="I7" t="s">
        <v>82</v>
      </c>
      <c r="J7" t="s">
        <v>2158</v>
      </c>
      <c r="K7" t="s">
        <v>2266</v>
      </c>
      <c r="L7" t="s">
        <v>2279</v>
      </c>
      <c r="M7" s="10" t="s">
        <v>2265</v>
      </c>
      <c r="N7" t="s">
        <v>82</v>
      </c>
      <c r="O7" t="s">
        <v>2158</v>
      </c>
      <c r="P7" t="s">
        <v>2266</v>
      </c>
      <c r="Q7" t="s">
        <v>2280</v>
      </c>
      <c r="R7" t="s">
        <v>2281</v>
      </c>
      <c r="S7" t="s">
        <v>82</v>
      </c>
      <c r="T7" t="s">
        <v>2158</v>
      </c>
      <c r="U7" t="s">
        <v>2266</v>
      </c>
      <c r="V7" t="s">
        <v>2282</v>
      </c>
    </row>
    <row r="8" spans="1:27">
      <c r="A8" s="30"/>
      <c r="B8" s="69" t="s">
        <v>688</v>
      </c>
      <c r="C8" s="31" t="s">
        <v>689</v>
      </c>
      <c r="D8" s="35" t="s">
        <v>690</v>
      </c>
      <c r="E8" s="35" t="s">
        <v>82</v>
      </c>
      <c r="F8" s="48" t="s">
        <v>691</v>
      </c>
      <c r="G8" s="35" t="s">
        <v>692</v>
      </c>
      <c r="H8" t="s">
        <v>2274</v>
      </c>
      <c r="I8" t="s">
        <v>82</v>
      </c>
      <c r="J8" t="s">
        <v>2158</v>
      </c>
      <c r="K8" t="s">
        <v>2266</v>
      </c>
      <c r="L8" t="s">
        <v>2283</v>
      </c>
    </row>
    <row r="9" spans="1:27">
      <c r="A9" s="30">
        <v>90401</v>
      </c>
      <c r="B9" s="69" t="s">
        <v>1029</v>
      </c>
      <c r="C9" s="31" t="s">
        <v>1030</v>
      </c>
      <c r="D9" s="35" t="s">
        <v>1031</v>
      </c>
      <c r="E9" s="35" t="s">
        <v>82</v>
      </c>
      <c r="F9" s="35" t="s">
        <v>1032</v>
      </c>
      <c r="G9" s="35" t="s">
        <v>1029</v>
      </c>
      <c r="H9" t="s">
        <v>2284</v>
      </c>
      <c r="I9" t="s">
        <v>82</v>
      </c>
      <c r="J9" t="s">
        <v>2158</v>
      </c>
      <c r="K9" t="s">
        <v>2266</v>
      </c>
      <c r="L9" t="s">
        <v>2285</v>
      </c>
      <c r="M9" t="s">
        <v>2286</v>
      </c>
      <c r="N9" t="s">
        <v>82</v>
      </c>
      <c r="O9" t="s">
        <v>2158</v>
      </c>
      <c r="P9" t="s">
        <v>2266</v>
      </c>
      <c r="Q9" t="s">
        <v>2287</v>
      </c>
      <c r="R9" t="s">
        <v>2288</v>
      </c>
      <c r="S9" t="s">
        <v>82</v>
      </c>
      <c r="T9" t="s">
        <v>2158</v>
      </c>
      <c r="U9" t="s">
        <v>2266</v>
      </c>
      <c r="V9" t="s">
        <v>2289</v>
      </c>
      <c r="W9" t="s">
        <v>25</v>
      </c>
      <c r="X9" t="s">
        <v>82</v>
      </c>
      <c r="Y9" t="s">
        <v>2158</v>
      </c>
      <c r="Z9" t="s">
        <v>2266</v>
      </c>
      <c r="AA9" t="s">
        <v>2290</v>
      </c>
    </row>
    <row r="10" spans="1:27">
      <c r="A10" s="30">
        <v>90402</v>
      </c>
      <c r="B10" s="69" t="s">
        <v>1033</v>
      </c>
      <c r="C10" s="31" t="s">
        <v>1034</v>
      </c>
      <c r="D10" s="35" t="s">
        <v>148</v>
      </c>
      <c r="E10" s="35" t="s">
        <v>82</v>
      </c>
      <c r="F10" s="35" t="s">
        <v>1035</v>
      </c>
      <c r="G10" s="35" t="s">
        <v>1033</v>
      </c>
      <c r="H10" t="s">
        <v>2284</v>
      </c>
      <c r="I10" t="s">
        <v>82</v>
      </c>
      <c r="J10" t="s">
        <v>2158</v>
      </c>
      <c r="K10" t="s">
        <v>2266</v>
      </c>
      <c r="L10" t="s">
        <v>2285</v>
      </c>
      <c r="M10" t="s">
        <v>2286</v>
      </c>
      <c r="N10" t="s">
        <v>82</v>
      </c>
      <c r="O10" t="s">
        <v>2158</v>
      </c>
      <c r="P10" t="s">
        <v>2266</v>
      </c>
      <c r="Q10" t="s">
        <v>2287</v>
      </c>
      <c r="R10" t="s">
        <v>2288</v>
      </c>
      <c r="S10" t="s">
        <v>82</v>
      </c>
      <c r="T10" t="s">
        <v>2158</v>
      </c>
      <c r="U10" t="s">
        <v>2266</v>
      </c>
      <c r="V10" t="s">
        <v>2291</v>
      </c>
      <c r="W10" t="s">
        <v>25</v>
      </c>
      <c r="X10" t="s">
        <v>82</v>
      </c>
      <c r="Y10" t="s">
        <v>2158</v>
      </c>
      <c r="Z10" t="s">
        <v>2266</v>
      </c>
      <c r="AA10" t="s">
        <v>2292</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667D-162B-4CA4-8E56-1A2D091051CF}">
  <dimension ref="A1:F132"/>
  <sheetViews>
    <sheetView workbookViewId="0">
      <pane ySplit="1" topLeftCell="A44" activePane="bottomLeft" state="frozen"/>
      <selection pane="bottomLeft" activeCell="C44" sqref="C44"/>
    </sheetView>
  </sheetViews>
  <sheetFormatPr defaultRowHeight="14.85"/>
  <cols>
    <col min="1" max="1" width="35.85546875" style="14" customWidth="1"/>
    <col min="2" max="2" width="26.85546875" style="19" customWidth="1"/>
    <col min="3" max="3" width="27.42578125" style="22" customWidth="1"/>
    <col min="4" max="4" width="16.42578125" style="19" customWidth="1"/>
    <col min="5" max="5" width="16.140625" style="19" customWidth="1"/>
    <col min="6" max="6" width="20.42578125" style="27" customWidth="1"/>
    <col min="7" max="7" width="34.85546875" customWidth="1"/>
  </cols>
  <sheetData>
    <row r="1" spans="1:6" ht="29.45">
      <c r="A1" s="242" t="s">
        <v>2293</v>
      </c>
      <c r="B1" s="12" t="s">
        <v>2294</v>
      </c>
      <c r="C1" s="11" t="s">
        <v>2295</v>
      </c>
      <c r="D1" s="12" t="s">
        <v>2296</v>
      </c>
      <c r="E1" s="12" t="s">
        <v>2297</v>
      </c>
      <c r="F1" s="13" t="s">
        <v>2298</v>
      </c>
    </row>
    <row r="2" spans="1:6">
      <c r="A2" s="14" t="s">
        <v>2299</v>
      </c>
      <c r="B2" s="15" t="s">
        <v>2300</v>
      </c>
      <c r="C2" s="16" t="s">
        <v>2301</v>
      </c>
      <c r="D2" s="15" t="s">
        <v>2301</v>
      </c>
      <c r="E2" s="17" t="s">
        <v>2300</v>
      </c>
      <c r="F2" s="15" t="s">
        <v>2301</v>
      </c>
    </row>
    <row r="3" spans="1:6">
      <c r="A3" s="14" t="s">
        <v>2299</v>
      </c>
      <c r="B3" s="15" t="s">
        <v>2302</v>
      </c>
      <c r="C3" s="18" t="s">
        <v>2302</v>
      </c>
      <c r="D3" s="17" t="s">
        <v>2302</v>
      </c>
      <c r="E3" s="17" t="s">
        <v>2302</v>
      </c>
      <c r="F3" s="17" t="s">
        <v>2302</v>
      </c>
    </row>
    <row r="4" spans="1:6">
      <c r="A4" s="14" t="s">
        <v>2299</v>
      </c>
      <c r="B4" s="19" t="s">
        <v>2303</v>
      </c>
      <c r="C4" s="20" t="s">
        <v>2303</v>
      </c>
      <c r="D4" s="21" t="s">
        <v>2303</v>
      </c>
      <c r="E4" s="21" t="s">
        <v>2303</v>
      </c>
      <c r="F4" s="22" t="s">
        <v>2304</v>
      </c>
    </row>
    <row r="5" spans="1:6">
      <c r="A5" s="14" t="s">
        <v>2299</v>
      </c>
      <c r="B5" s="15" t="s">
        <v>2305</v>
      </c>
      <c r="C5" s="18" t="s">
        <v>2305</v>
      </c>
      <c r="D5" s="17" t="s">
        <v>2305</v>
      </c>
      <c r="E5" s="17" t="s">
        <v>2305</v>
      </c>
      <c r="F5" s="17" t="s">
        <v>2305</v>
      </c>
    </row>
    <row r="6" spans="1:6" ht="29.45">
      <c r="A6" s="14" t="s">
        <v>2299</v>
      </c>
      <c r="B6" s="15" t="s">
        <v>2306</v>
      </c>
      <c r="C6" s="18" t="s">
        <v>2306</v>
      </c>
      <c r="D6" s="17" t="s">
        <v>2306</v>
      </c>
      <c r="E6" s="17" t="s">
        <v>2306</v>
      </c>
      <c r="F6" s="17" t="s">
        <v>2306</v>
      </c>
    </row>
    <row r="7" spans="1:6">
      <c r="A7" s="14" t="s">
        <v>2299</v>
      </c>
      <c r="B7" s="19" t="s">
        <v>2307</v>
      </c>
      <c r="C7" s="22" t="s">
        <v>2304</v>
      </c>
      <c r="D7" s="22" t="s">
        <v>2304</v>
      </c>
      <c r="E7" s="22" t="s">
        <v>2304</v>
      </c>
      <c r="F7" s="22" t="s">
        <v>2304</v>
      </c>
    </row>
    <row r="8" spans="1:6">
      <c r="A8" s="14" t="s">
        <v>2299</v>
      </c>
      <c r="B8" s="19" t="s">
        <v>2308</v>
      </c>
      <c r="C8" s="22" t="s">
        <v>2304</v>
      </c>
      <c r="D8" s="22" t="s">
        <v>2304</v>
      </c>
      <c r="E8" s="22" t="s">
        <v>2304</v>
      </c>
      <c r="F8" s="22" t="s">
        <v>2304</v>
      </c>
    </row>
    <row r="9" spans="1:6">
      <c r="A9" s="14" t="s">
        <v>2299</v>
      </c>
      <c r="B9" s="15" t="s">
        <v>2309</v>
      </c>
      <c r="C9" s="18" t="s">
        <v>2309</v>
      </c>
      <c r="D9" s="17" t="s">
        <v>2309</v>
      </c>
      <c r="E9" s="17" t="s">
        <v>2309</v>
      </c>
      <c r="F9" s="17" t="s">
        <v>2309</v>
      </c>
    </row>
    <row r="10" spans="1:6">
      <c r="A10" s="14" t="s">
        <v>2299</v>
      </c>
      <c r="B10" s="15" t="s">
        <v>2310</v>
      </c>
      <c r="C10" s="18" t="s">
        <v>2311</v>
      </c>
      <c r="D10" s="17" t="s">
        <v>2311</v>
      </c>
      <c r="E10" s="17" t="s">
        <v>2311</v>
      </c>
      <c r="F10" s="17" t="s">
        <v>2311</v>
      </c>
    </row>
    <row r="11" spans="1:6">
      <c r="A11" s="14" t="s">
        <v>2312</v>
      </c>
      <c r="B11" s="15" t="s">
        <v>2313</v>
      </c>
      <c r="C11" s="18" t="s">
        <v>2313</v>
      </c>
      <c r="D11" s="17" t="s">
        <v>2313</v>
      </c>
      <c r="E11" s="17" t="s">
        <v>2313</v>
      </c>
      <c r="F11" s="17" t="s">
        <v>2313</v>
      </c>
    </row>
    <row r="12" spans="1:6" ht="29.45">
      <c r="A12" s="14" t="s">
        <v>2312</v>
      </c>
      <c r="B12" s="15" t="s">
        <v>2314</v>
      </c>
      <c r="C12" s="18" t="s">
        <v>2314</v>
      </c>
      <c r="D12" s="17" t="s">
        <v>2314</v>
      </c>
      <c r="E12" s="17" t="s">
        <v>2314</v>
      </c>
      <c r="F12" s="17" t="s">
        <v>2314</v>
      </c>
    </row>
    <row r="13" spans="1:6">
      <c r="A13" s="14" t="s">
        <v>2312</v>
      </c>
      <c r="B13" s="15" t="s">
        <v>2315</v>
      </c>
      <c r="C13" s="18" t="s">
        <v>2315</v>
      </c>
      <c r="D13" s="17" t="s">
        <v>2315</v>
      </c>
      <c r="E13" s="17" t="s">
        <v>2315</v>
      </c>
      <c r="F13" s="17" t="s">
        <v>2315</v>
      </c>
    </row>
    <row r="14" spans="1:6" ht="29.45">
      <c r="A14" s="14" t="s">
        <v>2312</v>
      </c>
      <c r="B14" s="15" t="s">
        <v>2316</v>
      </c>
      <c r="C14" s="18" t="s">
        <v>2316</v>
      </c>
      <c r="D14" s="15" t="s">
        <v>2317</v>
      </c>
      <c r="E14" s="16" t="s">
        <v>2304</v>
      </c>
      <c r="F14" s="23" t="s">
        <v>2318</v>
      </c>
    </row>
    <row r="15" spans="1:6">
      <c r="A15" s="14" t="s">
        <v>2312</v>
      </c>
      <c r="B15" s="15" t="s">
        <v>2319</v>
      </c>
      <c r="C15" s="18" t="s">
        <v>2319</v>
      </c>
      <c r="D15" s="17" t="s">
        <v>2319</v>
      </c>
      <c r="E15" s="16" t="s">
        <v>2304</v>
      </c>
      <c r="F15" s="17" t="s">
        <v>2319</v>
      </c>
    </row>
    <row r="16" spans="1:6">
      <c r="A16" s="14" t="s">
        <v>2312</v>
      </c>
      <c r="B16" s="15" t="s">
        <v>2320</v>
      </c>
      <c r="C16" s="16" t="s">
        <v>2321</v>
      </c>
      <c r="D16" s="15" t="s">
        <v>2321</v>
      </c>
      <c r="E16" s="16" t="s">
        <v>2304</v>
      </c>
      <c r="F16" s="15" t="s">
        <v>2321</v>
      </c>
    </row>
    <row r="17" spans="1:6">
      <c r="A17" s="14" t="s">
        <v>2312</v>
      </c>
      <c r="B17" s="15" t="s">
        <v>2304</v>
      </c>
      <c r="C17" s="16" t="s">
        <v>2322</v>
      </c>
      <c r="D17" s="15" t="s">
        <v>2322</v>
      </c>
      <c r="E17" s="16" t="s">
        <v>2304</v>
      </c>
      <c r="F17" s="15" t="s">
        <v>2322</v>
      </c>
    </row>
    <row r="18" spans="1:6" ht="29.45">
      <c r="A18" s="14" t="s">
        <v>2312</v>
      </c>
      <c r="B18" s="15" t="s">
        <v>2323</v>
      </c>
      <c r="C18" s="18" t="s">
        <v>2323</v>
      </c>
      <c r="D18" s="17" t="s">
        <v>2323</v>
      </c>
      <c r="E18" s="17" t="s">
        <v>2323</v>
      </c>
      <c r="F18" s="17" t="s">
        <v>2323</v>
      </c>
    </row>
    <row r="19" spans="1:6" ht="48" customHeight="1">
      <c r="A19" s="14" t="s">
        <v>2324</v>
      </c>
      <c r="B19" s="15" t="s">
        <v>2325</v>
      </c>
      <c r="C19" s="16" t="s">
        <v>2326</v>
      </c>
      <c r="D19" s="15" t="s">
        <v>2327</v>
      </c>
      <c r="E19" s="16" t="s">
        <v>2304</v>
      </c>
      <c r="F19" s="15" t="s">
        <v>2327</v>
      </c>
    </row>
    <row r="20" spans="1:6" ht="44.25">
      <c r="A20" s="14" t="s">
        <v>2328</v>
      </c>
      <c r="B20" s="24" t="s">
        <v>2329</v>
      </c>
      <c r="C20" s="16" t="s">
        <v>2330</v>
      </c>
      <c r="D20" s="15" t="s">
        <v>2331</v>
      </c>
      <c r="E20" s="16" t="s">
        <v>2304</v>
      </c>
      <c r="F20" s="15" t="s">
        <v>2332</v>
      </c>
    </row>
    <row r="21" spans="1:6" ht="29.45">
      <c r="A21" s="14" t="s">
        <v>2328</v>
      </c>
      <c r="B21" s="15" t="s">
        <v>2333</v>
      </c>
      <c r="C21" s="16" t="s">
        <v>2304</v>
      </c>
      <c r="D21" s="17" t="s">
        <v>2333</v>
      </c>
      <c r="E21" s="16" t="s">
        <v>2304</v>
      </c>
      <c r="F21" s="17" t="s">
        <v>2333</v>
      </c>
    </row>
    <row r="22" spans="1:6">
      <c r="A22" s="14" t="s">
        <v>2328</v>
      </c>
      <c r="B22" s="15" t="s">
        <v>2334</v>
      </c>
      <c r="C22" s="18" t="s">
        <v>2334</v>
      </c>
      <c r="D22" s="17" t="s">
        <v>2334</v>
      </c>
      <c r="E22" s="16" t="s">
        <v>2304</v>
      </c>
      <c r="F22" s="17" t="s">
        <v>2334</v>
      </c>
    </row>
    <row r="23" spans="1:6" ht="44.25">
      <c r="A23" s="14" t="s">
        <v>2328</v>
      </c>
      <c r="B23" s="15" t="s">
        <v>2304</v>
      </c>
      <c r="C23" s="25" t="s">
        <v>2335</v>
      </c>
      <c r="D23" s="25" t="s">
        <v>2336</v>
      </c>
      <c r="E23" s="16" t="s">
        <v>2304</v>
      </c>
      <c r="F23" s="25" t="s">
        <v>2336</v>
      </c>
    </row>
    <row r="24" spans="1:6" ht="108.75" customHeight="1">
      <c r="A24" s="14" t="s">
        <v>2337</v>
      </c>
      <c r="B24" s="24" t="s">
        <v>2338</v>
      </c>
      <c r="C24" s="26" t="s">
        <v>2339</v>
      </c>
      <c r="D24" s="24" t="s">
        <v>2340</v>
      </c>
      <c r="E24" s="15" t="s">
        <v>2341</v>
      </c>
      <c r="F24" s="15" t="s">
        <v>2342</v>
      </c>
    </row>
    <row r="25" spans="1:6">
      <c r="A25" s="14" t="s">
        <v>2343</v>
      </c>
      <c r="B25" s="15" t="s">
        <v>2344</v>
      </c>
      <c r="C25" s="18" t="s">
        <v>2344</v>
      </c>
      <c r="D25" s="17" t="s">
        <v>2344</v>
      </c>
      <c r="E25" s="17" t="s">
        <v>2344</v>
      </c>
      <c r="F25" s="17" t="s">
        <v>2344</v>
      </c>
    </row>
    <row r="26" spans="1:6">
      <c r="A26" s="14" t="s">
        <v>2343</v>
      </c>
      <c r="B26" s="15" t="s">
        <v>2345</v>
      </c>
      <c r="C26" s="18" t="s">
        <v>2345</v>
      </c>
      <c r="D26" s="17" t="s">
        <v>2345</v>
      </c>
      <c r="E26" s="16" t="s">
        <v>2304</v>
      </c>
      <c r="F26" s="17" t="s">
        <v>2345</v>
      </c>
    </row>
    <row r="27" spans="1:6">
      <c r="A27" s="14" t="s">
        <v>2343</v>
      </c>
      <c r="B27" s="15" t="s">
        <v>2346</v>
      </c>
      <c r="C27" s="18" t="s">
        <v>2346</v>
      </c>
      <c r="D27" s="17" t="s">
        <v>2346</v>
      </c>
      <c r="E27" s="17" t="s">
        <v>2346</v>
      </c>
      <c r="F27" s="17" t="s">
        <v>2346</v>
      </c>
    </row>
    <row r="28" spans="1:6" ht="29.45">
      <c r="A28" s="14" t="s">
        <v>2343</v>
      </c>
      <c r="B28" s="15" t="s">
        <v>2347</v>
      </c>
      <c r="C28" s="18" t="s">
        <v>2347</v>
      </c>
      <c r="D28" s="17" t="s">
        <v>2347</v>
      </c>
      <c r="E28" s="16" t="s">
        <v>2304</v>
      </c>
      <c r="F28" s="17" t="s">
        <v>2347</v>
      </c>
    </row>
    <row r="29" spans="1:6" ht="29.45">
      <c r="A29" s="14" t="s">
        <v>2343</v>
      </c>
      <c r="B29" s="15" t="s">
        <v>2348</v>
      </c>
      <c r="C29" s="16" t="s">
        <v>2304</v>
      </c>
      <c r="D29" s="15" t="s">
        <v>2349</v>
      </c>
      <c r="E29" s="16" t="s">
        <v>2304</v>
      </c>
      <c r="F29" s="17" t="s">
        <v>2348</v>
      </c>
    </row>
    <row r="30" spans="1:6" ht="29.45">
      <c r="A30" s="14" t="s">
        <v>2343</v>
      </c>
      <c r="B30" s="15" t="s">
        <v>2350</v>
      </c>
      <c r="C30" s="18" t="s">
        <v>2350</v>
      </c>
      <c r="D30" s="17" t="s">
        <v>2350</v>
      </c>
      <c r="E30" s="17" t="s">
        <v>2350</v>
      </c>
      <c r="F30" s="17" t="s">
        <v>2350</v>
      </c>
    </row>
    <row r="31" spans="1:6">
      <c r="A31" s="14" t="s">
        <v>2343</v>
      </c>
      <c r="B31" s="15" t="s">
        <v>2351</v>
      </c>
      <c r="C31" s="18" t="s">
        <v>2351</v>
      </c>
      <c r="D31" s="17" t="s">
        <v>2351</v>
      </c>
      <c r="E31" s="16" t="s">
        <v>2304</v>
      </c>
      <c r="F31" s="17" t="s">
        <v>2351</v>
      </c>
    </row>
    <row r="32" spans="1:6">
      <c r="A32" s="14" t="s">
        <v>2343</v>
      </c>
      <c r="B32" s="15" t="s">
        <v>2352</v>
      </c>
      <c r="C32" s="16" t="s">
        <v>2304</v>
      </c>
      <c r="D32" s="17" t="s">
        <v>2352</v>
      </c>
      <c r="E32" s="16" t="s">
        <v>2304</v>
      </c>
      <c r="F32" s="17" t="s">
        <v>2352</v>
      </c>
    </row>
    <row r="33" spans="1:6">
      <c r="A33" s="14" t="s">
        <v>2343</v>
      </c>
      <c r="B33" s="15" t="s">
        <v>2353</v>
      </c>
      <c r="C33" s="18" t="s">
        <v>2353</v>
      </c>
      <c r="D33" s="17" t="s">
        <v>2353</v>
      </c>
      <c r="E33" s="16" t="s">
        <v>2304</v>
      </c>
      <c r="F33" s="17" t="s">
        <v>2353</v>
      </c>
    </row>
    <row r="34" spans="1:6" ht="29.45">
      <c r="A34" s="14" t="s">
        <v>2354</v>
      </c>
      <c r="B34" s="194" t="s">
        <v>1053</v>
      </c>
      <c r="C34" s="22" t="s">
        <v>2304</v>
      </c>
      <c r="D34" s="195" t="s">
        <v>1053</v>
      </c>
      <c r="E34" s="22" t="s">
        <v>2304</v>
      </c>
      <c r="F34" s="195" t="s">
        <v>2355</v>
      </c>
    </row>
    <row r="35" spans="1:6">
      <c r="A35" s="14" t="s">
        <v>2354</v>
      </c>
      <c r="B35" s="194" t="s">
        <v>1054</v>
      </c>
      <c r="C35" s="22" t="s">
        <v>2304</v>
      </c>
      <c r="D35" s="195" t="s">
        <v>1054</v>
      </c>
      <c r="E35" s="22" t="s">
        <v>2304</v>
      </c>
      <c r="F35" s="195" t="s">
        <v>2356</v>
      </c>
    </row>
    <row r="36" spans="1:6" ht="29.45">
      <c r="A36" s="14" t="s">
        <v>2354</v>
      </c>
      <c r="B36" s="194" t="s">
        <v>1055</v>
      </c>
      <c r="C36" s="22" t="s">
        <v>2304</v>
      </c>
      <c r="D36" s="194" t="s">
        <v>1055</v>
      </c>
      <c r="E36" s="22" t="s">
        <v>2304</v>
      </c>
      <c r="F36" s="194" t="s">
        <v>2357</v>
      </c>
    </row>
    <row r="37" spans="1:6" ht="29.45">
      <c r="A37" s="14" t="s">
        <v>2354</v>
      </c>
      <c r="B37" s="194" t="s">
        <v>1056</v>
      </c>
      <c r="C37" s="22" t="s">
        <v>2304</v>
      </c>
      <c r="D37" s="195" t="s">
        <v>1056</v>
      </c>
      <c r="E37" s="22" t="s">
        <v>2304</v>
      </c>
      <c r="F37" s="195" t="s">
        <v>2358</v>
      </c>
    </row>
    <row r="38" spans="1:6">
      <c r="A38" s="14" t="s">
        <v>2354</v>
      </c>
      <c r="B38" s="19" t="s">
        <v>2359</v>
      </c>
      <c r="C38" s="22" t="s">
        <v>2304</v>
      </c>
      <c r="D38" s="27" t="s">
        <v>2304</v>
      </c>
      <c r="E38" s="22" t="s">
        <v>2304</v>
      </c>
      <c r="F38" s="21" t="s">
        <v>2360</v>
      </c>
    </row>
    <row r="39" spans="1:6">
      <c r="A39" s="14" t="s">
        <v>2354</v>
      </c>
      <c r="B39" s="19" t="s">
        <v>2361</v>
      </c>
      <c r="C39" s="22" t="s">
        <v>2304</v>
      </c>
      <c r="D39" s="27" t="s">
        <v>2304</v>
      </c>
      <c r="E39" s="22" t="s">
        <v>2304</v>
      </c>
      <c r="F39" s="21" t="s">
        <v>2362</v>
      </c>
    </row>
    <row r="40" spans="1:6">
      <c r="A40" s="14" t="s">
        <v>2354</v>
      </c>
      <c r="B40" s="19" t="s">
        <v>2363</v>
      </c>
      <c r="C40" s="22" t="s">
        <v>2304</v>
      </c>
      <c r="D40" s="27" t="s">
        <v>2304</v>
      </c>
      <c r="E40" s="22" t="s">
        <v>2304</v>
      </c>
      <c r="F40" s="21" t="s">
        <v>2364</v>
      </c>
    </row>
    <row r="41" spans="1:6">
      <c r="A41" s="14" t="s">
        <v>2354</v>
      </c>
      <c r="B41" s="19" t="s">
        <v>2365</v>
      </c>
      <c r="C41" s="22" t="s">
        <v>2304</v>
      </c>
      <c r="D41" s="27" t="s">
        <v>2304</v>
      </c>
      <c r="E41" s="22" t="s">
        <v>2304</v>
      </c>
      <c r="F41" s="21" t="s">
        <v>2366</v>
      </c>
    </row>
    <row r="42" spans="1:6" ht="29.45">
      <c r="A42" s="14" t="s">
        <v>2354</v>
      </c>
      <c r="B42" s="194" t="s">
        <v>1057</v>
      </c>
      <c r="C42" s="22" t="s">
        <v>2304</v>
      </c>
      <c r="D42" s="195" t="s">
        <v>1057</v>
      </c>
      <c r="E42" s="22" t="s">
        <v>2304</v>
      </c>
      <c r="F42" s="195" t="s">
        <v>2367</v>
      </c>
    </row>
    <row r="43" spans="1:6" ht="29.45">
      <c r="A43" s="14" t="s">
        <v>2354</v>
      </c>
      <c r="B43" s="194" t="s">
        <v>1058</v>
      </c>
      <c r="C43" s="22" t="s">
        <v>2304</v>
      </c>
      <c r="D43" s="194" t="s">
        <v>1058</v>
      </c>
      <c r="E43" s="22" t="s">
        <v>2304</v>
      </c>
      <c r="F43" s="194" t="s">
        <v>2368</v>
      </c>
    </row>
    <row r="44" spans="1:6" ht="29.45">
      <c r="A44" s="14" t="s">
        <v>2354</v>
      </c>
      <c r="B44" s="194" t="s">
        <v>1059</v>
      </c>
      <c r="C44" s="22" t="s">
        <v>2304</v>
      </c>
      <c r="D44" s="195" t="s">
        <v>1059</v>
      </c>
      <c r="E44" s="22" t="s">
        <v>2304</v>
      </c>
      <c r="F44" s="27" t="s">
        <v>2304</v>
      </c>
    </row>
    <row r="45" spans="1:6" ht="29.45">
      <c r="A45" s="14" t="s">
        <v>2354</v>
      </c>
      <c r="B45" s="194" t="s">
        <v>1060</v>
      </c>
      <c r="C45" s="22" t="s">
        <v>2304</v>
      </c>
      <c r="D45" s="195" t="s">
        <v>1060</v>
      </c>
      <c r="E45" s="22" t="s">
        <v>2304</v>
      </c>
      <c r="F45" s="195" t="s">
        <v>2369</v>
      </c>
    </row>
    <row r="46" spans="1:6">
      <c r="A46" s="14" t="s">
        <v>2354</v>
      </c>
      <c r="B46" s="19" t="s">
        <v>2370</v>
      </c>
      <c r="C46" s="22" t="s">
        <v>2304</v>
      </c>
      <c r="D46" s="27" t="s">
        <v>2304</v>
      </c>
      <c r="E46" s="22" t="s">
        <v>2304</v>
      </c>
      <c r="F46" s="27" t="s">
        <v>2304</v>
      </c>
    </row>
    <row r="47" spans="1:6" ht="29.45">
      <c r="A47" s="14" t="s">
        <v>2354</v>
      </c>
      <c r="B47" s="194" t="s">
        <v>1061</v>
      </c>
      <c r="C47" s="22" t="s">
        <v>2304</v>
      </c>
      <c r="D47" s="195" t="s">
        <v>1061</v>
      </c>
      <c r="E47" s="22" t="s">
        <v>2304</v>
      </c>
      <c r="F47" s="195" t="s">
        <v>2371</v>
      </c>
    </row>
    <row r="48" spans="1:6" ht="29.45">
      <c r="A48" s="14" t="s">
        <v>2354</v>
      </c>
      <c r="B48" s="19" t="s">
        <v>2372</v>
      </c>
      <c r="C48" s="22" t="s">
        <v>2304</v>
      </c>
      <c r="D48" s="27" t="s">
        <v>2304</v>
      </c>
      <c r="E48" s="22" t="s">
        <v>2304</v>
      </c>
      <c r="F48" s="21" t="s">
        <v>2373</v>
      </c>
    </row>
    <row r="49" spans="1:6" ht="29.45">
      <c r="A49" s="14" t="s">
        <v>2354</v>
      </c>
      <c r="B49" s="19" t="s">
        <v>2374</v>
      </c>
      <c r="C49" s="22" t="s">
        <v>2304</v>
      </c>
      <c r="D49" s="27" t="s">
        <v>2304</v>
      </c>
      <c r="E49" s="22" t="s">
        <v>2304</v>
      </c>
      <c r="F49" s="10" t="s">
        <v>2375</v>
      </c>
    </row>
    <row r="50" spans="1:6" ht="29.45">
      <c r="A50" s="14" t="s">
        <v>2354</v>
      </c>
      <c r="B50" s="194" t="s">
        <v>1062</v>
      </c>
      <c r="C50" s="22" t="s">
        <v>2304</v>
      </c>
      <c r="D50" s="195" t="s">
        <v>1062</v>
      </c>
      <c r="E50" s="22" t="s">
        <v>2304</v>
      </c>
      <c r="F50" s="195" t="s">
        <v>2376</v>
      </c>
    </row>
    <row r="51" spans="1:6" ht="44.25">
      <c r="A51" s="14" t="s">
        <v>2354</v>
      </c>
      <c r="B51" s="194" t="s">
        <v>1063</v>
      </c>
      <c r="C51" s="22" t="s">
        <v>2304</v>
      </c>
      <c r="D51" s="194" t="s">
        <v>2377</v>
      </c>
      <c r="E51" s="22" t="s">
        <v>2304</v>
      </c>
      <c r="F51" s="106" t="s">
        <v>2378</v>
      </c>
    </row>
    <row r="52" spans="1:6" ht="29.45">
      <c r="A52" s="14" t="s">
        <v>2354</v>
      </c>
      <c r="B52" s="194" t="s">
        <v>1064</v>
      </c>
      <c r="C52" s="22" t="s">
        <v>2304</v>
      </c>
      <c r="D52" s="195" t="s">
        <v>1064</v>
      </c>
      <c r="E52" s="22" t="s">
        <v>2304</v>
      </c>
      <c r="F52" s="195" t="s">
        <v>2379</v>
      </c>
    </row>
    <row r="53" spans="1:6" ht="29.45">
      <c r="A53" s="14" t="s">
        <v>2354</v>
      </c>
      <c r="B53" s="15" t="s">
        <v>2380</v>
      </c>
      <c r="C53" s="16" t="s">
        <v>2381</v>
      </c>
      <c r="D53" s="15" t="s">
        <v>2381</v>
      </c>
      <c r="E53" s="16" t="s">
        <v>2304</v>
      </c>
      <c r="F53" s="15" t="s">
        <v>2381</v>
      </c>
    </row>
    <row r="54" spans="1:6" ht="29.45">
      <c r="A54" s="14" t="s">
        <v>2354</v>
      </c>
      <c r="B54" s="15" t="s">
        <v>2382</v>
      </c>
      <c r="C54" s="16" t="s">
        <v>2383</v>
      </c>
      <c r="D54" s="15" t="s">
        <v>2383</v>
      </c>
      <c r="E54" s="16" t="s">
        <v>2304</v>
      </c>
      <c r="F54" s="15" t="s">
        <v>2383</v>
      </c>
    </row>
    <row r="55" spans="1:6" ht="29.45">
      <c r="A55" s="14" t="s">
        <v>2354</v>
      </c>
      <c r="B55" s="15" t="s">
        <v>2384</v>
      </c>
      <c r="C55" s="16" t="s">
        <v>2385</v>
      </c>
      <c r="D55" s="15" t="s">
        <v>2385</v>
      </c>
      <c r="E55" s="16" t="s">
        <v>2304</v>
      </c>
      <c r="F55" s="15" t="s">
        <v>2385</v>
      </c>
    </row>
    <row r="56" spans="1:6" ht="29.45">
      <c r="A56" s="14" t="s">
        <v>2354</v>
      </c>
      <c r="B56" s="19" t="s">
        <v>2386</v>
      </c>
      <c r="C56" s="22" t="s">
        <v>2304</v>
      </c>
      <c r="D56" s="27" t="s">
        <v>2304</v>
      </c>
      <c r="E56" s="27" t="s">
        <v>2304</v>
      </c>
      <c r="F56" s="21" t="s">
        <v>2386</v>
      </c>
    </row>
    <row r="57" spans="1:6" ht="29.45">
      <c r="A57" s="14" t="s">
        <v>2354</v>
      </c>
      <c r="B57" s="19" t="s">
        <v>2387</v>
      </c>
      <c r="C57" s="22" t="s">
        <v>2304</v>
      </c>
      <c r="D57" s="27" t="s">
        <v>2304</v>
      </c>
      <c r="E57" s="27" t="s">
        <v>2304</v>
      </c>
      <c r="F57" s="21" t="s">
        <v>2387</v>
      </c>
    </row>
    <row r="58" spans="1:6">
      <c r="A58" s="14" t="s">
        <v>2354</v>
      </c>
      <c r="B58" s="19" t="s">
        <v>1065</v>
      </c>
      <c r="C58" s="22" t="s">
        <v>2304</v>
      </c>
      <c r="D58" s="27" t="s">
        <v>2304</v>
      </c>
      <c r="E58" s="27" t="s">
        <v>2304</v>
      </c>
      <c r="F58" s="21" t="s">
        <v>1065</v>
      </c>
    </row>
    <row r="59" spans="1:6" ht="29.45">
      <c r="A59" s="14" t="s">
        <v>2354</v>
      </c>
      <c r="B59" s="19" t="s">
        <v>2388</v>
      </c>
      <c r="C59" s="22" t="s">
        <v>2304</v>
      </c>
      <c r="D59" s="27" t="s">
        <v>2304</v>
      </c>
      <c r="E59" s="27" t="s">
        <v>2304</v>
      </c>
      <c r="F59" s="21" t="s">
        <v>2388</v>
      </c>
    </row>
    <row r="60" spans="1:6" ht="29.45">
      <c r="A60" s="14" t="s">
        <v>2354</v>
      </c>
      <c r="B60" s="194" t="s">
        <v>1066</v>
      </c>
      <c r="C60" s="22" t="s">
        <v>2304</v>
      </c>
      <c r="D60" s="195" t="s">
        <v>2389</v>
      </c>
      <c r="E60" s="27" t="s">
        <v>2304</v>
      </c>
      <c r="F60" s="195" t="s">
        <v>2390</v>
      </c>
    </row>
    <row r="61" spans="1:6" ht="29.45">
      <c r="A61" s="14" t="s">
        <v>2354</v>
      </c>
      <c r="B61" s="194" t="s">
        <v>1067</v>
      </c>
      <c r="C61" s="196" t="s">
        <v>2304</v>
      </c>
      <c r="D61" s="195" t="s">
        <v>2391</v>
      </c>
      <c r="E61" s="27" t="s">
        <v>2304</v>
      </c>
      <c r="F61" s="195" t="s">
        <v>2392</v>
      </c>
    </row>
    <row r="62" spans="1:6">
      <c r="A62" s="14" t="s">
        <v>2354</v>
      </c>
      <c r="B62" s="15" t="s">
        <v>2393</v>
      </c>
      <c r="C62" s="18" t="s">
        <v>2393</v>
      </c>
      <c r="D62" s="28" t="s">
        <v>2393</v>
      </c>
      <c r="E62" s="15" t="s">
        <v>2304</v>
      </c>
      <c r="F62" s="17" t="s">
        <v>2393</v>
      </c>
    </row>
    <row r="63" spans="1:6">
      <c r="A63" s="14" t="s">
        <v>2394</v>
      </c>
      <c r="B63" s="15" t="s">
        <v>2395</v>
      </c>
      <c r="C63" s="18" t="s">
        <v>2396</v>
      </c>
      <c r="D63" s="15" t="s">
        <v>2397</v>
      </c>
      <c r="E63" s="16" t="s">
        <v>2304</v>
      </c>
      <c r="F63" s="15" t="s">
        <v>2304</v>
      </c>
    </row>
    <row r="64" spans="1:6">
      <c r="A64" s="14" t="s">
        <v>2394</v>
      </c>
      <c r="B64" s="15" t="s">
        <v>2398</v>
      </c>
      <c r="C64" s="18" t="s">
        <v>2399</v>
      </c>
      <c r="D64" s="15" t="s">
        <v>2398</v>
      </c>
      <c r="E64" s="16" t="s">
        <v>2304</v>
      </c>
      <c r="F64" s="15" t="s">
        <v>2304</v>
      </c>
    </row>
    <row r="65" spans="1:6">
      <c r="A65" s="14" t="s">
        <v>2394</v>
      </c>
      <c r="B65" s="15" t="s">
        <v>2400</v>
      </c>
      <c r="C65" s="18" t="s">
        <v>2401</v>
      </c>
      <c r="D65" s="15" t="s">
        <v>2400</v>
      </c>
      <c r="E65" s="16" t="s">
        <v>2304</v>
      </c>
      <c r="F65" s="15" t="s">
        <v>2304</v>
      </c>
    </row>
    <row r="66" spans="1:6">
      <c r="A66" s="14" t="s">
        <v>2394</v>
      </c>
      <c r="B66" s="15" t="s">
        <v>2402</v>
      </c>
      <c r="C66" s="18" t="s">
        <v>2403</v>
      </c>
      <c r="D66" s="15" t="s">
        <v>2402</v>
      </c>
      <c r="E66" s="16" t="s">
        <v>2304</v>
      </c>
      <c r="F66" s="15" t="s">
        <v>2304</v>
      </c>
    </row>
    <row r="67" spans="1:6">
      <c r="A67" s="14" t="s">
        <v>2394</v>
      </c>
      <c r="B67" s="15" t="s">
        <v>2404</v>
      </c>
      <c r="C67" s="18" t="s">
        <v>2405</v>
      </c>
      <c r="D67" s="15" t="s">
        <v>2404</v>
      </c>
      <c r="E67" s="16" t="s">
        <v>2304</v>
      </c>
      <c r="F67" s="15" t="s">
        <v>2304</v>
      </c>
    </row>
    <row r="68" spans="1:6">
      <c r="A68" s="14" t="s">
        <v>2394</v>
      </c>
      <c r="B68" s="15" t="s">
        <v>2406</v>
      </c>
      <c r="C68" s="18" t="s">
        <v>2407</v>
      </c>
      <c r="D68" s="15" t="s">
        <v>2406</v>
      </c>
      <c r="E68" s="16" t="s">
        <v>2304</v>
      </c>
      <c r="F68" s="15" t="s">
        <v>2304</v>
      </c>
    </row>
    <row r="69" spans="1:6">
      <c r="A69" s="14" t="s">
        <v>2394</v>
      </c>
      <c r="B69" s="15" t="s">
        <v>2408</v>
      </c>
      <c r="C69" s="18" t="s">
        <v>2409</v>
      </c>
      <c r="D69" s="15" t="s">
        <v>2408</v>
      </c>
      <c r="E69" s="16" t="s">
        <v>2304</v>
      </c>
      <c r="F69" s="15" t="s">
        <v>2304</v>
      </c>
    </row>
    <row r="70" spans="1:6">
      <c r="A70" s="14" t="s">
        <v>2394</v>
      </c>
      <c r="B70" s="15" t="s">
        <v>2410</v>
      </c>
      <c r="C70" s="18" t="s">
        <v>2411</v>
      </c>
      <c r="D70" s="15" t="s">
        <v>2410</v>
      </c>
      <c r="E70" s="16" t="s">
        <v>2304</v>
      </c>
      <c r="F70" s="15" t="s">
        <v>2304</v>
      </c>
    </row>
    <row r="71" spans="1:6">
      <c r="A71" s="14" t="s">
        <v>2394</v>
      </c>
      <c r="B71" s="15" t="s">
        <v>2412</v>
      </c>
      <c r="C71" s="18" t="s">
        <v>2413</v>
      </c>
      <c r="D71" s="15" t="s">
        <v>2412</v>
      </c>
      <c r="E71" s="16" t="s">
        <v>2304</v>
      </c>
      <c r="F71" s="15" t="s">
        <v>2304</v>
      </c>
    </row>
    <row r="72" spans="1:6">
      <c r="A72" s="14" t="s">
        <v>2394</v>
      </c>
      <c r="B72" s="15" t="s">
        <v>2414</v>
      </c>
      <c r="C72" s="18" t="s">
        <v>2415</v>
      </c>
      <c r="D72" s="15" t="s">
        <v>2414</v>
      </c>
      <c r="E72" s="16" t="s">
        <v>2304</v>
      </c>
      <c r="F72" s="15" t="s">
        <v>2304</v>
      </c>
    </row>
    <row r="73" spans="1:6">
      <c r="A73" s="14" t="s">
        <v>2394</v>
      </c>
      <c r="B73" s="15" t="s">
        <v>2416</v>
      </c>
      <c r="C73" s="18" t="s">
        <v>2417</v>
      </c>
      <c r="D73" s="15" t="s">
        <v>2416</v>
      </c>
      <c r="E73" s="16" t="s">
        <v>2304</v>
      </c>
      <c r="F73" s="15" t="s">
        <v>2304</v>
      </c>
    </row>
    <row r="74" spans="1:6">
      <c r="A74" s="14" t="s">
        <v>2394</v>
      </c>
      <c r="B74" s="15" t="s">
        <v>2418</v>
      </c>
      <c r="C74" s="18" t="s">
        <v>2419</v>
      </c>
      <c r="D74" s="15" t="s">
        <v>2418</v>
      </c>
      <c r="E74" s="16" t="s">
        <v>2304</v>
      </c>
      <c r="F74" s="15" t="s">
        <v>2304</v>
      </c>
    </row>
    <row r="75" spans="1:6">
      <c r="A75" s="14" t="s">
        <v>2394</v>
      </c>
      <c r="B75" s="15" t="s">
        <v>2420</v>
      </c>
      <c r="C75" s="18" t="s">
        <v>2421</v>
      </c>
      <c r="D75" s="15" t="s">
        <v>2420</v>
      </c>
      <c r="E75" s="16" t="s">
        <v>2304</v>
      </c>
      <c r="F75" s="15" t="s">
        <v>2304</v>
      </c>
    </row>
    <row r="76" spans="1:6">
      <c r="A76" s="14" t="s">
        <v>2394</v>
      </c>
      <c r="B76" s="15" t="s">
        <v>2422</v>
      </c>
      <c r="C76" s="18" t="s">
        <v>2423</v>
      </c>
      <c r="D76" s="15" t="s">
        <v>2422</v>
      </c>
      <c r="E76" s="16" t="s">
        <v>2304</v>
      </c>
      <c r="F76" s="15" t="s">
        <v>2304</v>
      </c>
    </row>
    <row r="77" spans="1:6">
      <c r="A77" s="14" t="s">
        <v>2394</v>
      </c>
      <c r="B77" s="15" t="s">
        <v>2424</v>
      </c>
      <c r="C77" s="18" t="s">
        <v>2425</v>
      </c>
      <c r="D77" s="15" t="s">
        <v>2424</v>
      </c>
      <c r="E77" s="16" t="s">
        <v>2304</v>
      </c>
      <c r="F77" s="15" t="s">
        <v>2304</v>
      </c>
    </row>
    <row r="78" spans="1:6">
      <c r="A78" s="14" t="s">
        <v>2394</v>
      </c>
      <c r="B78" s="15" t="s">
        <v>2426</v>
      </c>
      <c r="C78" s="18" t="s">
        <v>2427</v>
      </c>
      <c r="D78" s="15" t="s">
        <v>2426</v>
      </c>
      <c r="E78" s="16" t="s">
        <v>2304</v>
      </c>
      <c r="F78" s="15" t="s">
        <v>2304</v>
      </c>
    </row>
    <row r="79" spans="1:6">
      <c r="A79" s="14" t="s">
        <v>2394</v>
      </c>
      <c r="B79" s="15" t="s">
        <v>2428</v>
      </c>
      <c r="C79" s="18" t="s">
        <v>2429</v>
      </c>
      <c r="D79" s="15" t="s">
        <v>2428</v>
      </c>
      <c r="E79" s="16" t="s">
        <v>2304</v>
      </c>
      <c r="F79" s="15" t="s">
        <v>2304</v>
      </c>
    </row>
    <row r="80" spans="1:6">
      <c r="A80" s="14" t="s">
        <v>2394</v>
      </c>
      <c r="B80" s="15" t="s">
        <v>2430</v>
      </c>
      <c r="C80" s="18" t="s">
        <v>2431</v>
      </c>
      <c r="D80" s="15" t="s">
        <v>2430</v>
      </c>
      <c r="E80" s="16" t="s">
        <v>2304</v>
      </c>
      <c r="F80" s="15" t="s">
        <v>2304</v>
      </c>
    </row>
    <row r="81" spans="1:6" ht="29.45">
      <c r="A81" s="14" t="s">
        <v>2432</v>
      </c>
      <c r="B81" s="19" t="s">
        <v>2433</v>
      </c>
      <c r="C81" s="22" t="s">
        <v>2304</v>
      </c>
      <c r="D81" s="22" t="s">
        <v>2304</v>
      </c>
      <c r="E81" s="22" t="s">
        <v>2304</v>
      </c>
      <c r="F81" s="22" t="s">
        <v>2304</v>
      </c>
    </row>
    <row r="82" spans="1:6">
      <c r="A82" s="14" t="s">
        <v>2432</v>
      </c>
      <c r="B82" s="19" t="s">
        <v>2434</v>
      </c>
      <c r="C82" s="22" t="s">
        <v>2304</v>
      </c>
      <c r="D82" s="22" t="s">
        <v>2304</v>
      </c>
      <c r="E82" s="22" t="s">
        <v>2304</v>
      </c>
      <c r="F82" s="22" t="s">
        <v>2304</v>
      </c>
    </row>
    <row r="83" spans="1:6">
      <c r="A83" s="14" t="s">
        <v>2432</v>
      </c>
      <c r="B83" s="19" t="s">
        <v>2435</v>
      </c>
      <c r="C83" s="22" t="s">
        <v>2304</v>
      </c>
      <c r="D83" s="22" t="s">
        <v>2304</v>
      </c>
      <c r="E83" s="22" t="s">
        <v>2304</v>
      </c>
      <c r="F83" s="22" t="s">
        <v>2304</v>
      </c>
    </row>
    <row r="84" spans="1:6">
      <c r="A84" s="14" t="s">
        <v>2432</v>
      </c>
      <c r="B84" s="19" t="s">
        <v>2436</v>
      </c>
      <c r="C84" s="22" t="s">
        <v>2304</v>
      </c>
      <c r="D84" s="22" t="s">
        <v>2304</v>
      </c>
      <c r="E84" s="22" t="s">
        <v>2304</v>
      </c>
      <c r="F84" s="22" t="s">
        <v>2304</v>
      </c>
    </row>
    <row r="85" spans="1:6">
      <c r="A85" s="14" t="s">
        <v>2432</v>
      </c>
      <c r="B85" s="19" t="s">
        <v>2437</v>
      </c>
      <c r="C85" s="22" t="s">
        <v>2304</v>
      </c>
      <c r="D85" s="22" t="s">
        <v>2304</v>
      </c>
      <c r="E85" s="22" t="s">
        <v>2304</v>
      </c>
      <c r="F85" s="22" t="s">
        <v>2304</v>
      </c>
    </row>
    <row r="86" spans="1:6">
      <c r="A86" s="14" t="s">
        <v>2432</v>
      </c>
      <c r="B86" s="19" t="s">
        <v>2438</v>
      </c>
      <c r="C86" s="22" t="s">
        <v>2304</v>
      </c>
      <c r="D86" s="22" t="s">
        <v>2304</v>
      </c>
      <c r="E86" s="22" t="s">
        <v>2304</v>
      </c>
      <c r="F86" s="22" t="s">
        <v>2304</v>
      </c>
    </row>
    <row r="87" spans="1:6">
      <c r="A87" s="14" t="s">
        <v>2432</v>
      </c>
      <c r="B87" s="19" t="s">
        <v>2439</v>
      </c>
      <c r="C87" s="22" t="s">
        <v>2304</v>
      </c>
      <c r="D87" s="22" t="s">
        <v>2304</v>
      </c>
      <c r="E87" s="22" t="s">
        <v>2304</v>
      </c>
      <c r="F87" s="22" t="s">
        <v>2304</v>
      </c>
    </row>
    <row r="88" spans="1:6">
      <c r="A88" s="14" t="s">
        <v>2432</v>
      </c>
      <c r="B88" s="19" t="s">
        <v>2440</v>
      </c>
      <c r="C88" s="22" t="s">
        <v>2304</v>
      </c>
      <c r="D88" s="22" t="s">
        <v>2304</v>
      </c>
      <c r="E88" s="22" t="s">
        <v>2304</v>
      </c>
      <c r="F88" s="22" t="s">
        <v>2304</v>
      </c>
    </row>
    <row r="89" spans="1:6">
      <c r="A89" s="14" t="s">
        <v>2432</v>
      </c>
      <c r="B89" s="19" t="s">
        <v>2441</v>
      </c>
      <c r="C89" s="22" t="s">
        <v>2304</v>
      </c>
      <c r="D89" s="22" t="s">
        <v>2304</v>
      </c>
      <c r="E89" s="22" t="s">
        <v>2304</v>
      </c>
      <c r="F89" s="22" t="s">
        <v>2304</v>
      </c>
    </row>
    <row r="90" spans="1:6">
      <c r="A90" s="14" t="s">
        <v>2432</v>
      </c>
      <c r="B90" s="19" t="s">
        <v>2442</v>
      </c>
      <c r="C90" s="22" t="s">
        <v>2304</v>
      </c>
      <c r="D90" s="22" t="s">
        <v>2304</v>
      </c>
      <c r="E90" s="22" t="s">
        <v>2304</v>
      </c>
      <c r="F90" s="22" t="s">
        <v>2304</v>
      </c>
    </row>
    <row r="91" spans="1:6">
      <c r="A91" s="14" t="s">
        <v>2432</v>
      </c>
      <c r="B91" s="19" t="s">
        <v>2443</v>
      </c>
      <c r="C91" s="22" t="s">
        <v>2304</v>
      </c>
      <c r="D91" s="22" t="s">
        <v>2304</v>
      </c>
      <c r="E91" s="22" t="s">
        <v>2304</v>
      </c>
      <c r="F91" s="22" t="s">
        <v>2304</v>
      </c>
    </row>
    <row r="92" spans="1:6">
      <c r="A92" s="14" t="s">
        <v>2432</v>
      </c>
      <c r="B92" s="19" t="s">
        <v>2444</v>
      </c>
      <c r="C92" s="22" t="s">
        <v>2304</v>
      </c>
      <c r="D92" s="22" t="s">
        <v>2304</v>
      </c>
      <c r="E92" s="22" t="s">
        <v>2304</v>
      </c>
      <c r="F92" s="22" t="s">
        <v>2304</v>
      </c>
    </row>
    <row r="93" spans="1:6">
      <c r="A93" s="14" t="s">
        <v>2432</v>
      </c>
      <c r="B93" s="19" t="s">
        <v>2445</v>
      </c>
      <c r="C93" s="22" t="s">
        <v>2304</v>
      </c>
      <c r="D93" s="22" t="s">
        <v>2304</v>
      </c>
      <c r="E93" s="22" t="s">
        <v>2304</v>
      </c>
      <c r="F93" s="22" t="s">
        <v>2304</v>
      </c>
    </row>
    <row r="94" spans="1:6" ht="29.45">
      <c r="A94" s="14" t="s">
        <v>2432</v>
      </c>
      <c r="B94" s="19" t="s">
        <v>2446</v>
      </c>
      <c r="C94" s="22" t="s">
        <v>2304</v>
      </c>
      <c r="D94" s="22" t="s">
        <v>2304</v>
      </c>
      <c r="E94" s="22" t="s">
        <v>2304</v>
      </c>
      <c r="F94" s="22" t="s">
        <v>2304</v>
      </c>
    </row>
    <row r="95" spans="1:6">
      <c r="A95" s="14" t="s">
        <v>2432</v>
      </c>
      <c r="B95" s="19" t="s">
        <v>2447</v>
      </c>
      <c r="C95" s="22" t="s">
        <v>2304</v>
      </c>
      <c r="D95" s="22" t="s">
        <v>2304</v>
      </c>
      <c r="E95" s="22" t="s">
        <v>2304</v>
      </c>
      <c r="F95" s="22" t="s">
        <v>2304</v>
      </c>
    </row>
    <row r="96" spans="1:6">
      <c r="A96" s="14" t="s">
        <v>2432</v>
      </c>
      <c r="B96" s="19" t="s">
        <v>2448</v>
      </c>
      <c r="C96" s="22" t="s">
        <v>2304</v>
      </c>
      <c r="D96" s="22" t="s">
        <v>2304</v>
      </c>
      <c r="E96" s="22" t="s">
        <v>2304</v>
      </c>
      <c r="F96" s="22" t="s">
        <v>2304</v>
      </c>
    </row>
    <row r="97" spans="1:6">
      <c r="A97" s="14" t="s">
        <v>2432</v>
      </c>
      <c r="B97" s="19" t="s">
        <v>2449</v>
      </c>
      <c r="C97" s="22" t="s">
        <v>2304</v>
      </c>
      <c r="D97" s="22" t="s">
        <v>2304</v>
      </c>
      <c r="E97" s="22" t="s">
        <v>2304</v>
      </c>
      <c r="F97" s="22" t="s">
        <v>2304</v>
      </c>
    </row>
    <row r="98" spans="1:6" ht="29.45">
      <c r="A98" s="14" t="s">
        <v>2432</v>
      </c>
      <c r="B98" s="19" t="s">
        <v>2450</v>
      </c>
      <c r="C98" s="22" t="s">
        <v>2304</v>
      </c>
      <c r="D98" s="22" t="s">
        <v>2304</v>
      </c>
      <c r="E98" s="22" t="s">
        <v>2304</v>
      </c>
      <c r="F98" s="22" t="s">
        <v>2304</v>
      </c>
    </row>
    <row r="99" spans="1:6">
      <c r="A99" s="14" t="s">
        <v>2432</v>
      </c>
      <c r="B99" s="19" t="s">
        <v>2451</v>
      </c>
      <c r="C99" s="22" t="s">
        <v>2304</v>
      </c>
      <c r="D99" s="22" t="s">
        <v>2304</v>
      </c>
      <c r="E99" s="22" t="s">
        <v>2304</v>
      </c>
      <c r="F99" s="22" t="s">
        <v>2304</v>
      </c>
    </row>
    <row r="100" spans="1:6" ht="29.45">
      <c r="A100" s="14" t="s">
        <v>2432</v>
      </c>
      <c r="B100" s="19" t="s">
        <v>2452</v>
      </c>
      <c r="C100" s="22" t="s">
        <v>2304</v>
      </c>
      <c r="D100" s="22" t="s">
        <v>2304</v>
      </c>
      <c r="E100" s="22" t="s">
        <v>2304</v>
      </c>
      <c r="F100" s="22" t="s">
        <v>2304</v>
      </c>
    </row>
    <row r="101" spans="1:6">
      <c r="A101" s="14" t="s">
        <v>2432</v>
      </c>
      <c r="B101" s="19" t="s">
        <v>2453</v>
      </c>
      <c r="C101" s="22" t="s">
        <v>2304</v>
      </c>
      <c r="D101" s="22" t="s">
        <v>2304</v>
      </c>
      <c r="E101" s="22" t="s">
        <v>2304</v>
      </c>
      <c r="F101" s="22" t="s">
        <v>2304</v>
      </c>
    </row>
    <row r="102" spans="1:6">
      <c r="A102" s="14" t="s">
        <v>2432</v>
      </c>
      <c r="B102" s="19" t="s">
        <v>2454</v>
      </c>
      <c r="C102" s="22" t="s">
        <v>2304</v>
      </c>
      <c r="D102" s="22" t="s">
        <v>2304</v>
      </c>
      <c r="E102" s="22" t="s">
        <v>2304</v>
      </c>
      <c r="F102" s="22" t="s">
        <v>2304</v>
      </c>
    </row>
    <row r="103" spans="1:6">
      <c r="A103" s="14" t="s">
        <v>2432</v>
      </c>
      <c r="B103" s="19" t="s">
        <v>2455</v>
      </c>
      <c r="C103" s="22" t="s">
        <v>2304</v>
      </c>
      <c r="D103" s="22" t="s">
        <v>2304</v>
      </c>
      <c r="E103" s="22" t="s">
        <v>2304</v>
      </c>
      <c r="F103" s="22" t="s">
        <v>2304</v>
      </c>
    </row>
    <row r="104" spans="1:6">
      <c r="A104" s="14" t="s">
        <v>2432</v>
      </c>
      <c r="B104" s="19" t="s">
        <v>2456</v>
      </c>
      <c r="C104" s="22" t="s">
        <v>2304</v>
      </c>
      <c r="D104" s="22" t="s">
        <v>2304</v>
      </c>
      <c r="E104" s="22" t="s">
        <v>2304</v>
      </c>
      <c r="F104" s="22" t="s">
        <v>2304</v>
      </c>
    </row>
    <row r="105" spans="1:6">
      <c r="A105" s="14" t="s">
        <v>2432</v>
      </c>
      <c r="B105" s="19" t="s">
        <v>2457</v>
      </c>
      <c r="C105" s="22" t="s">
        <v>2304</v>
      </c>
      <c r="D105" s="22" t="s">
        <v>2304</v>
      </c>
      <c r="E105" s="22" t="s">
        <v>2304</v>
      </c>
      <c r="F105" s="22" t="s">
        <v>2304</v>
      </c>
    </row>
    <row r="106" spans="1:6">
      <c r="A106" s="14" t="s">
        <v>2432</v>
      </c>
      <c r="B106" s="19" t="s">
        <v>2458</v>
      </c>
      <c r="C106" s="22" t="s">
        <v>2304</v>
      </c>
      <c r="D106" s="22" t="s">
        <v>2304</v>
      </c>
      <c r="E106" s="22" t="s">
        <v>2304</v>
      </c>
      <c r="F106" s="22" t="s">
        <v>2304</v>
      </c>
    </row>
    <row r="107" spans="1:6">
      <c r="A107" s="14" t="s">
        <v>2432</v>
      </c>
      <c r="B107" s="19" t="s">
        <v>2459</v>
      </c>
      <c r="C107" s="22" t="s">
        <v>2304</v>
      </c>
      <c r="D107" s="22" t="s">
        <v>2304</v>
      </c>
      <c r="E107" s="22" t="s">
        <v>2304</v>
      </c>
      <c r="F107" s="22" t="s">
        <v>2304</v>
      </c>
    </row>
    <row r="108" spans="1:6">
      <c r="A108" s="14" t="s">
        <v>2432</v>
      </c>
      <c r="B108" s="19" t="s">
        <v>2460</v>
      </c>
      <c r="C108" s="22" t="s">
        <v>2304</v>
      </c>
      <c r="D108" s="22" t="s">
        <v>2304</v>
      </c>
      <c r="E108" s="22" t="s">
        <v>2304</v>
      </c>
      <c r="F108" s="22" t="s">
        <v>2304</v>
      </c>
    </row>
    <row r="109" spans="1:6">
      <c r="A109" s="14" t="s">
        <v>2432</v>
      </c>
      <c r="B109" s="19" t="s">
        <v>2461</v>
      </c>
      <c r="C109" s="22" t="s">
        <v>2304</v>
      </c>
      <c r="D109" s="22" t="s">
        <v>2304</v>
      </c>
      <c r="E109" s="22" t="s">
        <v>2304</v>
      </c>
      <c r="F109" s="22" t="s">
        <v>2304</v>
      </c>
    </row>
    <row r="110" spans="1:6">
      <c r="A110" s="14" t="s">
        <v>2432</v>
      </c>
      <c r="B110" s="19" t="s">
        <v>2462</v>
      </c>
      <c r="C110" s="22" t="s">
        <v>2304</v>
      </c>
      <c r="D110" s="22" t="s">
        <v>2304</v>
      </c>
      <c r="E110" s="22" t="s">
        <v>2304</v>
      </c>
      <c r="F110" s="22" t="s">
        <v>2304</v>
      </c>
    </row>
    <row r="111" spans="1:6" ht="29.45">
      <c r="A111" s="14" t="s">
        <v>2432</v>
      </c>
      <c r="B111" s="19" t="s">
        <v>2463</v>
      </c>
      <c r="C111" s="22" t="s">
        <v>2304</v>
      </c>
      <c r="D111" s="22" t="s">
        <v>2304</v>
      </c>
      <c r="E111" s="22" t="s">
        <v>2304</v>
      </c>
      <c r="F111" s="22" t="s">
        <v>2304</v>
      </c>
    </row>
    <row r="112" spans="1:6">
      <c r="A112" s="14" t="s">
        <v>2432</v>
      </c>
      <c r="B112" s="19" t="s">
        <v>2464</v>
      </c>
      <c r="C112" s="22" t="s">
        <v>2304</v>
      </c>
      <c r="D112" s="22" t="s">
        <v>2304</v>
      </c>
      <c r="E112" s="22" t="s">
        <v>2304</v>
      </c>
      <c r="F112" s="22" t="s">
        <v>2304</v>
      </c>
    </row>
    <row r="113" spans="1:6">
      <c r="A113" s="14" t="s">
        <v>2432</v>
      </c>
      <c r="B113" s="19" t="s">
        <v>2465</v>
      </c>
      <c r="C113" s="22" t="s">
        <v>2304</v>
      </c>
      <c r="D113" s="22" t="s">
        <v>2304</v>
      </c>
      <c r="E113" s="22" t="s">
        <v>2304</v>
      </c>
      <c r="F113" s="22" t="s">
        <v>2304</v>
      </c>
    </row>
    <row r="114" spans="1:6">
      <c r="A114" s="14" t="s">
        <v>2432</v>
      </c>
      <c r="B114" s="19" t="s">
        <v>2466</v>
      </c>
      <c r="C114" s="22" t="s">
        <v>2304</v>
      </c>
      <c r="D114" s="22" t="s">
        <v>2304</v>
      </c>
      <c r="E114" s="22" t="s">
        <v>2304</v>
      </c>
      <c r="F114" s="22" t="s">
        <v>2304</v>
      </c>
    </row>
    <row r="115" spans="1:6">
      <c r="A115" s="14" t="s">
        <v>2432</v>
      </c>
      <c r="B115" s="19" t="s">
        <v>2467</v>
      </c>
      <c r="C115" s="22" t="s">
        <v>2304</v>
      </c>
      <c r="D115" s="22" t="s">
        <v>2304</v>
      </c>
      <c r="E115" s="22" t="s">
        <v>2304</v>
      </c>
      <c r="F115" s="22" t="s">
        <v>2304</v>
      </c>
    </row>
    <row r="116" spans="1:6">
      <c r="A116" s="14" t="s">
        <v>2432</v>
      </c>
      <c r="B116" s="19" t="s">
        <v>2468</v>
      </c>
      <c r="C116" s="22" t="s">
        <v>2304</v>
      </c>
      <c r="D116" s="22" t="s">
        <v>2304</v>
      </c>
      <c r="E116" s="22" t="s">
        <v>2304</v>
      </c>
      <c r="F116" s="22" t="s">
        <v>2304</v>
      </c>
    </row>
    <row r="117" spans="1:6">
      <c r="A117" s="14" t="s">
        <v>2432</v>
      </c>
      <c r="B117" s="19" t="s">
        <v>2469</v>
      </c>
      <c r="C117" s="22" t="s">
        <v>2304</v>
      </c>
      <c r="D117" s="22" t="s">
        <v>2304</v>
      </c>
      <c r="E117" s="22" t="s">
        <v>2304</v>
      </c>
      <c r="F117" s="22" t="s">
        <v>2304</v>
      </c>
    </row>
    <row r="118" spans="1:6">
      <c r="A118" s="14" t="s">
        <v>2432</v>
      </c>
      <c r="B118" s="15" t="s">
        <v>2470</v>
      </c>
      <c r="C118" s="16" t="s">
        <v>2471</v>
      </c>
      <c r="D118" s="29" t="s">
        <v>2304</v>
      </c>
      <c r="E118" s="19" t="s">
        <v>2304</v>
      </c>
      <c r="F118" s="19" t="s">
        <v>2304</v>
      </c>
    </row>
    <row r="119" spans="1:6">
      <c r="A119" s="14" t="s">
        <v>2472</v>
      </c>
      <c r="B119" s="19" t="s">
        <v>2473</v>
      </c>
      <c r="C119" s="22" t="s">
        <v>2304</v>
      </c>
      <c r="D119" s="22" t="s">
        <v>2304</v>
      </c>
      <c r="E119" s="22" t="s">
        <v>2304</v>
      </c>
      <c r="F119" s="22" t="s">
        <v>2304</v>
      </c>
    </row>
    <row r="120" spans="1:6">
      <c r="A120" s="14" t="s">
        <v>2472</v>
      </c>
      <c r="B120" s="19" t="s">
        <v>2474</v>
      </c>
      <c r="C120" s="22" t="s">
        <v>2304</v>
      </c>
      <c r="D120" s="22" t="s">
        <v>2304</v>
      </c>
      <c r="E120" s="22" t="s">
        <v>2304</v>
      </c>
      <c r="F120" s="22" t="s">
        <v>2304</v>
      </c>
    </row>
    <row r="121" spans="1:6">
      <c r="A121" s="14" t="s">
        <v>2472</v>
      </c>
      <c r="B121" s="19" t="s">
        <v>2475</v>
      </c>
      <c r="C121" s="29" t="s">
        <v>2304</v>
      </c>
      <c r="D121" s="29" t="s">
        <v>2304</v>
      </c>
      <c r="E121" s="29" t="s">
        <v>2304</v>
      </c>
      <c r="F121" s="29" t="s">
        <v>2304</v>
      </c>
    </row>
    <row r="122" spans="1:6">
      <c r="A122" s="14" t="s">
        <v>2472</v>
      </c>
      <c r="B122" s="19" t="s">
        <v>2476</v>
      </c>
      <c r="C122" s="22" t="s">
        <v>2304</v>
      </c>
      <c r="D122" s="22" t="s">
        <v>2304</v>
      </c>
      <c r="E122" s="22" t="s">
        <v>2304</v>
      </c>
      <c r="F122" s="22" t="s">
        <v>2304</v>
      </c>
    </row>
    <row r="123" spans="1:6">
      <c r="A123" s="14" t="s">
        <v>2472</v>
      </c>
      <c r="B123" s="19" t="s">
        <v>2477</v>
      </c>
      <c r="C123" s="22" t="s">
        <v>2304</v>
      </c>
      <c r="D123" s="22" t="s">
        <v>2304</v>
      </c>
      <c r="E123" s="22" t="s">
        <v>2304</v>
      </c>
      <c r="F123" s="22" t="s">
        <v>2304</v>
      </c>
    </row>
    <row r="124" spans="1:6">
      <c r="A124" s="14" t="s">
        <v>2472</v>
      </c>
      <c r="B124" s="19" t="s">
        <v>2478</v>
      </c>
      <c r="C124" s="29" t="s">
        <v>2304</v>
      </c>
      <c r="D124" s="29" t="s">
        <v>2304</v>
      </c>
      <c r="E124" s="29" t="s">
        <v>2304</v>
      </c>
      <c r="F124" s="29" t="s">
        <v>2304</v>
      </c>
    </row>
    <row r="125" spans="1:6">
      <c r="A125" s="14" t="s">
        <v>2472</v>
      </c>
      <c r="B125" s="19" t="s">
        <v>2479</v>
      </c>
      <c r="C125" s="22" t="s">
        <v>2304</v>
      </c>
      <c r="D125" s="22" t="s">
        <v>2304</v>
      </c>
      <c r="E125" s="22" t="s">
        <v>2304</v>
      </c>
      <c r="F125" s="22" t="s">
        <v>2304</v>
      </c>
    </row>
    <row r="126" spans="1:6">
      <c r="A126" s="14" t="s">
        <v>2472</v>
      </c>
      <c r="B126" s="15" t="s">
        <v>2480</v>
      </c>
      <c r="C126" s="15" t="s">
        <v>2480</v>
      </c>
      <c r="D126" s="19" t="s">
        <v>2304</v>
      </c>
      <c r="E126" s="19" t="s">
        <v>2304</v>
      </c>
      <c r="F126" s="19" t="s">
        <v>2304</v>
      </c>
    </row>
    <row r="127" spans="1:6">
      <c r="A127" s="14" t="s">
        <v>2472</v>
      </c>
      <c r="B127" s="29" t="s">
        <v>2304</v>
      </c>
      <c r="C127" s="16" t="s">
        <v>2481</v>
      </c>
      <c r="D127" s="19" t="s">
        <v>2304</v>
      </c>
      <c r="E127" s="19" t="s">
        <v>2304</v>
      </c>
      <c r="F127" s="19" t="s">
        <v>2304</v>
      </c>
    </row>
    <row r="128" spans="1:6">
      <c r="A128" s="14" t="s">
        <v>2472</v>
      </c>
      <c r="B128" s="19" t="s">
        <v>2482</v>
      </c>
      <c r="C128" s="22" t="s">
        <v>2304</v>
      </c>
      <c r="D128" s="22" t="s">
        <v>2304</v>
      </c>
      <c r="E128" s="22" t="s">
        <v>2304</v>
      </c>
      <c r="F128" s="22" t="s">
        <v>2304</v>
      </c>
    </row>
    <row r="129" spans="1:6">
      <c r="A129" s="14" t="s">
        <v>2354</v>
      </c>
      <c r="B129" s="19" t="s">
        <v>2483</v>
      </c>
      <c r="C129" s="22" t="s">
        <v>2304</v>
      </c>
      <c r="D129" s="19" t="s">
        <v>2484</v>
      </c>
      <c r="E129" s="22" t="s">
        <v>2304</v>
      </c>
      <c r="F129" s="19" t="s">
        <v>2484</v>
      </c>
    </row>
    <row r="130" spans="1:6">
      <c r="A130" s="14" t="s">
        <v>2354</v>
      </c>
      <c r="B130" s="19" t="s">
        <v>2485</v>
      </c>
      <c r="C130" s="29" t="s">
        <v>2304</v>
      </c>
      <c r="D130" s="19" t="s">
        <v>2486</v>
      </c>
      <c r="E130" s="22" t="s">
        <v>2304</v>
      </c>
      <c r="F130" s="19" t="s">
        <v>2486</v>
      </c>
    </row>
    <row r="131" spans="1:6">
      <c r="A131" s="14" t="s">
        <v>2354</v>
      </c>
      <c r="B131" s="19" t="s">
        <v>2487</v>
      </c>
      <c r="C131" s="22" t="s">
        <v>2304</v>
      </c>
      <c r="D131" s="19" t="s">
        <v>2488</v>
      </c>
      <c r="E131" s="22" t="s">
        <v>2304</v>
      </c>
      <c r="F131" s="19" t="s">
        <v>2488</v>
      </c>
    </row>
    <row r="132" spans="1:6">
      <c r="A132" s="14" t="s">
        <v>2354</v>
      </c>
      <c r="B132" s="19" t="s">
        <v>2489</v>
      </c>
      <c r="C132" s="22" t="s">
        <v>2304</v>
      </c>
      <c r="D132" s="22" t="s">
        <v>2304</v>
      </c>
      <c r="E132" s="22" t="s">
        <v>2304</v>
      </c>
      <c r="F132" s="21" t="s">
        <v>2489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5425B-0881-4834-8E5D-85AFD655F16E}">
  <dimension ref="A1:B23"/>
  <sheetViews>
    <sheetView workbookViewId="0">
      <selection activeCell="F24" sqref="F24"/>
    </sheetView>
  </sheetViews>
  <sheetFormatPr defaultRowHeight="14.85"/>
  <cols>
    <col min="1" max="1" width="31.28515625" customWidth="1"/>
  </cols>
  <sheetData>
    <row r="1" spans="1:2">
      <c r="A1" t="s">
        <v>2490</v>
      </c>
      <c r="B1" t="s">
        <v>2491</v>
      </c>
    </row>
    <row r="2" spans="1:2">
      <c r="A2" t="s">
        <v>2492</v>
      </c>
      <c r="B2">
        <v>1</v>
      </c>
    </row>
    <row r="3" spans="1:2">
      <c r="A3" t="s">
        <v>2493</v>
      </c>
      <c r="B3">
        <v>2</v>
      </c>
    </row>
    <row r="4" spans="1:2">
      <c r="A4" t="s">
        <v>2494</v>
      </c>
      <c r="B4">
        <v>3</v>
      </c>
    </row>
    <row r="5" spans="1:2">
      <c r="A5" t="s">
        <v>202</v>
      </c>
      <c r="B5">
        <v>4</v>
      </c>
    </row>
    <row r="6" spans="1:2">
      <c r="A6" t="s">
        <v>2495</v>
      </c>
      <c r="B6">
        <v>5</v>
      </c>
    </row>
    <row r="7" spans="1:2">
      <c r="A7" t="s">
        <v>628</v>
      </c>
      <c r="B7">
        <v>6</v>
      </c>
    </row>
    <row r="8" spans="1:2">
      <c r="A8" t="s">
        <v>606</v>
      </c>
      <c r="B8">
        <v>7</v>
      </c>
    </row>
    <row r="9" spans="1:2">
      <c r="A9" t="s">
        <v>514</v>
      </c>
      <c r="B9">
        <v>8</v>
      </c>
    </row>
    <row r="10" spans="1:2">
      <c r="A10" t="s">
        <v>642</v>
      </c>
      <c r="B10">
        <v>9</v>
      </c>
    </row>
    <row r="11" spans="1:2">
      <c r="A11" t="s">
        <v>207</v>
      </c>
      <c r="B11">
        <v>10</v>
      </c>
    </row>
    <row r="12" spans="1:2">
      <c r="A12" t="s">
        <v>2496</v>
      </c>
      <c r="B12">
        <v>11</v>
      </c>
    </row>
    <row r="13" spans="1:2">
      <c r="A13" t="s">
        <v>713</v>
      </c>
      <c r="B13">
        <v>12</v>
      </c>
    </row>
    <row r="14" spans="1:2">
      <c r="A14" t="s">
        <v>295</v>
      </c>
      <c r="B14">
        <v>13</v>
      </c>
    </row>
    <row r="15" spans="1:2">
      <c r="A15" t="s">
        <v>291</v>
      </c>
      <c r="B15">
        <v>14</v>
      </c>
    </row>
    <row r="16" spans="1:2">
      <c r="A16" t="s">
        <v>2497</v>
      </c>
      <c r="B16">
        <v>15</v>
      </c>
    </row>
    <row r="17" spans="1:2">
      <c r="A17" t="s">
        <v>1011</v>
      </c>
      <c r="B17">
        <v>16</v>
      </c>
    </row>
    <row r="18" spans="1:2">
      <c r="A18" t="s">
        <v>2498</v>
      </c>
      <c r="B18">
        <v>17</v>
      </c>
    </row>
    <row r="19" spans="1:2">
      <c r="A19" t="s">
        <v>2499</v>
      </c>
      <c r="B19">
        <v>18</v>
      </c>
    </row>
    <row r="20" spans="1:2">
      <c r="A20" t="s">
        <v>138</v>
      </c>
      <c r="B20">
        <v>19</v>
      </c>
    </row>
    <row r="21" spans="1:2">
      <c r="A21" t="s">
        <v>2500</v>
      </c>
      <c r="B21">
        <v>20</v>
      </c>
    </row>
    <row r="22" spans="1:2">
      <c r="A22" t="s">
        <v>78</v>
      </c>
      <c r="B22">
        <v>21</v>
      </c>
    </row>
    <row r="23" spans="1:2">
      <c r="A23" t="s">
        <v>971</v>
      </c>
      <c r="B23">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F0AE-5FA0-4807-9E98-566D9A0CF9B6}">
  <dimension ref="A1:D8"/>
  <sheetViews>
    <sheetView workbookViewId="0">
      <selection activeCell="C17" sqref="C17"/>
    </sheetView>
  </sheetViews>
  <sheetFormatPr defaultRowHeight="14.85"/>
  <cols>
    <col min="1" max="1" width="27.85546875" customWidth="1"/>
    <col min="2" max="2" width="34.42578125" customWidth="1"/>
    <col min="3" max="3" width="32.85546875" customWidth="1"/>
    <col min="4" max="4" width="32.28515625" customWidth="1"/>
  </cols>
  <sheetData>
    <row r="1" spans="1:4">
      <c r="A1" s="58" t="s">
        <v>2501</v>
      </c>
      <c r="B1" s="58" t="s">
        <v>2502</v>
      </c>
      <c r="C1" s="58" t="s">
        <v>2503</v>
      </c>
    </row>
    <row r="2" spans="1:4">
      <c r="A2" s="66" t="s">
        <v>2274</v>
      </c>
      <c r="B2">
        <v>3</v>
      </c>
      <c r="C2">
        <v>16</v>
      </c>
    </row>
    <row r="4" spans="1:4">
      <c r="A4" s="58" t="s">
        <v>2504</v>
      </c>
      <c r="B4" s="58" t="s">
        <v>2502</v>
      </c>
      <c r="C4" s="58" t="s">
        <v>2505</v>
      </c>
      <c r="D4" s="58" t="s">
        <v>2503</v>
      </c>
    </row>
    <row r="5" spans="1:4">
      <c r="A5" s="66" t="s">
        <v>25</v>
      </c>
      <c r="B5">
        <v>16</v>
      </c>
      <c r="C5">
        <v>118</v>
      </c>
      <c r="D5">
        <v>54</v>
      </c>
    </row>
    <row r="6" spans="1:4">
      <c r="A6" s="53" t="s">
        <v>38</v>
      </c>
      <c r="B6">
        <v>27</v>
      </c>
      <c r="C6">
        <v>142</v>
      </c>
      <c r="D6">
        <v>30</v>
      </c>
    </row>
    <row r="7" spans="1:4">
      <c r="A7" s="53" t="s">
        <v>41</v>
      </c>
      <c r="B7">
        <v>27</v>
      </c>
      <c r="C7">
        <v>112</v>
      </c>
      <c r="D7">
        <v>60</v>
      </c>
    </row>
    <row r="8" spans="1:4">
      <c r="A8" s="53" t="s">
        <v>65</v>
      </c>
      <c r="B8">
        <v>0</v>
      </c>
      <c r="C8">
        <v>120</v>
      </c>
      <c r="D8">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2024-09-25T14:23:36Z</dcterms:created>
  <dcterms:modified xsi:type="dcterms:W3CDTF">2025-09-02T12:30:35Z</dcterms:modified>
  <cp:category/>
  <cp:contentStatus/>
</cp:coreProperties>
</file>