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johnshopkins-my.sharepoint.com/personal/bdyer5_jh_edu/Documents/CHN/JiVitA/MiNDR/data/scripts/WomanTrak/flow_diagram/"/>
    </mc:Choice>
  </mc:AlternateContent>
  <xr:revisionPtr revIDLastSave="0" documentId="8_{2966F563-E942-495C-B56F-3A3D3159400F}" xr6:coauthVersionLast="47" xr6:coauthVersionMax="47" xr10:uidLastSave="{00000000-0000-0000-0000-000000000000}"/>
  <bookViews>
    <workbookView minimized="1" xWindow="3585" yWindow="3585" windowWidth="21600" windowHeight="11175" xr2:uid="{9E06E7C3-2202-4172-8C51-9DC4353A6C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1" l="1"/>
  <c r="K14" i="1"/>
</calcChain>
</file>

<file path=xl/sharedStrings.xml><?xml version="1.0" encoding="utf-8"?>
<sst xmlns="http://schemas.openxmlformats.org/spreadsheetml/2006/main" count="43" uniqueCount="29">
  <si>
    <t>PSF Eligibility groups:</t>
  </si>
  <si>
    <t>Total</t>
  </si>
  <si>
    <t>Mop-up</t>
  </si>
  <si>
    <t>Incident pregnancies</t>
  </si>
  <si>
    <t>Rate</t>
  </si>
  <si>
    <t>1) Not currently breastfeeding (0) + not planning pregnancy (0) + not using FP method (0)</t>
  </si>
  <si>
    <t>2) Not currently breastfeeding (0) + planning pregnancy, yes/DK (1, 9) + not using FP method (0)</t>
  </si>
  <si>
    <t>3) Not currently breastfeeding (0) + planning pregnancy, yes/DK (1,9) + using temporary FP method (1,5,6,8)</t>
  </si>
  <si>
    <t>4) Currently breastfeeding (1) + not planning pregnancy (0) + not using FP method (0)</t>
  </si>
  <si>
    <t>5) Currently breastfeeding (1) + not planning pregnancy, yes/DK (1,9) + using temporary FP method (1,5,6,8)</t>
  </si>
  <si>
    <t>6) Currently breastfeeding (1) + planning pregnancy, yes/DK (1,9) + not using FP method (0)</t>
  </si>
  <si>
    <t>7) Currently breastfeeding (1) + planning pregnancy, yes/DK (1,9) + using temporary FP method (1,5,6,8)</t>
  </si>
  <si>
    <t>WRA Eligibility groups:</t>
  </si>
  <si>
    <t>8) Not currently breastfeeding (0) + not planning pregnancy (0) + using temporary FP method (1,5,6,8)</t>
  </si>
  <si>
    <t>1) Not currently breastfeeding (0) + not planning pregnancy (0) + using long-acting FP method (2,3,4,7)</t>
  </si>
  <si>
    <t>9) Not currently breastfeeding (0) + planning pregnancy, yes/DK (1, 9) + using long-acting FP method (2,3,4,7)</t>
  </si>
  <si>
    <t>2) Not currently breastfeeding (0) + not planning pregnancy (0) + using temporary FP method (1,5,6,8)</t>
  </si>
  <si>
    <t>3) Not currently breastfeeding (0) + planning pregnancy, yes/DK (1, 9) + using long-acting FP method (2,3,4,7)</t>
  </si>
  <si>
    <t>Ineligible for both trials:</t>
  </si>
  <si>
    <t>1) Currently breastfeeding (1) + not planning pregnancy (0) + using long-acting FP method (2,3,4,7)</t>
  </si>
  <si>
    <t>2) Currently breastfeeding (1) + planning pregnancy, yes/DK (1, 9) + using long-acting FP method (2,3,4,7)</t>
  </si>
  <si>
    <t>Those less than 14 weeks at the time supplementation starts will be 1:1 for 22:30 week visits (expect those used for balancing)</t>
  </si>
  <si>
    <t>Those that are 15-22 weeks at the time of supplementation starting will get the 30-weeks midline visit</t>
  </si>
  <si>
    <t>Those that are &gt;22 weeks at the time of supplementation will only have the 36-week visit</t>
  </si>
  <si>
    <t>Sujan to work on the ‘sampling’ of the midline visit write up for this. </t>
  </si>
  <si>
    <t xml:space="preserve">For those already enrolled (with all visits completed) less than 14 weeks, could have the 22 week visit. But we need to look at how many women that includes. Sujan and Reza to work on a proposal that balances the midline visits among those women already enrolled. </t>
  </si>
  <si>
    <t>consent</t>
  </si>
  <si>
    <t>eligible</t>
  </si>
  <si>
    <t xml:space="preserve">where is their consent for PSF? Not necessary based on science decision.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</si>
</sst>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3"/>
      <color theme="1"/>
      <name val="Arial"/>
      <family val="2"/>
    </font>
    <font>
      <sz val="13"/>
      <color theme="1"/>
      <name val="Arial"/>
      <family val="2"/>
    </font>
    <font>
      <sz val="10"/>
      <color theme="1"/>
      <name val="Arial"/>
      <family val="2"/>
    </font>
    <font>
      <sz val="13"/>
      <color rgb="FFFFFFFF"/>
      <name val="Arial"/>
      <family val="2"/>
    </font>
    <font>
      <sz val="11"/>
      <color rgb="FF000000"/>
      <name val="Arial"/>
      <family val="2"/>
    </font>
  </fonts>
  <fills count="8">
    <fill>
      <patternFill patternType="none"/>
    </fill>
    <fill>
      <patternFill patternType="gray125"/>
    </fill>
    <fill>
      <patternFill patternType="solid">
        <fgColor rgb="FFD9EAD3"/>
        <bgColor indexed="64"/>
      </patternFill>
    </fill>
    <fill>
      <patternFill patternType="solid">
        <fgColor rgb="FFD0E0E3"/>
        <bgColor indexed="64"/>
      </patternFill>
    </fill>
    <fill>
      <patternFill patternType="solid">
        <fgColor rgb="FFC27BA0"/>
        <bgColor indexed="64"/>
      </patternFill>
    </fill>
    <fill>
      <patternFill patternType="solid">
        <fgColor rgb="FFC9DAF8"/>
        <bgColor indexed="64"/>
      </patternFill>
    </fill>
    <fill>
      <patternFill patternType="solid">
        <fgColor rgb="FF38761D"/>
        <bgColor indexed="64"/>
      </patternFill>
    </fill>
    <fill>
      <patternFill patternType="solid">
        <fgColor rgb="FFE6B8AF"/>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2">
    <xf numFmtId="0" fontId="0" fillId="0" borderId="0" xfId="0"/>
    <xf numFmtId="0" fontId="1" fillId="0" borderId="1" xfId="0" applyFont="1" applyBorder="1" applyAlignment="1">
      <alignment vertical="center" wrapText="1"/>
    </xf>
    <xf numFmtId="0" fontId="2" fillId="0" borderId="2" xfId="0" applyFont="1" applyBorder="1" applyAlignment="1">
      <alignment horizontal="center" vertical="center" wrapText="1"/>
    </xf>
    <xf numFmtId="0" fontId="1" fillId="0" borderId="2" xfId="0" applyFont="1" applyBorder="1" applyAlignment="1">
      <alignment vertical="center" wrapText="1"/>
    </xf>
    <xf numFmtId="0" fontId="2" fillId="2" borderId="3" xfId="0" applyFont="1" applyFill="1" applyBorder="1" applyAlignment="1">
      <alignment vertical="top" wrapText="1"/>
    </xf>
    <xf numFmtId="0" fontId="2" fillId="0" borderId="4" xfId="0" applyFont="1" applyBorder="1" applyAlignment="1">
      <alignment horizontal="center" vertical="top" wrapText="1"/>
    </xf>
    <xf numFmtId="0" fontId="2" fillId="2" borderId="4" xfId="0" applyFont="1" applyFill="1" applyBorder="1" applyAlignment="1">
      <alignment vertical="top" wrapText="1"/>
    </xf>
    <xf numFmtId="0" fontId="2" fillId="0" borderId="4" xfId="0" applyFont="1" applyBorder="1" applyAlignment="1">
      <alignment horizontal="center" vertical="center" wrapText="1"/>
    </xf>
    <xf numFmtId="0" fontId="1" fillId="0" borderId="3" xfId="0" applyFont="1" applyBorder="1" applyAlignment="1">
      <alignment wrapText="1"/>
    </xf>
    <xf numFmtId="0" fontId="3" fillId="0" borderId="4" xfId="0" applyFont="1" applyBorder="1" applyAlignment="1">
      <alignment vertical="center" wrapText="1"/>
    </xf>
    <xf numFmtId="0" fontId="1" fillId="3" borderId="4" xfId="0" applyFont="1" applyFill="1" applyBorder="1" applyAlignment="1">
      <alignment wrapText="1"/>
    </xf>
    <xf numFmtId="0" fontId="2" fillId="4" borderId="4" xfId="0" applyFont="1" applyFill="1" applyBorder="1" applyAlignment="1">
      <alignment horizontal="center" vertical="center" wrapText="1"/>
    </xf>
    <xf numFmtId="0" fontId="2" fillId="5" borderId="3" xfId="0" applyFont="1" applyFill="1" applyBorder="1" applyAlignment="1">
      <alignment wrapText="1"/>
    </xf>
    <xf numFmtId="0" fontId="4" fillId="6" borderId="4" xfId="0" applyFont="1" applyFill="1" applyBorder="1" applyAlignment="1">
      <alignment horizontal="center" vertical="center" wrapText="1"/>
    </xf>
    <xf numFmtId="0" fontId="1" fillId="5" borderId="3" xfId="0" applyFont="1" applyFill="1" applyBorder="1" applyAlignment="1">
      <alignment wrapText="1"/>
    </xf>
    <xf numFmtId="0" fontId="1" fillId="0" borderId="4" xfId="0" applyFont="1" applyBorder="1" applyAlignment="1">
      <alignment wrapText="1"/>
    </xf>
    <xf numFmtId="0" fontId="3" fillId="0" borderId="0" xfId="0" applyFont="1" applyAlignment="1">
      <alignment vertical="center" wrapText="1"/>
    </xf>
    <xf numFmtId="0" fontId="3" fillId="0" borderId="0" xfId="0" applyFont="1" applyAlignment="1">
      <alignment wrapText="1"/>
    </xf>
    <xf numFmtId="0" fontId="2" fillId="5" borderId="4" xfId="0" applyFont="1" applyFill="1" applyBorder="1" applyAlignment="1">
      <alignment wrapText="1"/>
    </xf>
    <xf numFmtId="0" fontId="2" fillId="7" borderId="3" xfId="0" applyFont="1" applyFill="1" applyBorder="1" applyAlignment="1">
      <alignment wrapText="1"/>
    </xf>
    <xf numFmtId="0" fontId="2" fillId="7" borderId="4" xfId="0" applyFont="1" applyFill="1" applyBorder="1" applyAlignment="1">
      <alignment wrapText="1"/>
    </xf>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0612C-418E-4109-9746-47B849CC04C4}">
  <dimension ref="A4:P26"/>
  <sheetViews>
    <sheetView tabSelected="1" topLeftCell="A4" workbookViewId="0">
      <selection activeCell="O14" sqref="O14"/>
    </sheetView>
  </sheetViews>
  <sheetFormatPr defaultRowHeight="15" x14ac:dyDescent="0.25"/>
  <cols>
    <col min="1" max="1" width="70.5703125" customWidth="1"/>
    <col min="3" max="3" width="46.85546875" customWidth="1"/>
    <col min="7" max="7" width="6" bestFit="1" customWidth="1"/>
  </cols>
  <sheetData>
    <row r="4" spans="1:16" ht="15.75" thickBot="1" x14ac:dyDescent="0.3"/>
    <row r="5" spans="1:16" ht="66.75" thickBot="1" x14ac:dyDescent="0.3">
      <c r="A5" s="1" t="s">
        <v>0</v>
      </c>
      <c r="B5" s="2" t="s">
        <v>1</v>
      </c>
      <c r="C5" s="3" t="s">
        <v>0</v>
      </c>
      <c r="D5" s="2" t="s">
        <v>2</v>
      </c>
      <c r="E5" s="2" t="s">
        <v>1</v>
      </c>
      <c r="F5" s="2" t="s">
        <v>3</v>
      </c>
      <c r="G5" s="2" t="s">
        <v>4</v>
      </c>
      <c r="L5" t="s">
        <v>27</v>
      </c>
      <c r="M5" t="s">
        <v>26</v>
      </c>
    </row>
    <row r="6" spans="1:16" ht="50.25" thickBot="1" x14ac:dyDescent="0.3">
      <c r="A6" s="4" t="s">
        <v>5</v>
      </c>
      <c r="B6" s="5">
        <v>351</v>
      </c>
      <c r="C6" s="6" t="s">
        <v>5</v>
      </c>
      <c r="D6" s="7">
        <v>59</v>
      </c>
      <c r="E6" s="7">
        <v>410</v>
      </c>
      <c r="F6" s="7">
        <v>39</v>
      </c>
      <c r="G6" s="7">
        <v>0.1</v>
      </c>
      <c r="L6">
        <v>420</v>
      </c>
      <c r="M6">
        <v>410</v>
      </c>
    </row>
    <row r="7" spans="1:16" ht="50.25" thickBot="1" x14ac:dyDescent="0.3">
      <c r="A7" s="4" t="s">
        <v>6</v>
      </c>
      <c r="B7" s="5">
        <v>674</v>
      </c>
      <c r="C7" s="6" t="s">
        <v>6</v>
      </c>
      <c r="D7" s="7">
        <v>44</v>
      </c>
      <c r="E7" s="7">
        <v>718</v>
      </c>
      <c r="F7" s="7">
        <v>130</v>
      </c>
      <c r="G7" s="7">
        <v>0.18</v>
      </c>
      <c r="L7">
        <v>719</v>
      </c>
      <c r="M7">
        <v>718</v>
      </c>
    </row>
    <row r="8" spans="1:16" ht="50.25" thickBot="1" x14ac:dyDescent="0.3">
      <c r="A8" s="4" t="s">
        <v>7</v>
      </c>
      <c r="B8" s="5">
        <v>62</v>
      </c>
      <c r="C8" s="6" t="s">
        <v>7</v>
      </c>
      <c r="D8" s="7">
        <v>7</v>
      </c>
      <c r="E8" s="7">
        <v>69</v>
      </c>
      <c r="F8" s="7">
        <v>12</v>
      </c>
      <c r="G8" s="7">
        <v>0.17</v>
      </c>
      <c r="L8">
        <v>69</v>
      </c>
      <c r="M8">
        <v>69</v>
      </c>
    </row>
    <row r="9" spans="1:16" ht="50.25" thickBot="1" x14ac:dyDescent="0.3">
      <c r="A9" s="4" t="s">
        <v>8</v>
      </c>
      <c r="B9" s="5">
        <v>152</v>
      </c>
      <c r="C9" s="6" t="s">
        <v>8</v>
      </c>
      <c r="D9" s="7">
        <v>13</v>
      </c>
      <c r="E9" s="7">
        <v>165</v>
      </c>
      <c r="F9" s="7">
        <v>14</v>
      </c>
      <c r="G9" s="7">
        <v>0.08</v>
      </c>
      <c r="L9">
        <v>165</v>
      </c>
      <c r="M9">
        <v>164</v>
      </c>
    </row>
    <row r="10" spans="1:16" ht="50.25" thickBot="1" x14ac:dyDescent="0.3">
      <c r="A10" s="4" t="s">
        <v>9</v>
      </c>
      <c r="B10" s="5">
        <v>786</v>
      </c>
      <c r="C10" s="6" t="s">
        <v>9</v>
      </c>
      <c r="D10" s="7">
        <v>35</v>
      </c>
      <c r="E10" s="7">
        <v>821</v>
      </c>
      <c r="F10" s="7">
        <v>35</v>
      </c>
      <c r="G10" s="7">
        <v>0.04</v>
      </c>
      <c r="L10">
        <v>822</v>
      </c>
      <c r="M10">
        <v>821</v>
      </c>
    </row>
    <row r="11" spans="1:16" ht="50.25" thickBot="1" x14ac:dyDescent="0.3">
      <c r="A11" s="4" t="s">
        <v>10</v>
      </c>
      <c r="B11" s="5">
        <v>33</v>
      </c>
      <c r="C11" s="6" t="s">
        <v>10</v>
      </c>
      <c r="D11" s="7">
        <v>4</v>
      </c>
      <c r="E11" s="7">
        <v>37</v>
      </c>
      <c r="F11" s="7">
        <v>9</v>
      </c>
      <c r="G11" s="7">
        <v>0.24</v>
      </c>
      <c r="L11">
        <v>36</v>
      </c>
      <c r="M11">
        <v>36</v>
      </c>
    </row>
    <row r="12" spans="1:16" ht="50.25" thickBot="1" x14ac:dyDescent="0.3">
      <c r="A12" s="4" t="s">
        <v>11</v>
      </c>
      <c r="B12" s="5">
        <v>11</v>
      </c>
      <c r="C12" s="6" t="s">
        <v>11</v>
      </c>
      <c r="D12" s="7">
        <v>1</v>
      </c>
      <c r="E12" s="7">
        <v>12</v>
      </c>
      <c r="F12" s="7">
        <v>1</v>
      </c>
      <c r="G12" s="7">
        <v>0.08</v>
      </c>
      <c r="L12">
        <v>12</v>
      </c>
      <c r="M12">
        <v>12</v>
      </c>
    </row>
    <row r="13" spans="1:16" ht="50.25" thickBot="1" x14ac:dyDescent="0.3">
      <c r="A13" s="8" t="s">
        <v>12</v>
      </c>
      <c r="B13" s="9"/>
      <c r="C13" s="10" t="s">
        <v>13</v>
      </c>
      <c r="D13" s="11">
        <v>161</v>
      </c>
      <c r="E13" s="11">
        <v>1743</v>
      </c>
      <c r="F13" s="11">
        <v>83</v>
      </c>
      <c r="G13" s="11">
        <v>0.05</v>
      </c>
      <c r="L13">
        <v>1743</v>
      </c>
      <c r="M13">
        <v>1743</v>
      </c>
      <c r="P13" t="s">
        <v>28</v>
      </c>
    </row>
    <row r="14" spans="1:16" ht="50.25" thickBot="1" x14ac:dyDescent="0.3">
      <c r="A14" s="12" t="s">
        <v>14</v>
      </c>
      <c r="B14" s="13">
        <v>978</v>
      </c>
      <c r="C14" s="10" t="s">
        <v>15</v>
      </c>
      <c r="D14" s="7">
        <v>15</v>
      </c>
      <c r="E14" s="7">
        <v>37</v>
      </c>
      <c r="F14" s="7">
        <v>1</v>
      </c>
      <c r="G14" s="7">
        <v>0.03</v>
      </c>
      <c r="K14">
        <f>SUM(E6:E14)</f>
        <v>4012</v>
      </c>
      <c r="L14">
        <v>30</v>
      </c>
      <c r="M14">
        <v>30</v>
      </c>
      <c r="N14">
        <f>SUM(M6:M14)</f>
        <v>4003</v>
      </c>
    </row>
    <row r="15" spans="1:16" ht="33.75" thickBot="1" x14ac:dyDescent="0.3">
      <c r="A15" s="14" t="s">
        <v>16</v>
      </c>
      <c r="B15" s="7">
        <v>1582</v>
      </c>
      <c r="C15" s="15" t="s">
        <v>12</v>
      </c>
      <c r="D15" s="9"/>
      <c r="E15" s="9"/>
      <c r="F15" s="16"/>
      <c r="G15" s="17"/>
    </row>
    <row r="16" spans="1:16" ht="50.25" thickBot="1" x14ac:dyDescent="0.3">
      <c r="A16" s="14" t="s">
        <v>17</v>
      </c>
      <c r="B16" s="13">
        <v>22</v>
      </c>
      <c r="C16" s="18" t="s">
        <v>14</v>
      </c>
      <c r="D16" s="7">
        <v>689</v>
      </c>
      <c r="E16" s="7">
        <v>689</v>
      </c>
      <c r="F16" s="16"/>
      <c r="G16" s="17"/>
    </row>
    <row r="17" spans="1:11" ht="17.25" thickBot="1" x14ac:dyDescent="0.3">
      <c r="A17" s="8" t="s">
        <v>18</v>
      </c>
      <c r="B17" s="9"/>
      <c r="C17" s="15" t="s">
        <v>18</v>
      </c>
      <c r="D17" s="9"/>
      <c r="E17" s="9"/>
      <c r="F17" s="16"/>
      <c r="G17" s="17"/>
    </row>
    <row r="18" spans="1:11" ht="50.25" thickBot="1" x14ac:dyDescent="0.3">
      <c r="A18" s="19" t="s">
        <v>19</v>
      </c>
      <c r="B18" s="13">
        <v>449</v>
      </c>
      <c r="C18" s="20" t="s">
        <v>19</v>
      </c>
      <c r="D18" s="7">
        <v>177</v>
      </c>
      <c r="E18" s="7">
        <v>177</v>
      </c>
      <c r="F18" s="16"/>
      <c r="G18" s="17"/>
    </row>
    <row r="19" spans="1:11" ht="50.25" thickBot="1" x14ac:dyDescent="0.3">
      <c r="A19" s="19" t="s">
        <v>20</v>
      </c>
      <c r="B19" s="13">
        <v>8</v>
      </c>
      <c r="C19" s="20" t="s">
        <v>20</v>
      </c>
      <c r="D19" s="7">
        <v>3</v>
      </c>
      <c r="E19" s="7">
        <v>3</v>
      </c>
      <c r="F19" s="16"/>
      <c r="G19" s="17"/>
    </row>
    <row r="22" spans="1:11" x14ac:dyDescent="0.25">
      <c r="K22" s="21" t="s">
        <v>21</v>
      </c>
    </row>
    <row r="23" spans="1:11" x14ac:dyDescent="0.25">
      <c r="K23" s="21" t="s">
        <v>22</v>
      </c>
    </row>
    <row r="24" spans="1:11" x14ac:dyDescent="0.25">
      <c r="K24" s="21" t="s">
        <v>23</v>
      </c>
    </row>
    <row r="25" spans="1:11" x14ac:dyDescent="0.25">
      <c r="K25" s="21" t="s">
        <v>24</v>
      </c>
    </row>
    <row r="26" spans="1:11" x14ac:dyDescent="0.25">
      <c r="K26" s="21" t="s">
        <v>25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Dyer</dc:creator>
  <cp:lastModifiedBy>Brian Dyer</cp:lastModifiedBy>
  <dcterms:created xsi:type="dcterms:W3CDTF">2024-06-24T17:31:56Z</dcterms:created>
  <dcterms:modified xsi:type="dcterms:W3CDTF">2024-06-25T17:08:21Z</dcterms:modified>
</cp:coreProperties>
</file>