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bdyer5_jh_edu/Documents/CHN/JiVitA/MiNDR/data/scripts/WomanTrak/flow_diagram/"/>
    </mc:Choice>
  </mc:AlternateContent>
  <xr:revisionPtr revIDLastSave="0" documentId="8_{E30E1AB5-4DF8-4C8F-967A-EF9255FFDC74}" xr6:coauthVersionLast="47" xr6:coauthVersionMax="47" xr10:uidLastSave="{00000000-0000-0000-0000-000000000000}"/>
  <bookViews>
    <workbookView xWindow="-120" yWindow="-120" windowWidth="29040" windowHeight="15720" activeTab="2" xr2:uid="{5C6FD41A-17F2-463C-AF56-DBED470865E5}"/>
  </bookViews>
  <sheets>
    <sheet name="Sheet1" sheetId="1" r:id="rId1"/>
    <sheet name="Sheet2" sheetId="2" r:id="rId2"/>
    <sheet name="Sheet3" sheetId="3" r:id="rId3"/>
  </sheets>
  <definedNames>
    <definedName name="_xlnm._FilterDatabase" localSheetId="2" hidden="1">Sheet3!$A$1:$M$55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6" i="3" l="1"/>
  <c r="P16" i="3"/>
  <c r="O16" i="3"/>
  <c r="Q42" i="3"/>
  <c r="P42" i="3"/>
  <c r="O42" i="3"/>
  <c r="Q31" i="3"/>
  <c r="P31" i="3"/>
  <c r="O31" i="3"/>
  <c r="R42" i="3" l="1"/>
  <c r="R31" i="3"/>
  <c r="R16" i="3"/>
</calcChain>
</file>

<file path=xl/sharedStrings.xml><?xml version="1.0" encoding="utf-8"?>
<sst xmlns="http://schemas.openxmlformats.org/spreadsheetml/2006/main" count="1344" uniqueCount="94">
  <si>
    <t>uid</t>
  </si>
  <si>
    <t>tlpin</t>
  </si>
  <si>
    <t>sector</t>
  </si>
  <si>
    <t>hhid</t>
  </si>
  <si>
    <t>wom_dob</t>
  </si>
  <si>
    <t>arm_pw</t>
  </si>
  <si>
    <t>wom_dod</t>
  </si>
  <si>
    <t>pef_eligible</t>
  </si>
  <si>
    <t>pef_status</t>
  </si>
  <si>
    <t>pef_date</t>
  </si>
  <si>
    <t>pef_consent</t>
  </si>
  <si>
    <t>pefb_date</t>
  </si>
  <si>
    <t>pefb_status</t>
  </si>
  <si>
    <t>psf_status</t>
  </si>
  <si>
    <t>psf_date</t>
  </si>
  <si>
    <t>last_psf_status</t>
  </si>
  <si>
    <t>last_psf_date</t>
  </si>
  <si>
    <t>psfurt</t>
  </si>
  <si>
    <t>psfurt_date</t>
  </si>
  <si>
    <t>ga_at_psfurt</t>
  </si>
  <si>
    <t>psf_lmp_date</t>
  </si>
  <si>
    <t>saf_date</t>
  </si>
  <si>
    <t>saf_status</t>
  </si>
  <si>
    <t>uvf_date</t>
  </si>
  <si>
    <t>uvf_status</t>
  </si>
  <si>
    <t>uvf_ga</t>
  </si>
  <si>
    <t>uvf_lmp_date</t>
  </si>
  <si>
    <t>supp_status</t>
  </si>
  <si>
    <t>saf_flow_status</t>
  </si>
  <si>
    <t>ses_date</t>
  </si>
  <si>
    <t>ses_status</t>
  </si>
  <si>
    <t>mpf_date</t>
  </si>
  <si>
    <t>mpf_status</t>
  </si>
  <si>
    <t>mpfb_date</t>
  </si>
  <si>
    <t>mpfb_status</t>
  </si>
  <si>
    <t>mid_preg_status</t>
  </si>
  <si>
    <t>lpf_date</t>
  </si>
  <si>
    <t>lpf_status</t>
  </si>
  <si>
    <t>late_preg_status</t>
  </si>
  <si>
    <t>lpfb_date</t>
  </si>
  <si>
    <t>lpfb_status</t>
  </si>
  <si>
    <t>bnf_date</t>
  </si>
  <si>
    <t>mbaf_date</t>
  </si>
  <si>
    <t>mbaf_status</t>
  </si>
  <si>
    <t>m1mop_date</t>
  </si>
  <si>
    <t>m1mop_status</t>
  </si>
  <si>
    <t>mopb_date</t>
  </si>
  <si>
    <t>mopb_status</t>
  </si>
  <si>
    <t>outc</t>
  </si>
  <si>
    <t>outcsrc</t>
  </si>
  <si>
    <t>W</t>
  </si>
  <si>
    <t>NA</t>
  </si>
  <si>
    <t>ibaf</t>
  </si>
  <si>
    <t>X</t>
  </si>
  <si>
    <t>Y</t>
  </si>
  <si>
    <t>Z</t>
  </si>
  <si>
    <t>bnf_lb</t>
  </si>
  <si>
    <t>Showing 1 to 11 of 11 entries, 75 total columns</t>
  </si>
  <si>
    <t>Showing 1 to 10 of 10 entries, 75 total columns</t>
  </si>
  <si>
    <t>NULL</t>
  </si>
  <si>
    <t>allocated_arm</t>
  </si>
  <si>
    <t>bgoutc</t>
  </si>
  <si>
    <t>(No column name)</t>
  </si>
  <si>
    <t xml:space="preserve">refused at mpf </t>
  </si>
  <si>
    <t>under followup</t>
  </si>
  <si>
    <t>outcome before lpf</t>
  </si>
  <si>
    <t>summary ignore</t>
  </si>
  <si>
    <t>pending lpfb</t>
  </si>
  <si>
    <t>lpf completed</t>
  </si>
  <si>
    <t xml:space="preserve">not met up to any outcome </t>
  </si>
  <si>
    <t xml:space="preserve">don’t count because this is missed mpf </t>
  </si>
  <si>
    <t xml:space="preserve">don’t subtract </t>
  </si>
  <si>
    <t>72 -3</t>
  </si>
  <si>
    <t>lpfstatus</t>
  </si>
  <si>
    <t>mpf refused</t>
  </si>
  <si>
    <t>lpf outcome</t>
  </si>
  <si>
    <t>under followup lpf</t>
  </si>
  <si>
    <t>lpf complete</t>
  </si>
  <si>
    <t>lpf not met up to any outcome</t>
  </si>
  <si>
    <t>refused mpf</t>
  </si>
  <si>
    <t>lpfout</t>
  </si>
  <si>
    <t>mpfout</t>
  </si>
  <si>
    <t>mpf pending</t>
  </si>
  <si>
    <t xml:space="preserve">mpf refused </t>
  </si>
  <si>
    <t>outcome before mpf</t>
  </si>
  <si>
    <t xml:space="preserve">lpf refused </t>
  </si>
  <si>
    <t>lpf pending</t>
  </si>
  <si>
    <t xml:space="preserve">lpf outcome </t>
  </si>
  <si>
    <t xml:space="preserve">lpf discontinued </t>
  </si>
  <si>
    <t>lpf not met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</si>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</sst>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DejaVu Sans"/>
      <family val="2"/>
    </font>
    <font>
      <sz val="8"/>
      <color theme="1"/>
      <name val="DejaVu Sans"/>
      <family val="2"/>
    </font>
    <font>
      <i/>
      <sz val="8"/>
      <color rgb="FFB0B0B0"/>
      <name val="DejaVu Sans"/>
      <family val="2"/>
    </font>
    <font>
      <sz val="8"/>
      <color rgb="FF333333"/>
      <name val="DejaVu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 style="medium">
        <color rgb="FFD6DADC"/>
      </right>
      <top/>
      <bottom/>
      <diagonal/>
    </border>
    <border>
      <left/>
      <right/>
      <top style="medium">
        <color rgb="FFD6DADC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6006E-19F4-4A5E-BB6B-D298C2EB4D5D}">
  <dimension ref="A1:AY29"/>
  <sheetViews>
    <sheetView topLeftCell="A10" workbookViewId="0">
      <selection activeCell="P31" sqref="P31"/>
    </sheetView>
  </sheetViews>
  <sheetFormatPr defaultRowHeight="15" x14ac:dyDescent="0.25"/>
  <cols>
    <col min="6" max="6" width="10.140625" bestFit="1" customWidth="1"/>
  </cols>
  <sheetData>
    <row r="1" spans="1:51" ht="15.75" thickBot="1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</row>
    <row r="2" spans="1:51" ht="15.75" thickBot="1" x14ac:dyDescent="0.3">
      <c r="A2" s="4">
        <v>1</v>
      </c>
      <c r="B2" s="5">
        <v>12110</v>
      </c>
      <c r="C2" s="5">
        <v>15</v>
      </c>
      <c r="D2" s="5">
        <v>260</v>
      </c>
      <c r="E2" s="5">
        <v>2039</v>
      </c>
      <c r="F2" s="6">
        <v>37967</v>
      </c>
      <c r="G2" s="5" t="s">
        <v>50</v>
      </c>
      <c r="H2" s="7" t="s">
        <v>51</v>
      </c>
      <c r="I2" s="8">
        <v>1</v>
      </c>
      <c r="J2" s="8">
        <v>1</v>
      </c>
      <c r="K2" s="6">
        <v>45386</v>
      </c>
      <c r="L2" s="8">
        <v>1</v>
      </c>
      <c r="M2" s="6">
        <v>45390</v>
      </c>
      <c r="N2" s="5">
        <v>1</v>
      </c>
      <c r="O2" s="8">
        <v>1</v>
      </c>
      <c r="P2" s="6">
        <v>45009</v>
      </c>
      <c r="Q2" s="8">
        <v>1</v>
      </c>
      <c r="R2" s="6">
        <v>45383</v>
      </c>
      <c r="S2" s="8">
        <v>1</v>
      </c>
      <c r="T2" s="6">
        <v>45383</v>
      </c>
      <c r="U2" s="8">
        <v>7.4</v>
      </c>
      <c r="V2" s="6">
        <v>45331</v>
      </c>
      <c r="W2" s="6">
        <v>45580</v>
      </c>
      <c r="X2" s="8">
        <v>1</v>
      </c>
      <c r="Y2" s="6">
        <v>45406</v>
      </c>
      <c r="Z2" s="5">
        <v>1</v>
      </c>
      <c r="AA2" s="8">
        <v>9.83</v>
      </c>
      <c r="AB2" s="6">
        <v>45338</v>
      </c>
      <c r="AC2" s="8">
        <v>1</v>
      </c>
      <c r="AD2" s="8">
        <v>1</v>
      </c>
      <c r="AE2" s="6">
        <v>45386</v>
      </c>
      <c r="AF2" s="5">
        <v>1</v>
      </c>
      <c r="AG2" s="6">
        <v>45547</v>
      </c>
      <c r="AH2" s="8">
        <v>2</v>
      </c>
      <c r="AI2" s="7" t="s">
        <v>51</v>
      </c>
      <c r="AJ2" s="9" t="s">
        <v>51</v>
      </c>
      <c r="AK2" s="7" t="s">
        <v>51</v>
      </c>
      <c r="AL2" s="6">
        <v>45579</v>
      </c>
      <c r="AM2" s="8">
        <v>2</v>
      </c>
      <c r="AN2" s="7" t="s">
        <v>51</v>
      </c>
      <c r="AO2" s="7" t="s">
        <v>51</v>
      </c>
      <c r="AP2" s="7" t="s">
        <v>51</v>
      </c>
      <c r="AQ2" s="7" t="s">
        <v>51</v>
      </c>
      <c r="AR2" s="7" t="s">
        <v>51</v>
      </c>
      <c r="AS2" s="9" t="s">
        <v>51</v>
      </c>
      <c r="AT2" s="7" t="s">
        <v>51</v>
      </c>
      <c r="AU2" s="5"/>
      <c r="AV2" s="7" t="s">
        <v>51</v>
      </c>
      <c r="AW2" s="5"/>
      <c r="AX2" s="9" t="s">
        <v>51</v>
      </c>
      <c r="AY2" s="5"/>
    </row>
    <row r="3" spans="1:51" ht="15.75" thickBot="1" x14ac:dyDescent="0.3">
      <c r="A3" s="4">
        <v>2</v>
      </c>
      <c r="B3" s="5">
        <v>286013</v>
      </c>
      <c r="C3" s="5">
        <v>20</v>
      </c>
      <c r="D3" s="5">
        <v>274</v>
      </c>
      <c r="E3" s="5">
        <v>1379</v>
      </c>
      <c r="F3" s="6">
        <v>38346</v>
      </c>
      <c r="G3" s="5" t="s">
        <v>50</v>
      </c>
      <c r="H3" s="7" t="s">
        <v>51</v>
      </c>
      <c r="I3" s="8">
        <v>1</v>
      </c>
      <c r="J3" s="8">
        <v>1</v>
      </c>
      <c r="K3" s="6">
        <v>45354</v>
      </c>
      <c r="L3" s="8">
        <v>1</v>
      </c>
      <c r="M3" s="6">
        <v>45355</v>
      </c>
      <c r="N3" s="5">
        <v>1</v>
      </c>
      <c r="O3" s="8">
        <v>1</v>
      </c>
      <c r="P3" s="6">
        <v>45017</v>
      </c>
      <c r="Q3" s="8">
        <v>1</v>
      </c>
      <c r="R3" s="6">
        <v>45341</v>
      </c>
      <c r="S3" s="8">
        <v>1</v>
      </c>
      <c r="T3" s="6">
        <v>45341</v>
      </c>
      <c r="U3" s="8">
        <v>8.6</v>
      </c>
      <c r="V3" s="6">
        <v>45281</v>
      </c>
      <c r="W3" s="6">
        <v>45555</v>
      </c>
      <c r="X3" s="8">
        <v>1</v>
      </c>
      <c r="Y3" s="6">
        <v>45355</v>
      </c>
      <c r="Z3" s="5">
        <v>1</v>
      </c>
      <c r="AA3" s="8">
        <v>10.58</v>
      </c>
      <c r="AB3" s="6">
        <v>45281</v>
      </c>
      <c r="AC3" s="8">
        <v>1</v>
      </c>
      <c r="AD3" s="8">
        <v>1</v>
      </c>
      <c r="AE3" s="6">
        <v>45354</v>
      </c>
      <c r="AF3" s="5">
        <v>1</v>
      </c>
      <c r="AG3" s="6">
        <v>45454</v>
      </c>
      <c r="AH3" s="8">
        <v>1</v>
      </c>
      <c r="AI3" s="6">
        <v>45455</v>
      </c>
      <c r="AJ3" s="8">
        <v>1</v>
      </c>
      <c r="AK3" s="7" t="s">
        <v>51</v>
      </c>
      <c r="AL3" s="6">
        <v>45547</v>
      </c>
      <c r="AM3" s="8">
        <v>2</v>
      </c>
      <c r="AN3" s="7" t="s">
        <v>51</v>
      </c>
      <c r="AO3" s="7" t="s">
        <v>51</v>
      </c>
      <c r="AP3" s="7" t="s">
        <v>51</v>
      </c>
      <c r="AQ3" s="6">
        <v>45555</v>
      </c>
      <c r="AR3" s="6">
        <v>45556</v>
      </c>
      <c r="AS3" s="8">
        <v>1</v>
      </c>
      <c r="AT3" s="7" t="s">
        <v>51</v>
      </c>
      <c r="AU3" s="5"/>
      <c r="AV3" s="7" t="s">
        <v>51</v>
      </c>
      <c r="AW3" s="5"/>
      <c r="AX3" s="8">
        <v>5</v>
      </c>
      <c r="AY3" s="5" t="s">
        <v>52</v>
      </c>
    </row>
    <row r="4" spans="1:51" ht="15.75" thickBot="1" x14ac:dyDescent="0.3">
      <c r="A4" s="4">
        <v>3</v>
      </c>
      <c r="B4" s="5">
        <v>603189</v>
      </c>
      <c r="C4" s="5">
        <v>20</v>
      </c>
      <c r="D4" s="5">
        <v>270</v>
      </c>
      <c r="E4" s="5">
        <v>2204</v>
      </c>
      <c r="F4" s="6">
        <v>37412</v>
      </c>
      <c r="G4" s="5" t="s">
        <v>50</v>
      </c>
      <c r="H4" s="7" t="s">
        <v>51</v>
      </c>
      <c r="I4" s="8">
        <v>1</v>
      </c>
      <c r="J4" s="8">
        <v>1</v>
      </c>
      <c r="K4" s="6">
        <v>45286</v>
      </c>
      <c r="L4" s="8">
        <v>1</v>
      </c>
      <c r="M4" s="6">
        <v>45287</v>
      </c>
      <c r="N4" s="5">
        <v>1</v>
      </c>
      <c r="O4" s="8">
        <v>1</v>
      </c>
      <c r="P4" s="6">
        <v>45187</v>
      </c>
      <c r="Q4" s="8">
        <v>1</v>
      </c>
      <c r="R4" s="6">
        <v>45286</v>
      </c>
      <c r="S4" s="8">
        <v>1</v>
      </c>
      <c r="T4" s="6">
        <v>45286</v>
      </c>
      <c r="U4" s="8">
        <v>7</v>
      </c>
      <c r="V4" s="6">
        <v>45237</v>
      </c>
      <c r="W4" s="6">
        <v>45514</v>
      </c>
      <c r="X4" s="8">
        <v>1</v>
      </c>
      <c r="Y4" s="6">
        <v>45305</v>
      </c>
      <c r="Z4" s="5">
        <v>1</v>
      </c>
      <c r="AA4" s="8">
        <v>9.3699999999999992</v>
      </c>
      <c r="AB4" s="6">
        <v>45240</v>
      </c>
      <c r="AC4" s="8">
        <v>1</v>
      </c>
      <c r="AD4" s="8">
        <v>1</v>
      </c>
      <c r="AE4" s="6">
        <v>45286</v>
      </c>
      <c r="AF4" s="5">
        <v>1</v>
      </c>
      <c r="AG4" s="6">
        <v>45398</v>
      </c>
      <c r="AH4" s="8">
        <v>1</v>
      </c>
      <c r="AI4" s="6">
        <v>45400</v>
      </c>
      <c r="AJ4" s="8">
        <v>1</v>
      </c>
      <c r="AK4" s="7" t="s">
        <v>51</v>
      </c>
      <c r="AL4" s="6">
        <v>45515</v>
      </c>
      <c r="AM4" s="8">
        <v>2</v>
      </c>
      <c r="AN4" s="7" t="s">
        <v>51</v>
      </c>
      <c r="AO4" s="7" t="s">
        <v>51</v>
      </c>
      <c r="AP4" s="7" t="s">
        <v>51</v>
      </c>
      <c r="AQ4" s="6">
        <v>45515</v>
      </c>
      <c r="AR4" s="6">
        <v>45545</v>
      </c>
      <c r="AS4" s="8">
        <v>1</v>
      </c>
      <c r="AT4" s="6">
        <v>45545</v>
      </c>
      <c r="AU4" s="5">
        <v>1</v>
      </c>
      <c r="AV4" s="6">
        <v>45546</v>
      </c>
      <c r="AW4" s="5">
        <v>1</v>
      </c>
      <c r="AX4" s="8">
        <v>5</v>
      </c>
      <c r="AY4" s="5" t="s">
        <v>52</v>
      </c>
    </row>
    <row r="5" spans="1:51" ht="15.75" thickBot="1" x14ac:dyDescent="0.3">
      <c r="A5" s="4">
        <v>4</v>
      </c>
      <c r="B5" s="5">
        <v>35065</v>
      </c>
      <c r="C5" s="5">
        <v>19</v>
      </c>
      <c r="D5" s="5">
        <v>251</v>
      </c>
      <c r="E5" s="5">
        <v>99</v>
      </c>
      <c r="F5" s="6">
        <v>35193</v>
      </c>
      <c r="G5" s="5" t="s">
        <v>53</v>
      </c>
      <c r="H5" s="7" t="s">
        <v>51</v>
      </c>
      <c r="I5" s="8">
        <v>1</v>
      </c>
      <c r="J5" s="8">
        <v>1</v>
      </c>
      <c r="K5" s="6">
        <v>45305</v>
      </c>
      <c r="L5" s="8">
        <v>1</v>
      </c>
      <c r="M5" s="6">
        <v>45306</v>
      </c>
      <c r="N5" s="5">
        <v>1</v>
      </c>
      <c r="O5" s="8">
        <v>1</v>
      </c>
      <c r="P5" s="6">
        <v>45006</v>
      </c>
      <c r="Q5" s="8">
        <v>1</v>
      </c>
      <c r="R5" s="6">
        <v>45299</v>
      </c>
      <c r="S5" s="8">
        <v>1</v>
      </c>
      <c r="T5" s="6">
        <v>45299</v>
      </c>
      <c r="U5" s="8">
        <v>11</v>
      </c>
      <c r="V5" s="6">
        <v>45222</v>
      </c>
      <c r="W5" s="6">
        <v>45512</v>
      </c>
      <c r="X5" s="8">
        <v>1</v>
      </c>
      <c r="Y5" s="6">
        <v>45305</v>
      </c>
      <c r="Z5" s="5">
        <v>1</v>
      </c>
      <c r="AA5" s="8">
        <v>10.9</v>
      </c>
      <c r="AB5" s="6">
        <v>45229</v>
      </c>
      <c r="AC5" s="8">
        <v>1</v>
      </c>
      <c r="AD5" s="8">
        <v>1</v>
      </c>
      <c r="AE5" s="6">
        <v>45305</v>
      </c>
      <c r="AF5" s="5">
        <v>1</v>
      </c>
      <c r="AG5" s="6">
        <v>45428</v>
      </c>
      <c r="AH5" s="8">
        <v>1</v>
      </c>
      <c r="AI5" s="6">
        <v>45432</v>
      </c>
      <c r="AJ5" s="8">
        <v>1</v>
      </c>
      <c r="AK5" s="7" t="s">
        <v>51</v>
      </c>
      <c r="AL5" s="6">
        <v>45512</v>
      </c>
      <c r="AM5" s="8">
        <v>2</v>
      </c>
      <c r="AN5" s="7" t="s">
        <v>51</v>
      </c>
      <c r="AO5" s="7" t="s">
        <v>51</v>
      </c>
      <c r="AP5" s="7" t="s">
        <v>51</v>
      </c>
      <c r="AQ5" s="6">
        <v>45513</v>
      </c>
      <c r="AR5" s="6">
        <v>45552</v>
      </c>
      <c r="AS5" s="8">
        <v>1</v>
      </c>
      <c r="AT5" s="6">
        <v>45552</v>
      </c>
      <c r="AU5" s="5">
        <v>1</v>
      </c>
      <c r="AV5" s="6">
        <v>45553</v>
      </c>
      <c r="AW5" s="5">
        <v>1</v>
      </c>
      <c r="AX5" s="8">
        <v>5</v>
      </c>
      <c r="AY5" s="5" t="s">
        <v>52</v>
      </c>
    </row>
    <row r="6" spans="1:51" ht="15.75" thickBot="1" x14ac:dyDescent="0.3">
      <c r="A6" s="4">
        <v>5</v>
      </c>
      <c r="B6" s="5">
        <v>643578</v>
      </c>
      <c r="C6" s="5">
        <v>16</v>
      </c>
      <c r="D6" s="5">
        <v>209</v>
      </c>
      <c r="E6" s="5">
        <v>538</v>
      </c>
      <c r="F6" s="6">
        <v>37544</v>
      </c>
      <c r="G6" s="5" t="s">
        <v>53</v>
      </c>
      <c r="H6" s="7" t="s">
        <v>51</v>
      </c>
      <c r="I6" s="8">
        <v>1</v>
      </c>
      <c r="J6" s="8">
        <v>1</v>
      </c>
      <c r="K6" s="6">
        <v>45291</v>
      </c>
      <c r="L6" s="8">
        <v>1</v>
      </c>
      <c r="M6" s="6">
        <v>45292</v>
      </c>
      <c r="N6" s="5">
        <v>1</v>
      </c>
      <c r="O6" s="8">
        <v>1</v>
      </c>
      <c r="P6" s="6">
        <v>45020</v>
      </c>
      <c r="Q6" s="8">
        <v>1</v>
      </c>
      <c r="R6" s="6">
        <v>45291</v>
      </c>
      <c r="S6" s="8">
        <v>1</v>
      </c>
      <c r="T6" s="6">
        <v>45291</v>
      </c>
      <c r="U6" s="8">
        <v>6.7</v>
      </c>
      <c r="V6" s="6">
        <v>45244</v>
      </c>
      <c r="W6" s="6">
        <v>45531</v>
      </c>
      <c r="X6" s="8">
        <v>1</v>
      </c>
      <c r="Y6" s="6">
        <v>45314</v>
      </c>
      <c r="Z6" s="5">
        <v>1</v>
      </c>
      <c r="AA6" s="8">
        <v>9.5299999999999994</v>
      </c>
      <c r="AB6" s="6">
        <v>45248</v>
      </c>
      <c r="AC6" s="8">
        <v>1</v>
      </c>
      <c r="AD6" s="8">
        <v>1</v>
      </c>
      <c r="AE6" s="6">
        <v>45291</v>
      </c>
      <c r="AF6" s="5">
        <v>1</v>
      </c>
      <c r="AG6" s="6">
        <v>45417</v>
      </c>
      <c r="AH6" s="8">
        <v>1</v>
      </c>
      <c r="AI6" s="6">
        <v>45418</v>
      </c>
      <c r="AJ6" s="8">
        <v>1</v>
      </c>
      <c r="AK6" s="7" t="s">
        <v>51</v>
      </c>
      <c r="AL6" s="6">
        <v>45519</v>
      </c>
      <c r="AM6" s="8">
        <v>2</v>
      </c>
      <c r="AN6" s="7" t="s">
        <v>51</v>
      </c>
      <c r="AO6" s="7" t="s">
        <v>51</v>
      </c>
      <c r="AP6" s="7" t="s">
        <v>51</v>
      </c>
      <c r="AQ6" s="6">
        <v>45532</v>
      </c>
      <c r="AR6" s="6">
        <v>45537</v>
      </c>
      <c r="AS6" s="8">
        <v>1</v>
      </c>
      <c r="AT6" s="6">
        <v>45564</v>
      </c>
      <c r="AU6" s="5">
        <v>1</v>
      </c>
      <c r="AV6" s="6">
        <v>45565</v>
      </c>
      <c r="AW6" s="5">
        <v>1</v>
      </c>
      <c r="AX6" s="8">
        <v>5</v>
      </c>
      <c r="AY6" s="5" t="s">
        <v>52</v>
      </c>
    </row>
    <row r="7" spans="1:51" ht="15.75" thickBot="1" x14ac:dyDescent="0.3">
      <c r="A7" s="4">
        <v>6</v>
      </c>
      <c r="B7" s="5">
        <v>868776</v>
      </c>
      <c r="C7" s="5">
        <v>18</v>
      </c>
      <c r="D7" s="5">
        <v>225</v>
      </c>
      <c r="E7" s="5">
        <v>6150</v>
      </c>
      <c r="F7" s="6">
        <v>37422</v>
      </c>
      <c r="G7" s="5" t="s">
        <v>53</v>
      </c>
      <c r="H7" s="7" t="s">
        <v>51</v>
      </c>
      <c r="I7" s="8">
        <v>1</v>
      </c>
      <c r="J7" s="8">
        <v>1</v>
      </c>
      <c r="K7" s="6">
        <v>45284</v>
      </c>
      <c r="L7" s="8">
        <v>1</v>
      </c>
      <c r="M7" s="6">
        <v>45286</v>
      </c>
      <c r="N7" s="5">
        <v>1</v>
      </c>
      <c r="O7" s="8">
        <v>1</v>
      </c>
      <c r="P7" s="6">
        <v>45183</v>
      </c>
      <c r="Q7" s="8">
        <v>1</v>
      </c>
      <c r="R7" s="6">
        <v>45284</v>
      </c>
      <c r="S7" s="8">
        <v>1</v>
      </c>
      <c r="T7" s="6">
        <v>45284</v>
      </c>
      <c r="U7" s="8">
        <v>11</v>
      </c>
      <c r="V7" s="6">
        <v>45207</v>
      </c>
      <c r="W7" s="6">
        <v>45496</v>
      </c>
      <c r="X7" s="8">
        <v>1</v>
      </c>
      <c r="Y7" s="6">
        <v>45286</v>
      </c>
      <c r="Z7" s="5">
        <v>1</v>
      </c>
      <c r="AA7" s="8">
        <v>9.74</v>
      </c>
      <c r="AB7" s="6">
        <v>45218</v>
      </c>
      <c r="AC7" s="8">
        <v>1</v>
      </c>
      <c r="AD7" s="8">
        <v>1</v>
      </c>
      <c r="AE7" s="6">
        <v>45284</v>
      </c>
      <c r="AF7" s="5">
        <v>1</v>
      </c>
      <c r="AG7" s="6">
        <v>45375</v>
      </c>
      <c r="AH7" s="8">
        <v>1</v>
      </c>
      <c r="AI7" s="6">
        <v>45376</v>
      </c>
      <c r="AJ7" s="8">
        <v>1</v>
      </c>
      <c r="AK7" s="7" t="s">
        <v>51</v>
      </c>
      <c r="AL7" s="6">
        <v>45491</v>
      </c>
      <c r="AM7" s="8">
        <v>2</v>
      </c>
      <c r="AN7" s="7" t="s">
        <v>51</v>
      </c>
      <c r="AO7" s="7" t="s">
        <v>51</v>
      </c>
      <c r="AP7" s="7" t="s">
        <v>51</v>
      </c>
      <c r="AQ7" s="6">
        <v>45497</v>
      </c>
      <c r="AR7" s="6">
        <v>45531</v>
      </c>
      <c r="AS7" s="8">
        <v>1</v>
      </c>
      <c r="AT7" s="6">
        <v>45531</v>
      </c>
      <c r="AU7" s="5">
        <v>1</v>
      </c>
      <c r="AV7" s="6">
        <v>45532</v>
      </c>
      <c r="AW7" s="5">
        <v>1</v>
      </c>
      <c r="AX7" s="8">
        <v>5</v>
      </c>
      <c r="AY7" s="5" t="s">
        <v>52</v>
      </c>
    </row>
    <row r="8" spans="1:51" ht="15.75" thickBot="1" x14ac:dyDescent="0.3">
      <c r="A8" s="4">
        <v>7</v>
      </c>
      <c r="B8" s="5">
        <v>783795</v>
      </c>
      <c r="C8" s="5">
        <v>18</v>
      </c>
      <c r="D8" s="5">
        <v>239</v>
      </c>
      <c r="E8" s="5">
        <v>142</v>
      </c>
      <c r="F8" s="6">
        <v>37726</v>
      </c>
      <c r="G8" s="5" t="s">
        <v>54</v>
      </c>
      <c r="H8" s="7" t="s">
        <v>51</v>
      </c>
      <c r="I8" s="8">
        <v>1</v>
      </c>
      <c r="J8" s="8">
        <v>1</v>
      </c>
      <c r="K8" s="6">
        <v>45291</v>
      </c>
      <c r="L8" s="8">
        <v>1</v>
      </c>
      <c r="M8" s="6">
        <v>45292</v>
      </c>
      <c r="N8" s="5">
        <v>1</v>
      </c>
      <c r="O8" s="8">
        <v>1</v>
      </c>
      <c r="P8" s="6">
        <v>45180</v>
      </c>
      <c r="Q8" s="8">
        <v>1</v>
      </c>
      <c r="R8" s="6">
        <v>45291</v>
      </c>
      <c r="S8" s="8">
        <v>1</v>
      </c>
      <c r="T8" s="6">
        <v>45291</v>
      </c>
      <c r="U8" s="8">
        <v>5.6</v>
      </c>
      <c r="V8" s="6">
        <v>45252</v>
      </c>
      <c r="W8" s="6">
        <v>45505</v>
      </c>
      <c r="X8" s="8">
        <v>1</v>
      </c>
      <c r="Y8" s="6">
        <v>45329</v>
      </c>
      <c r="Z8" s="5">
        <v>1</v>
      </c>
      <c r="AA8" s="8">
        <v>10.029999999999999</v>
      </c>
      <c r="AB8" s="6">
        <v>45259</v>
      </c>
      <c r="AC8" s="8">
        <v>1</v>
      </c>
      <c r="AD8" s="8">
        <v>1</v>
      </c>
      <c r="AE8" s="6">
        <v>45291</v>
      </c>
      <c r="AF8" s="5">
        <v>1</v>
      </c>
      <c r="AG8" s="6">
        <v>45456</v>
      </c>
      <c r="AH8" s="8">
        <v>1</v>
      </c>
      <c r="AI8" s="6">
        <v>45457</v>
      </c>
      <c r="AJ8" s="8">
        <v>1</v>
      </c>
      <c r="AK8" s="7" t="s">
        <v>51</v>
      </c>
      <c r="AL8" s="6">
        <v>45505</v>
      </c>
      <c r="AM8" s="8">
        <v>2</v>
      </c>
      <c r="AN8" s="7" t="s">
        <v>51</v>
      </c>
      <c r="AO8" s="7" t="s">
        <v>51</v>
      </c>
      <c r="AP8" s="7" t="s">
        <v>51</v>
      </c>
      <c r="AQ8" s="6">
        <v>45506</v>
      </c>
      <c r="AR8" s="6">
        <v>45519</v>
      </c>
      <c r="AS8" s="8">
        <v>1</v>
      </c>
      <c r="AT8" s="6">
        <v>45536</v>
      </c>
      <c r="AU8" s="5">
        <v>1</v>
      </c>
      <c r="AV8" s="6">
        <v>45537</v>
      </c>
      <c r="AW8" s="5">
        <v>1</v>
      </c>
      <c r="AX8" s="8">
        <v>5</v>
      </c>
      <c r="AY8" s="5" t="s">
        <v>52</v>
      </c>
    </row>
    <row r="9" spans="1:51" ht="15.75" thickBot="1" x14ac:dyDescent="0.3">
      <c r="A9" s="4">
        <v>8</v>
      </c>
      <c r="B9" s="5">
        <v>621075</v>
      </c>
      <c r="C9" s="5">
        <v>17</v>
      </c>
      <c r="D9" s="5">
        <v>214</v>
      </c>
      <c r="E9" s="5">
        <v>1193</v>
      </c>
      <c r="F9" s="6">
        <v>38112</v>
      </c>
      <c r="G9" s="5" t="s">
        <v>55</v>
      </c>
      <c r="H9" s="7" t="s">
        <v>51</v>
      </c>
      <c r="I9" s="8">
        <v>1</v>
      </c>
      <c r="J9" s="8">
        <v>1</v>
      </c>
      <c r="K9" s="6">
        <v>45299</v>
      </c>
      <c r="L9" s="8">
        <v>1</v>
      </c>
      <c r="M9" s="6">
        <v>45300</v>
      </c>
      <c r="N9" s="5">
        <v>1</v>
      </c>
      <c r="O9" s="8">
        <v>1</v>
      </c>
      <c r="P9" s="6">
        <v>45032</v>
      </c>
      <c r="Q9" s="8">
        <v>1</v>
      </c>
      <c r="R9" s="6">
        <v>45299</v>
      </c>
      <c r="S9" s="8">
        <v>1</v>
      </c>
      <c r="T9" s="6">
        <v>45299</v>
      </c>
      <c r="U9" s="8">
        <v>10.9</v>
      </c>
      <c r="V9" s="6">
        <v>45223</v>
      </c>
      <c r="W9" s="6">
        <v>45511</v>
      </c>
      <c r="X9" s="8">
        <v>1</v>
      </c>
      <c r="Y9" s="6">
        <v>45313</v>
      </c>
      <c r="Z9" s="5">
        <v>1</v>
      </c>
      <c r="AA9" s="8">
        <v>9.17</v>
      </c>
      <c r="AB9" s="6">
        <v>45249</v>
      </c>
      <c r="AC9" s="8">
        <v>1</v>
      </c>
      <c r="AD9" s="8">
        <v>1</v>
      </c>
      <c r="AE9" s="6">
        <v>45299</v>
      </c>
      <c r="AF9" s="5">
        <v>1</v>
      </c>
      <c r="AG9" s="6">
        <v>45420</v>
      </c>
      <c r="AH9" s="8">
        <v>1</v>
      </c>
      <c r="AI9" s="6">
        <v>45424</v>
      </c>
      <c r="AJ9" s="8">
        <v>1</v>
      </c>
      <c r="AK9" s="7" t="s">
        <v>51</v>
      </c>
      <c r="AL9" s="6">
        <v>45505</v>
      </c>
      <c r="AM9" s="8">
        <v>2</v>
      </c>
      <c r="AN9" s="7" t="s">
        <v>51</v>
      </c>
      <c r="AO9" s="7" t="s">
        <v>51</v>
      </c>
      <c r="AP9" s="7" t="s">
        <v>51</v>
      </c>
      <c r="AQ9" s="6">
        <v>45511</v>
      </c>
      <c r="AR9" s="6">
        <v>45539</v>
      </c>
      <c r="AS9" s="8">
        <v>1</v>
      </c>
      <c r="AT9" s="6">
        <v>45545</v>
      </c>
      <c r="AU9" s="5">
        <v>1</v>
      </c>
      <c r="AV9" s="6">
        <v>45546</v>
      </c>
      <c r="AW9" s="5">
        <v>1</v>
      </c>
      <c r="AX9" s="8">
        <v>5</v>
      </c>
      <c r="AY9" s="5" t="s">
        <v>52</v>
      </c>
    </row>
    <row r="10" spans="1:51" ht="15.75" thickBot="1" x14ac:dyDescent="0.3">
      <c r="A10" s="4">
        <v>9</v>
      </c>
      <c r="B10" s="5">
        <v>691662</v>
      </c>
      <c r="C10" s="5">
        <v>16</v>
      </c>
      <c r="D10" s="5">
        <v>213</v>
      </c>
      <c r="E10" s="5">
        <v>6127</v>
      </c>
      <c r="F10" s="6">
        <v>38126</v>
      </c>
      <c r="G10" s="5" t="s">
        <v>55</v>
      </c>
      <c r="H10" s="7" t="s">
        <v>51</v>
      </c>
      <c r="I10" s="8">
        <v>1</v>
      </c>
      <c r="J10" s="8">
        <v>1</v>
      </c>
      <c r="K10" s="6">
        <v>45334</v>
      </c>
      <c r="L10" s="8">
        <v>1</v>
      </c>
      <c r="M10" s="6">
        <v>45336</v>
      </c>
      <c r="N10" s="5">
        <v>1</v>
      </c>
      <c r="O10" s="8">
        <v>1</v>
      </c>
      <c r="P10" s="6">
        <v>45056</v>
      </c>
      <c r="Q10" s="8">
        <v>1</v>
      </c>
      <c r="R10" s="6">
        <v>45334</v>
      </c>
      <c r="S10" s="8">
        <v>1</v>
      </c>
      <c r="T10" s="6">
        <v>45334</v>
      </c>
      <c r="U10" s="8">
        <v>10.3</v>
      </c>
      <c r="V10" s="6">
        <v>45262</v>
      </c>
      <c r="W10" s="6">
        <v>45536</v>
      </c>
      <c r="X10" s="8">
        <v>1</v>
      </c>
      <c r="Y10" s="6">
        <v>45336</v>
      </c>
      <c r="Z10" s="5">
        <v>1</v>
      </c>
      <c r="AA10" s="8">
        <v>10.55</v>
      </c>
      <c r="AB10" s="6">
        <v>45263</v>
      </c>
      <c r="AC10" s="8">
        <v>1</v>
      </c>
      <c r="AD10" s="8">
        <v>1</v>
      </c>
      <c r="AE10" s="6">
        <v>45334</v>
      </c>
      <c r="AF10" s="5">
        <v>1</v>
      </c>
      <c r="AG10" s="6">
        <v>45533</v>
      </c>
      <c r="AH10" s="8">
        <v>2</v>
      </c>
      <c r="AI10" s="7" t="s">
        <v>51</v>
      </c>
      <c r="AJ10" s="9" t="s">
        <v>51</v>
      </c>
      <c r="AK10" s="7" t="s">
        <v>51</v>
      </c>
      <c r="AL10" s="6">
        <v>45533</v>
      </c>
      <c r="AM10" s="8">
        <v>2</v>
      </c>
      <c r="AN10" s="7" t="s">
        <v>51</v>
      </c>
      <c r="AO10" s="7" t="s">
        <v>51</v>
      </c>
      <c r="AP10" s="7" t="s">
        <v>51</v>
      </c>
      <c r="AQ10" s="6">
        <v>45536</v>
      </c>
      <c r="AR10" s="6">
        <v>45543</v>
      </c>
      <c r="AS10" s="8">
        <v>1</v>
      </c>
      <c r="AT10" s="6">
        <v>45566</v>
      </c>
      <c r="AU10" s="5">
        <v>1</v>
      </c>
      <c r="AV10" s="6">
        <v>45567</v>
      </c>
      <c r="AW10" s="5">
        <v>1</v>
      </c>
      <c r="AX10" s="8">
        <v>5</v>
      </c>
      <c r="AY10" s="5" t="s">
        <v>52</v>
      </c>
    </row>
    <row r="11" spans="1:51" ht="15.75" thickBot="1" x14ac:dyDescent="0.3">
      <c r="A11" s="4">
        <v>10</v>
      </c>
      <c r="B11" s="5">
        <v>700702</v>
      </c>
      <c r="C11" s="5">
        <v>16</v>
      </c>
      <c r="D11" s="5">
        <v>240</v>
      </c>
      <c r="E11" s="5">
        <v>1068</v>
      </c>
      <c r="F11" s="6">
        <v>35491</v>
      </c>
      <c r="G11" s="5" t="s">
        <v>55</v>
      </c>
      <c r="H11" s="7" t="s">
        <v>51</v>
      </c>
      <c r="I11" s="8">
        <v>1</v>
      </c>
      <c r="J11" s="8">
        <v>1</v>
      </c>
      <c r="K11" s="6">
        <v>45243</v>
      </c>
      <c r="L11" s="8">
        <v>1</v>
      </c>
      <c r="M11" s="6">
        <v>45244</v>
      </c>
      <c r="N11" s="5">
        <v>1</v>
      </c>
      <c r="O11" s="8">
        <v>1</v>
      </c>
      <c r="P11" s="6">
        <v>45056</v>
      </c>
      <c r="Q11" s="8">
        <v>1</v>
      </c>
      <c r="R11" s="6">
        <v>45242</v>
      </c>
      <c r="S11" s="8">
        <v>1</v>
      </c>
      <c r="T11" s="6">
        <v>45242</v>
      </c>
      <c r="U11" s="8">
        <v>10</v>
      </c>
      <c r="V11" s="6">
        <v>45172</v>
      </c>
      <c r="W11" s="6">
        <v>45462</v>
      </c>
      <c r="X11" s="8">
        <v>1</v>
      </c>
      <c r="Y11" s="6">
        <v>45246</v>
      </c>
      <c r="Z11" s="5">
        <v>1</v>
      </c>
      <c r="AA11" s="8">
        <v>8.7200000000000006</v>
      </c>
      <c r="AB11" s="6">
        <v>45185</v>
      </c>
      <c r="AC11" s="8">
        <v>1</v>
      </c>
      <c r="AD11" s="8">
        <v>1</v>
      </c>
      <c r="AE11" s="6">
        <v>45243</v>
      </c>
      <c r="AF11" s="5">
        <v>1</v>
      </c>
      <c r="AG11" s="6">
        <v>45340</v>
      </c>
      <c r="AH11" s="8">
        <v>1</v>
      </c>
      <c r="AI11" s="6">
        <v>45341</v>
      </c>
      <c r="AJ11" s="8">
        <v>1</v>
      </c>
      <c r="AK11" s="7" t="s">
        <v>51</v>
      </c>
      <c r="AL11" s="6">
        <v>45428</v>
      </c>
      <c r="AM11" s="8">
        <v>2</v>
      </c>
      <c r="AN11" s="7" t="s">
        <v>51</v>
      </c>
      <c r="AO11" s="7" t="s">
        <v>51</v>
      </c>
      <c r="AP11" s="7" t="s">
        <v>51</v>
      </c>
      <c r="AQ11" s="6">
        <v>45462</v>
      </c>
      <c r="AR11" s="6">
        <v>45489</v>
      </c>
      <c r="AS11" s="8">
        <v>1</v>
      </c>
      <c r="AT11" s="6">
        <v>45497</v>
      </c>
      <c r="AU11" s="5">
        <v>1</v>
      </c>
      <c r="AV11" s="6">
        <v>45498</v>
      </c>
      <c r="AW11" s="5">
        <v>1</v>
      </c>
      <c r="AX11" s="8">
        <v>5</v>
      </c>
      <c r="AY11" s="5" t="s">
        <v>52</v>
      </c>
    </row>
    <row r="12" spans="1:51" ht="15.75" thickBot="1" x14ac:dyDescent="0.3">
      <c r="A12" s="4">
        <v>11</v>
      </c>
      <c r="B12" s="5">
        <v>766229</v>
      </c>
      <c r="C12" s="5">
        <v>18</v>
      </c>
      <c r="D12" s="5">
        <v>226</v>
      </c>
      <c r="E12" s="5">
        <v>6069</v>
      </c>
      <c r="F12" s="6">
        <v>33100</v>
      </c>
      <c r="G12" s="5" t="s">
        <v>55</v>
      </c>
      <c r="H12" s="7" t="s">
        <v>51</v>
      </c>
      <c r="I12" s="8">
        <v>1</v>
      </c>
      <c r="J12" s="8">
        <v>1</v>
      </c>
      <c r="K12" s="6">
        <v>45335</v>
      </c>
      <c r="L12" s="8">
        <v>1</v>
      </c>
      <c r="M12" s="6">
        <v>45336</v>
      </c>
      <c r="N12" s="5">
        <v>1</v>
      </c>
      <c r="O12" s="8">
        <v>1</v>
      </c>
      <c r="P12" s="6">
        <v>45188</v>
      </c>
      <c r="Q12" s="8">
        <v>1</v>
      </c>
      <c r="R12" s="6">
        <v>45333</v>
      </c>
      <c r="S12" s="8">
        <v>1</v>
      </c>
      <c r="T12" s="6">
        <v>45333</v>
      </c>
      <c r="U12" s="8">
        <v>6.1</v>
      </c>
      <c r="V12" s="6">
        <v>45290</v>
      </c>
      <c r="W12" s="6">
        <v>45573</v>
      </c>
      <c r="X12" s="8">
        <v>1</v>
      </c>
      <c r="Y12" s="6">
        <v>45357</v>
      </c>
      <c r="Z12" s="5">
        <v>1</v>
      </c>
      <c r="AA12" s="8">
        <v>9.74</v>
      </c>
      <c r="AB12" s="6">
        <v>45289</v>
      </c>
      <c r="AC12" s="8">
        <v>1</v>
      </c>
      <c r="AD12" s="8">
        <v>1</v>
      </c>
      <c r="AE12" s="6">
        <v>45335</v>
      </c>
      <c r="AF12" s="5">
        <v>1</v>
      </c>
      <c r="AG12" s="6">
        <v>45568</v>
      </c>
      <c r="AH12" s="8">
        <v>2</v>
      </c>
      <c r="AI12" s="7" t="s">
        <v>51</v>
      </c>
      <c r="AJ12" s="9" t="s">
        <v>51</v>
      </c>
      <c r="AK12" s="7" t="s">
        <v>51</v>
      </c>
      <c r="AL12" s="6">
        <v>45568</v>
      </c>
      <c r="AM12" s="8">
        <v>2</v>
      </c>
      <c r="AN12" s="7" t="s">
        <v>51</v>
      </c>
      <c r="AO12" s="7" t="s">
        <v>51</v>
      </c>
      <c r="AP12" s="7" t="s">
        <v>51</v>
      </c>
      <c r="AQ12" s="6">
        <v>45574</v>
      </c>
      <c r="AR12" s="7" t="s">
        <v>51</v>
      </c>
      <c r="AS12" s="9" t="s">
        <v>51</v>
      </c>
      <c r="AT12" s="7" t="s">
        <v>51</v>
      </c>
      <c r="AU12" s="5"/>
      <c r="AV12" s="7" t="s">
        <v>51</v>
      </c>
      <c r="AW12" s="5"/>
      <c r="AX12" s="8">
        <v>5</v>
      </c>
      <c r="AY12" s="5" t="s">
        <v>56</v>
      </c>
    </row>
    <row r="13" spans="1:51" ht="67.5" x14ac:dyDescent="0.25">
      <c r="A13" s="10" t="s">
        <v>57</v>
      </c>
    </row>
    <row r="17" spans="1:51" ht="15.75" thickBot="1" x14ac:dyDescent="0.3">
      <c r="A17" s="1"/>
      <c r="B17" s="2" t="s">
        <v>0</v>
      </c>
      <c r="C17" s="2" t="s">
        <v>1</v>
      </c>
      <c r="D17" s="2" t="s">
        <v>2</v>
      </c>
      <c r="E17" s="2" t="s">
        <v>3</v>
      </c>
      <c r="F17" s="2" t="s">
        <v>4</v>
      </c>
      <c r="G17" s="2" t="s">
        <v>5</v>
      </c>
      <c r="H17" s="2" t="s">
        <v>6</v>
      </c>
      <c r="I17" s="2" t="s">
        <v>7</v>
      </c>
      <c r="J17" s="2" t="s">
        <v>8</v>
      </c>
      <c r="K17" s="2" t="s">
        <v>9</v>
      </c>
      <c r="L17" s="2" t="s">
        <v>10</v>
      </c>
      <c r="M17" s="2" t="s">
        <v>11</v>
      </c>
      <c r="N17" s="2" t="s">
        <v>12</v>
      </c>
      <c r="O17" s="2" t="s">
        <v>13</v>
      </c>
      <c r="P17" s="2" t="s">
        <v>14</v>
      </c>
      <c r="Q17" s="2" t="s">
        <v>15</v>
      </c>
      <c r="R17" s="2" t="s">
        <v>16</v>
      </c>
      <c r="S17" s="2" t="s">
        <v>17</v>
      </c>
      <c r="T17" s="2" t="s">
        <v>18</v>
      </c>
      <c r="U17" s="2" t="s">
        <v>19</v>
      </c>
      <c r="V17" s="2" t="s">
        <v>20</v>
      </c>
      <c r="W17" s="2" t="s">
        <v>21</v>
      </c>
      <c r="X17" s="2" t="s">
        <v>22</v>
      </c>
      <c r="Y17" s="2" t="s">
        <v>23</v>
      </c>
      <c r="Z17" s="2" t="s">
        <v>24</v>
      </c>
      <c r="AA17" s="2" t="s">
        <v>25</v>
      </c>
      <c r="AB17" s="2" t="s">
        <v>26</v>
      </c>
      <c r="AC17" s="2" t="s">
        <v>27</v>
      </c>
      <c r="AD17" s="2" t="s">
        <v>28</v>
      </c>
      <c r="AE17" s="2" t="s">
        <v>29</v>
      </c>
      <c r="AF17" s="2" t="s">
        <v>30</v>
      </c>
      <c r="AG17" s="2" t="s">
        <v>31</v>
      </c>
      <c r="AH17" s="2" t="s">
        <v>32</v>
      </c>
      <c r="AI17" s="2" t="s">
        <v>33</v>
      </c>
      <c r="AJ17" s="2" t="s">
        <v>34</v>
      </c>
      <c r="AK17" s="2" t="s">
        <v>35</v>
      </c>
      <c r="AL17" s="2" t="s">
        <v>36</v>
      </c>
      <c r="AM17" s="2" t="s">
        <v>37</v>
      </c>
      <c r="AN17" s="2" t="s">
        <v>38</v>
      </c>
      <c r="AO17" s="2" t="s">
        <v>39</v>
      </c>
      <c r="AP17" s="2" t="s">
        <v>40</v>
      </c>
      <c r="AQ17" s="2" t="s">
        <v>41</v>
      </c>
      <c r="AR17" s="2" t="s">
        <v>42</v>
      </c>
      <c r="AS17" s="2" t="s">
        <v>43</v>
      </c>
      <c r="AT17" s="2" t="s">
        <v>44</v>
      </c>
      <c r="AU17" s="2" t="s">
        <v>45</v>
      </c>
      <c r="AV17" s="2" t="s">
        <v>46</v>
      </c>
      <c r="AW17" s="2" t="s">
        <v>47</v>
      </c>
      <c r="AX17" s="2" t="s">
        <v>48</v>
      </c>
      <c r="AY17" s="2" t="s">
        <v>49</v>
      </c>
    </row>
    <row r="18" spans="1:5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</row>
    <row r="19" spans="1:51" ht="15.75" thickBot="1" x14ac:dyDescent="0.3">
      <c r="A19" s="4">
        <v>1</v>
      </c>
      <c r="B19" s="5">
        <v>286013</v>
      </c>
      <c r="C19" s="5">
        <v>20</v>
      </c>
      <c r="D19" s="5">
        <v>274</v>
      </c>
      <c r="E19" s="5">
        <v>1379</v>
      </c>
      <c r="F19" s="6">
        <v>38346</v>
      </c>
      <c r="G19" s="5" t="s">
        <v>50</v>
      </c>
      <c r="H19" s="7" t="s">
        <v>51</v>
      </c>
      <c r="I19" s="8">
        <v>1</v>
      </c>
      <c r="J19" s="8">
        <v>1</v>
      </c>
      <c r="K19" s="6">
        <v>45354</v>
      </c>
      <c r="L19" s="8">
        <v>1</v>
      </c>
      <c r="M19" s="6">
        <v>45355</v>
      </c>
      <c r="N19" s="5">
        <v>1</v>
      </c>
      <c r="O19" s="8">
        <v>1</v>
      </c>
      <c r="P19" s="6">
        <v>45017</v>
      </c>
      <c r="Q19" s="8">
        <v>1</v>
      </c>
      <c r="R19" s="6">
        <v>45341</v>
      </c>
      <c r="S19" s="8">
        <v>1</v>
      </c>
      <c r="T19" s="6">
        <v>45341</v>
      </c>
      <c r="U19" s="8">
        <v>8.6</v>
      </c>
      <c r="V19" s="6">
        <v>45281</v>
      </c>
      <c r="W19" s="6">
        <v>45555</v>
      </c>
      <c r="X19" s="8">
        <v>1</v>
      </c>
      <c r="Y19" s="6">
        <v>45355</v>
      </c>
      <c r="Z19" s="5">
        <v>1</v>
      </c>
      <c r="AA19" s="8">
        <v>10.58</v>
      </c>
      <c r="AB19" s="6">
        <v>45281</v>
      </c>
      <c r="AC19" s="8">
        <v>1</v>
      </c>
      <c r="AD19" s="8">
        <v>1</v>
      </c>
      <c r="AE19" s="6">
        <v>45354</v>
      </c>
      <c r="AF19" s="5">
        <v>1</v>
      </c>
      <c r="AG19" s="6">
        <v>45454</v>
      </c>
      <c r="AH19" s="8">
        <v>1</v>
      </c>
      <c r="AI19" s="6">
        <v>45455</v>
      </c>
      <c r="AJ19" s="8">
        <v>1</v>
      </c>
      <c r="AK19" s="7" t="s">
        <v>51</v>
      </c>
      <c r="AL19" s="6">
        <v>45547</v>
      </c>
      <c r="AM19" s="8">
        <v>2</v>
      </c>
      <c r="AN19" s="7" t="s">
        <v>51</v>
      </c>
      <c r="AO19" s="7" t="s">
        <v>51</v>
      </c>
      <c r="AP19" s="7" t="s">
        <v>51</v>
      </c>
      <c r="AQ19" s="6">
        <v>45555</v>
      </c>
      <c r="AR19" s="6">
        <v>45556</v>
      </c>
      <c r="AS19" s="8">
        <v>1</v>
      </c>
      <c r="AT19" s="6">
        <v>45585</v>
      </c>
      <c r="AU19" s="5">
        <v>1</v>
      </c>
      <c r="AV19" s="6">
        <v>45587</v>
      </c>
      <c r="AW19" s="5">
        <v>1</v>
      </c>
      <c r="AX19" s="8">
        <v>5</v>
      </c>
      <c r="AY19" s="5" t="s">
        <v>52</v>
      </c>
    </row>
    <row r="20" spans="1:51" ht="15.75" thickBot="1" x14ac:dyDescent="0.3">
      <c r="A20" s="4">
        <v>2</v>
      </c>
      <c r="B20" s="5">
        <v>603189</v>
      </c>
      <c r="C20" s="5">
        <v>20</v>
      </c>
      <c r="D20" s="5">
        <v>270</v>
      </c>
      <c r="E20" s="5">
        <v>2204</v>
      </c>
      <c r="F20" s="6">
        <v>37412</v>
      </c>
      <c r="G20" s="5" t="s">
        <v>50</v>
      </c>
      <c r="H20" s="7" t="s">
        <v>51</v>
      </c>
      <c r="I20" s="8">
        <v>1</v>
      </c>
      <c r="J20" s="8">
        <v>1</v>
      </c>
      <c r="K20" s="6">
        <v>45286</v>
      </c>
      <c r="L20" s="8">
        <v>1</v>
      </c>
      <c r="M20" s="6">
        <v>45287</v>
      </c>
      <c r="N20" s="5">
        <v>1</v>
      </c>
      <c r="O20" s="8">
        <v>1</v>
      </c>
      <c r="P20" s="6">
        <v>45187</v>
      </c>
      <c r="Q20" s="8">
        <v>1</v>
      </c>
      <c r="R20" s="6">
        <v>45286</v>
      </c>
      <c r="S20" s="8">
        <v>1</v>
      </c>
      <c r="T20" s="6">
        <v>45286</v>
      </c>
      <c r="U20" s="8">
        <v>7</v>
      </c>
      <c r="V20" s="6">
        <v>45237</v>
      </c>
      <c r="W20" s="6">
        <v>45514</v>
      </c>
      <c r="X20" s="8">
        <v>1</v>
      </c>
      <c r="Y20" s="6">
        <v>45305</v>
      </c>
      <c r="Z20" s="5">
        <v>1</v>
      </c>
      <c r="AA20" s="8">
        <v>9.3699999999999992</v>
      </c>
      <c r="AB20" s="6">
        <v>45240</v>
      </c>
      <c r="AC20" s="8">
        <v>1</v>
      </c>
      <c r="AD20" s="8">
        <v>1</v>
      </c>
      <c r="AE20" s="6">
        <v>45286</v>
      </c>
      <c r="AF20" s="5">
        <v>1</v>
      </c>
      <c r="AG20" s="6">
        <v>45398</v>
      </c>
      <c r="AH20" s="8">
        <v>1</v>
      </c>
      <c r="AI20" s="6">
        <v>45400</v>
      </c>
      <c r="AJ20" s="8">
        <v>1</v>
      </c>
      <c r="AK20" s="7" t="s">
        <v>51</v>
      </c>
      <c r="AL20" s="6">
        <v>45515</v>
      </c>
      <c r="AM20" s="8">
        <v>2</v>
      </c>
      <c r="AN20" s="7" t="s">
        <v>51</v>
      </c>
      <c r="AO20" s="7" t="s">
        <v>51</v>
      </c>
      <c r="AP20" s="7" t="s">
        <v>51</v>
      </c>
      <c r="AQ20" s="6">
        <v>45515</v>
      </c>
      <c r="AR20" s="6">
        <v>45545</v>
      </c>
      <c r="AS20" s="8">
        <v>1</v>
      </c>
      <c r="AT20" s="6">
        <v>45545</v>
      </c>
      <c r="AU20" s="5">
        <v>1</v>
      </c>
      <c r="AV20" s="6">
        <v>45546</v>
      </c>
      <c r="AW20" s="5">
        <v>1</v>
      </c>
      <c r="AX20" s="8">
        <v>5</v>
      </c>
      <c r="AY20" s="5" t="s">
        <v>52</v>
      </c>
    </row>
    <row r="21" spans="1:51" ht="15.75" thickBot="1" x14ac:dyDescent="0.3">
      <c r="A21" s="4">
        <v>3</v>
      </c>
      <c r="B21" s="5">
        <v>35065</v>
      </c>
      <c r="C21" s="5">
        <v>19</v>
      </c>
      <c r="D21" s="5">
        <v>251</v>
      </c>
      <c r="E21" s="5">
        <v>99</v>
      </c>
      <c r="F21" s="6">
        <v>35193</v>
      </c>
      <c r="G21" s="5" t="s">
        <v>53</v>
      </c>
      <c r="H21" s="7" t="s">
        <v>51</v>
      </c>
      <c r="I21" s="8">
        <v>1</v>
      </c>
      <c r="J21" s="8">
        <v>1</v>
      </c>
      <c r="K21" s="6">
        <v>45305</v>
      </c>
      <c r="L21" s="8">
        <v>1</v>
      </c>
      <c r="M21" s="6">
        <v>45306</v>
      </c>
      <c r="N21" s="5">
        <v>1</v>
      </c>
      <c r="O21" s="8">
        <v>1</v>
      </c>
      <c r="P21" s="6">
        <v>45006</v>
      </c>
      <c r="Q21" s="8">
        <v>1</v>
      </c>
      <c r="R21" s="6">
        <v>45299</v>
      </c>
      <c r="S21" s="8">
        <v>1</v>
      </c>
      <c r="T21" s="6">
        <v>45299</v>
      </c>
      <c r="U21" s="8">
        <v>11</v>
      </c>
      <c r="V21" s="6">
        <v>45222</v>
      </c>
      <c r="W21" s="6">
        <v>45512</v>
      </c>
      <c r="X21" s="8">
        <v>1</v>
      </c>
      <c r="Y21" s="6">
        <v>45305</v>
      </c>
      <c r="Z21" s="5">
        <v>1</v>
      </c>
      <c r="AA21" s="8">
        <v>10.9</v>
      </c>
      <c r="AB21" s="6">
        <v>45229</v>
      </c>
      <c r="AC21" s="8">
        <v>1</v>
      </c>
      <c r="AD21" s="8">
        <v>1</v>
      </c>
      <c r="AE21" s="6">
        <v>45305</v>
      </c>
      <c r="AF21" s="5">
        <v>1</v>
      </c>
      <c r="AG21" s="6">
        <v>45428</v>
      </c>
      <c r="AH21" s="8">
        <v>1</v>
      </c>
      <c r="AI21" s="6">
        <v>45432</v>
      </c>
      <c r="AJ21" s="8">
        <v>1</v>
      </c>
      <c r="AK21" s="7" t="s">
        <v>51</v>
      </c>
      <c r="AL21" s="6">
        <v>45512</v>
      </c>
      <c r="AM21" s="8">
        <v>2</v>
      </c>
      <c r="AN21" s="7" t="s">
        <v>51</v>
      </c>
      <c r="AO21" s="7" t="s">
        <v>51</v>
      </c>
      <c r="AP21" s="7" t="s">
        <v>51</v>
      </c>
      <c r="AQ21" s="6">
        <v>45513</v>
      </c>
      <c r="AR21" s="6">
        <v>45552</v>
      </c>
      <c r="AS21" s="8">
        <v>1</v>
      </c>
      <c r="AT21" s="6">
        <v>45552</v>
      </c>
      <c r="AU21" s="5">
        <v>1</v>
      </c>
      <c r="AV21" s="6">
        <v>45553</v>
      </c>
      <c r="AW21" s="5">
        <v>1</v>
      </c>
      <c r="AX21" s="8">
        <v>5</v>
      </c>
      <c r="AY21" s="5" t="s">
        <v>52</v>
      </c>
    </row>
    <row r="22" spans="1:51" ht="15.75" thickBot="1" x14ac:dyDescent="0.3">
      <c r="A22" s="4">
        <v>4</v>
      </c>
      <c r="B22" s="5">
        <v>643578</v>
      </c>
      <c r="C22" s="5">
        <v>16</v>
      </c>
      <c r="D22" s="5">
        <v>209</v>
      </c>
      <c r="E22" s="5">
        <v>538</v>
      </c>
      <c r="F22" s="6">
        <v>37544</v>
      </c>
      <c r="G22" s="5" t="s">
        <v>53</v>
      </c>
      <c r="H22" s="7" t="s">
        <v>51</v>
      </c>
      <c r="I22" s="8">
        <v>1</v>
      </c>
      <c r="J22" s="8">
        <v>1</v>
      </c>
      <c r="K22" s="6">
        <v>45291</v>
      </c>
      <c r="L22" s="8">
        <v>1</v>
      </c>
      <c r="M22" s="6">
        <v>45292</v>
      </c>
      <c r="N22" s="5">
        <v>1</v>
      </c>
      <c r="O22" s="8">
        <v>1</v>
      </c>
      <c r="P22" s="6">
        <v>45020</v>
      </c>
      <c r="Q22" s="8">
        <v>1</v>
      </c>
      <c r="R22" s="6">
        <v>45291</v>
      </c>
      <c r="S22" s="8">
        <v>1</v>
      </c>
      <c r="T22" s="6">
        <v>45291</v>
      </c>
      <c r="U22" s="8">
        <v>6.7</v>
      </c>
      <c r="V22" s="6">
        <v>45244</v>
      </c>
      <c r="W22" s="6">
        <v>45531</v>
      </c>
      <c r="X22" s="8">
        <v>1</v>
      </c>
      <c r="Y22" s="6">
        <v>45314</v>
      </c>
      <c r="Z22" s="5">
        <v>1</v>
      </c>
      <c r="AA22" s="8">
        <v>9.5299999999999994</v>
      </c>
      <c r="AB22" s="6">
        <v>45248</v>
      </c>
      <c r="AC22" s="8">
        <v>1</v>
      </c>
      <c r="AD22" s="8">
        <v>1</v>
      </c>
      <c r="AE22" s="6">
        <v>45291</v>
      </c>
      <c r="AF22" s="5">
        <v>1</v>
      </c>
      <c r="AG22" s="6">
        <v>45417</v>
      </c>
      <c r="AH22" s="8">
        <v>1</v>
      </c>
      <c r="AI22" s="6">
        <v>45418</v>
      </c>
      <c r="AJ22" s="8">
        <v>1</v>
      </c>
      <c r="AK22" s="7" t="s">
        <v>51</v>
      </c>
      <c r="AL22" s="6">
        <v>45519</v>
      </c>
      <c r="AM22" s="8">
        <v>2</v>
      </c>
      <c r="AN22" s="7" t="s">
        <v>51</v>
      </c>
      <c r="AO22" s="7" t="s">
        <v>51</v>
      </c>
      <c r="AP22" s="7" t="s">
        <v>51</v>
      </c>
      <c r="AQ22" s="6">
        <v>45532</v>
      </c>
      <c r="AR22" s="6">
        <v>45537</v>
      </c>
      <c r="AS22" s="8">
        <v>1</v>
      </c>
      <c r="AT22" s="6">
        <v>45564</v>
      </c>
      <c r="AU22" s="5">
        <v>1</v>
      </c>
      <c r="AV22" s="6">
        <v>45565</v>
      </c>
      <c r="AW22" s="5">
        <v>1</v>
      </c>
      <c r="AX22" s="8">
        <v>5</v>
      </c>
      <c r="AY22" s="5" t="s">
        <v>52</v>
      </c>
    </row>
    <row r="23" spans="1:51" ht="15.75" thickBot="1" x14ac:dyDescent="0.3">
      <c r="A23" s="4">
        <v>5</v>
      </c>
      <c r="B23" s="5">
        <v>868776</v>
      </c>
      <c r="C23" s="5">
        <v>18</v>
      </c>
      <c r="D23" s="5">
        <v>225</v>
      </c>
      <c r="E23" s="5">
        <v>6150</v>
      </c>
      <c r="F23" s="6">
        <v>37422</v>
      </c>
      <c r="G23" s="5" t="s">
        <v>53</v>
      </c>
      <c r="H23" s="7" t="s">
        <v>51</v>
      </c>
      <c r="I23" s="8">
        <v>1</v>
      </c>
      <c r="J23" s="8">
        <v>1</v>
      </c>
      <c r="K23" s="6">
        <v>45284</v>
      </c>
      <c r="L23" s="8">
        <v>1</v>
      </c>
      <c r="M23" s="6">
        <v>45286</v>
      </c>
      <c r="N23" s="5">
        <v>1</v>
      </c>
      <c r="O23" s="8">
        <v>1</v>
      </c>
      <c r="P23" s="6">
        <v>45183</v>
      </c>
      <c r="Q23" s="8">
        <v>1</v>
      </c>
      <c r="R23" s="6">
        <v>45284</v>
      </c>
      <c r="S23" s="8">
        <v>1</v>
      </c>
      <c r="T23" s="6">
        <v>45284</v>
      </c>
      <c r="U23" s="8">
        <v>11</v>
      </c>
      <c r="V23" s="6">
        <v>45207</v>
      </c>
      <c r="W23" s="6">
        <v>45496</v>
      </c>
      <c r="X23" s="8">
        <v>1</v>
      </c>
      <c r="Y23" s="6">
        <v>45286</v>
      </c>
      <c r="Z23" s="5">
        <v>1</v>
      </c>
      <c r="AA23" s="8">
        <v>9.74</v>
      </c>
      <c r="AB23" s="6">
        <v>45218</v>
      </c>
      <c r="AC23" s="8">
        <v>1</v>
      </c>
      <c r="AD23" s="8">
        <v>1</v>
      </c>
      <c r="AE23" s="6">
        <v>45284</v>
      </c>
      <c r="AF23" s="5">
        <v>1</v>
      </c>
      <c r="AG23" s="6">
        <v>45375</v>
      </c>
      <c r="AH23" s="8">
        <v>1</v>
      </c>
      <c r="AI23" s="6">
        <v>45376</v>
      </c>
      <c r="AJ23" s="8">
        <v>1</v>
      </c>
      <c r="AK23" s="7" t="s">
        <v>51</v>
      </c>
      <c r="AL23" s="6">
        <v>45491</v>
      </c>
      <c r="AM23" s="8">
        <v>2</v>
      </c>
      <c r="AN23" s="7" t="s">
        <v>51</v>
      </c>
      <c r="AO23" s="7" t="s">
        <v>51</v>
      </c>
      <c r="AP23" s="7" t="s">
        <v>51</v>
      </c>
      <c r="AQ23" s="6">
        <v>45497</v>
      </c>
      <c r="AR23" s="6">
        <v>45531</v>
      </c>
      <c r="AS23" s="8">
        <v>1</v>
      </c>
      <c r="AT23" s="6">
        <v>45531</v>
      </c>
      <c r="AU23" s="5">
        <v>1</v>
      </c>
      <c r="AV23" s="6">
        <v>45532</v>
      </c>
      <c r="AW23" s="5">
        <v>1</v>
      </c>
      <c r="AX23" s="8">
        <v>5</v>
      </c>
      <c r="AY23" s="5" t="s">
        <v>52</v>
      </c>
    </row>
    <row r="24" spans="1:51" ht="15.75" thickBot="1" x14ac:dyDescent="0.3">
      <c r="A24" s="4">
        <v>6</v>
      </c>
      <c r="B24" s="5">
        <v>783795</v>
      </c>
      <c r="C24" s="5">
        <v>18</v>
      </c>
      <c r="D24" s="5">
        <v>239</v>
      </c>
      <c r="E24" s="5">
        <v>142</v>
      </c>
      <c r="F24" s="6">
        <v>37726</v>
      </c>
      <c r="G24" s="5" t="s">
        <v>54</v>
      </c>
      <c r="H24" s="7" t="s">
        <v>51</v>
      </c>
      <c r="I24" s="8">
        <v>1</v>
      </c>
      <c r="J24" s="8">
        <v>1</v>
      </c>
      <c r="K24" s="6">
        <v>45291</v>
      </c>
      <c r="L24" s="8">
        <v>1</v>
      </c>
      <c r="M24" s="6">
        <v>45292</v>
      </c>
      <c r="N24" s="5">
        <v>1</v>
      </c>
      <c r="O24" s="8">
        <v>1</v>
      </c>
      <c r="P24" s="6">
        <v>45180</v>
      </c>
      <c r="Q24" s="8">
        <v>1</v>
      </c>
      <c r="R24" s="6">
        <v>45291</v>
      </c>
      <c r="S24" s="8">
        <v>1</v>
      </c>
      <c r="T24" s="6">
        <v>45291</v>
      </c>
      <c r="U24" s="8">
        <v>5.6</v>
      </c>
      <c r="V24" s="6">
        <v>45252</v>
      </c>
      <c r="W24" s="6">
        <v>45505</v>
      </c>
      <c r="X24" s="8">
        <v>1</v>
      </c>
      <c r="Y24" s="6">
        <v>45329</v>
      </c>
      <c r="Z24" s="5">
        <v>1</v>
      </c>
      <c r="AA24" s="8">
        <v>10.029999999999999</v>
      </c>
      <c r="AB24" s="6">
        <v>45259</v>
      </c>
      <c r="AC24" s="8">
        <v>1</v>
      </c>
      <c r="AD24" s="8">
        <v>1</v>
      </c>
      <c r="AE24" s="6">
        <v>45291</v>
      </c>
      <c r="AF24" s="5">
        <v>1</v>
      </c>
      <c r="AG24" s="6">
        <v>45456</v>
      </c>
      <c r="AH24" s="8">
        <v>1</v>
      </c>
      <c r="AI24" s="6">
        <v>45457</v>
      </c>
      <c r="AJ24" s="8">
        <v>1</v>
      </c>
      <c r="AK24" s="7" t="s">
        <v>51</v>
      </c>
      <c r="AL24" s="6">
        <v>45505</v>
      </c>
      <c r="AM24" s="8">
        <v>2</v>
      </c>
      <c r="AN24" s="7" t="s">
        <v>51</v>
      </c>
      <c r="AO24" s="7" t="s">
        <v>51</v>
      </c>
      <c r="AP24" s="7" t="s">
        <v>51</v>
      </c>
      <c r="AQ24" s="6">
        <v>45506</v>
      </c>
      <c r="AR24" s="6">
        <v>45519</v>
      </c>
      <c r="AS24" s="8">
        <v>1</v>
      </c>
      <c r="AT24" s="6">
        <v>45536</v>
      </c>
      <c r="AU24" s="5">
        <v>1</v>
      </c>
      <c r="AV24" s="6">
        <v>45537</v>
      </c>
      <c r="AW24" s="5">
        <v>1</v>
      </c>
      <c r="AX24" s="8">
        <v>5</v>
      </c>
      <c r="AY24" s="5" t="s">
        <v>52</v>
      </c>
    </row>
    <row r="25" spans="1:51" ht="15.75" thickBot="1" x14ac:dyDescent="0.3">
      <c r="A25" s="4">
        <v>7</v>
      </c>
      <c r="B25" s="5">
        <v>621075</v>
      </c>
      <c r="C25" s="5">
        <v>17</v>
      </c>
      <c r="D25" s="5">
        <v>214</v>
      </c>
      <c r="E25" s="5">
        <v>1193</v>
      </c>
      <c r="F25" s="6">
        <v>38112</v>
      </c>
      <c r="G25" s="5" t="s">
        <v>55</v>
      </c>
      <c r="H25" s="7" t="s">
        <v>51</v>
      </c>
      <c r="I25" s="8">
        <v>1</v>
      </c>
      <c r="J25" s="8">
        <v>1</v>
      </c>
      <c r="K25" s="6">
        <v>45299</v>
      </c>
      <c r="L25" s="8">
        <v>1</v>
      </c>
      <c r="M25" s="6">
        <v>45300</v>
      </c>
      <c r="N25" s="5">
        <v>1</v>
      </c>
      <c r="O25" s="8">
        <v>1</v>
      </c>
      <c r="P25" s="6">
        <v>45032</v>
      </c>
      <c r="Q25" s="8">
        <v>1</v>
      </c>
      <c r="R25" s="6">
        <v>45299</v>
      </c>
      <c r="S25" s="8">
        <v>1</v>
      </c>
      <c r="T25" s="6">
        <v>45299</v>
      </c>
      <c r="U25" s="8">
        <v>10.9</v>
      </c>
      <c r="V25" s="6">
        <v>45223</v>
      </c>
      <c r="W25" s="6">
        <v>45511</v>
      </c>
      <c r="X25" s="8">
        <v>1</v>
      </c>
      <c r="Y25" s="6">
        <v>45313</v>
      </c>
      <c r="Z25" s="5">
        <v>1</v>
      </c>
      <c r="AA25" s="8">
        <v>9.17</v>
      </c>
      <c r="AB25" s="6">
        <v>45249</v>
      </c>
      <c r="AC25" s="8">
        <v>1</v>
      </c>
      <c r="AD25" s="8">
        <v>1</v>
      </c>
      <c r="AE25" s="6">
        <v>45299</v>
      </c>
      <c r="AF25" s="5">
        <v>1</v>
      </c>
      <c r="AG25" s="6">
        <v>45420</v>
      </c>
      <c r="AH25" s="8">
        <v>1</v>
      </c>
      <c r="AI25" s="6">
        <v>45424</v>
      </c>
      <c r="AJ25" s="8">
        <v>1</v>
      </c>
      <c r="AK25" s="7" t="s">
        <v>51</v>
      </c>
      <c r="AL25" s="6">
        <v>45505</v>
      </c>
      <c r="AM25" s="8">
        <v>2</v>
      </c>
      <c r="AN25" s="7" t="s">
        <v>51</v>
      </c>
      <c r="AO25" s="7" t="s">
        <v>51</v>
      </c>
      <c r="AP25" s="7" t="s">
        <v>51</v>
      </c>
      <c r="AQ25" s="6">
        <v>45511</v>
      </c>
      <c r="AR25" s="6">
        <v>45539</v>
      </c>
      <c r="AS25" s="8">
        <v>1</v>
      </c>
      <c r="AT25" s="6">
        <v>45545</v>
      </c>
      <c r="AU25" s="5">
        <v>1</v>
      </c>
      <c r="AV25" s="6">
        <v>45546</v>
      </c>
      <c r="AW25" s="5">
        <v>1</v>
      </c>
      <c r="AX25" s="8">
        <v>5</v>
      </c>
      <c r="AY25" s="5" t="s">
        <v>52</v>
      </c>
    </row>
    <row r="26" spans="1:51" ht="15.75" thickBot="1" x14ac:dyDescent="0.3">
      <c r="A26" s="4">
        <v>8</v>
      </c>
      <c r="B26" s="5">
        <v>691662</v>
      </c>
      <c r="C26" s="5">
        <v>16</v>
      </c>
      <c r="D26" s="5">
        <v>213</v>
      </c>
      <c r="E26" s="5">
        <v>6127</v>
      </c>
      <c r="F26" s="6">
        <v>38126</v>
      </c>
      <c r="G26" s="5" t="s">
        <v>55</v>
      </c>
      <c r="H26" s="7" t="s">
        <v>51</v>
      </c>
      <c r="I26" s="8">
        <v>1</v>
      </c>
      <c r="J26" s="8">
        <v>1</v>
      </c>
      <c r="K26" s="6">
        <v>45334</v>
      </c>
      <c r="L26" s="8">
        <v>1</v>
      </c>
      <c r="M26" s="6">
        <v>45336</v>
      </c>
      <c r="N26" s="5">
        <v>1</v>
      </c>
      <c r="O26" s="8">
        <v>1</v>
      </c>
      <c r="P26" s="6">
        <v>45056</v>
      </c>
      <c r="Q26" s="8">
        <v>1</v>
      </c>
      <c r="R26" s="6">
        <v>45334</v>
      </c>
      <c r="S26" s="8">
        <v>1</v>
      </c>
      <c r="T26" s="6">
        <v>45334</v>
      </c>
      <c r="U26" s="8">
        <v>10.3</v>
      </c>
      <c r="V26" s="6">
        <v>45262</v>
      </c>
      <c r="W26" s="6">
        <v>45536</v>
      </c>
      <c r="X26" s="8">
        <v>1</v>
      </c>
      <c r="Y26" s="6">
        <v>45336</v>
      </c>
      <c r="Z26" s="5">
        <v>1</v>
      </c>
      <c r="AA26" s="8">
        <v>10.55</v>
      </c>
      <c r="AB26" s="6">
        <v>45263</v>
      </c>
      <c r="AC26" s="8">
        <v>1</v>
      </c>
      <c r="AD26" s="8">
        <v>1</v>
      </c>
      <c r="AE26" s="6">
        <v>45334</v>
      </c>
      <c r="AF26" s="5">
        <v>1</v>
      </c>
      <c r="AG26" s="6">
        <v>45533</v>
      </c>
      <c r="AH26" s="8">
        <v>2</v>
      </c>
      <c r="AI26" s="7" t="s">
        <v>51</v>
      </c>
      <c r="AJ26" s="9" t="s">
        <v>51</v>
      </c>
      <c r="AK26" s="7" t="s">
        <v>51</v>
      </c>
      <c r="AL26" s="6">
        <v>45533</v>
      </c>
      <c r="AM26" s="8">
        <v>2</v>
      </c>
      <c r="AN26" s="7" t="s">
        <v>51</v>
      </c>
      <c r="AO26" s="7" t="s">
        <v>51</v>
      </c>
      <c r="AP26" s="7" t="s">
        <v>51</v>
      </c>
      <c r="AQ26" s="6">
        <v>45536</v>
      </c>
      <c r="AR26" s="6">
        <v>45543</v>
      </c>
      <c r="AS26" s="8">
        <v>1</v>
      </c>
      <c r="AT26" s="6">
        <v>45566</v>
      </c>
      <c r="AU26" s="5">
        <v>1</v>
      </c>
      <c r="AV26" s="6">
        <v>45567</v>
      </c>
      <c r="AW26" s="5">
        <v>1</v>
      </c>
      <c r="AX26" s="8">
        <v>5</v>
      </c>
      <c r="AY26" s="5" t="s">
        <v>52</v>
      </c>
    </row>
    <row r="27" spans="1:51" ht="15.75" thickBot="1" x14ac:dyDescent="0.3">
      <c r="A27" s="4">
        <v>9</v>
      </c>
      <c r="B27" s="5">
        <v>700702</v>
      </c>
      <c r="C27" s="5">
        <v>16</v>
      </c>
      <c r="D27" s="5">
        <v>240</v>
      </c>
      <c r="E27" s="5">
        <v>1068</v>
      </c>
      <c r="F27" s="6">
        <v>35491</v>
      </c>
      <c r="G27" s="5" t="s">
        <v>55</v>
      </c>
      <c r="H27" s="7" t="s">
        <v>51</v>
      </c>
      <c r="I27" s="8">
        <v>1</v>
      </c>
      <c r="J27" s="8">
        <v>1</v>
      </c>
      <c r="K27" s="6">
        <v>45243</v>
      </c>
      <c r="L27" s="8">
        <v>1</v>
      </c>
      <c r="M27" s="6">
        <v>45244</v>
      </c>
      <c r="N27" s="5">
        <v>1</v>
      </c>
      <c r="O27" s="8">
        <v>1</v>
      </c>
      <c r="P27" s="6">
        <v>45056</v>
      </c>
      <c r="Q27" s="8">
        <v>1</v>
      </c>
      <c r="R27" s="6">
        <v>45242</v>
      </c>
      <c r="S27" s="8">
        <v>1</v>
      </c>
      <c r="T27" s="6">
        <v>45242</v>
      </c>
      <c r="U27" s="8">
        <v>10</v>
      </c>
      <c r="V27" s="6">
        <v>45172</v>
      </c>
      <c r="W27" s="6">
        <v>45462</v>
      </c>
      <c r="X27" s="8">
        <v>1</v>
      </c>
      <c r="Y27" s="6">
        <v>45246</v>
      </c>
      <c r="Z27" s="5">
        <v>1</v>
      </c>
      <c r="AA27" s="8">
        <v>8.7200000000000006</v>
      </c>
      <c r="AB27" s="6">
        <v>45185</v>
      </c>
      <c r="AC27" s="8">
        <v>1</v>
      </c>
      <c r="AD27" s="8">
        <v>1</v>
      </c>
      <c r="AE27" s="6">
        <v>45243</v>
      </c>
      <c r="AF27" s="5">
        <v>1</v>
      </c>
      <c r="AG27" s="6">
        <v>45340</v>
      </c>
      <c r="AH27" s="8">
        <v>1</v>
      </c>
      <c r="AI27" s="6">
        <v>45341</v>
      </c>
      <c r="AJ27" s="8">
        <v>1</v>
      </c>
      <c r="AK27" s="7" t="s">
        <v>51</v>
      </c>
      <c r="AL27" s="6">
        <v>45428</v>
      </c>
      <c r="AM27" s="8">
        <v>2</v>
      </c>
      <c r="AN27" s="7" t="s">
        <v>51</v>
      </c>
      <c r="AO27" s="7" t="s">
        <v>51</v>
      </c>
      <c r="AP27" s="7" t="s">
        <v>51</v>
      </c>
      <c r="AQ27" s="6">
        <v>45462</v>
      </c>
      <c r="AR27" s="6">
        <v>45489</v>
      </c>
      <c r="AS27" s="8">
        <v>1</v>
      </c>
      <c r="AT27" s="6">
        <v>45497</v>
      </c>
      <c r="AU27" s="5">
        <v>1</v>
      </c>
      <c r="AV27" s="6">
        <v>45498</v>
      </c>
      <c r="AW27" s="5">
        <v>1</v>
      </c>
      <c r="AX27" s="8">
        <v>5</v>
      </c>
      <c r="AY27" s="5" t="s">
        <v>52</v>
      </c>
    </row>
    <row r="28" spans="1:51" ht="15.75" thickBot="1" x14ac:dyDescent="0.3">
      <c r="A28" s="4">
        <v>10</v>
      </c>
      <c r="B28" s="5">
        <v>766229</v>
      </c>
      <c r="C28" s="5">
        <v>18</v>
      </c>
      <c r="D28" s="5">
        <v>226</v>
      </c>
      <c r="E28" s="5">
        <v>6069</v>
      </c>
      <c r="F28" s="6">
        <v>33100</v>
      </c>
      <c r="G28" s="5" t="s">
        <v>55</v>
      </c>
      <c r="H28" s="7" t="s">
        <v>51</v>
      </c>
      <c r="I28" s="8">
        <v>1</v>
      </c>
      <c r="J28" s="8">
        <v>1</v>
      </c>
      <c r="K28" s="6">
        <v>45335</v>
      </c>
      <c r="L28" s="8">
        <v>1</v>
      </c>
      <c r="M28" s="6">
        <v>45336</v>
      </c>
      <c r="N28" s="5">
        <v>1</v>
      </c>
      <c r="O28" s="8">
        <v>1</v>
      </c>
      <c r="P28" s="6">
        <v>45188</v>
      </c>
      <c r="Q28" s="8">
        <v>1</v>
      </c>
      <c r="R28" s="6">
        <v>45333</v>
      </c>
      <c r="S28" s="8">
        <v>1</v>
      </c>
      <c r="T28" s="6">
        <v>45333</v>
      </c>
      <c r="U28" s="8">
        <v>6.1</v>
      </c>
      <c r="V28" s="6">
        <v>45290</v>
      </c>
      <c r="W28" s="6">
        <v>45573</v>
      </c>
      <c r="X28" s="8">
        <v>1</v>
      </c>
      <c r="Y28" s="6">
        <v>45357</v>
      </c>
      <c r="Z28" s="5">
        <v>1</v>
      </c>
      <c r="AA28" s="8">
        <v>9.74</v>
      </c>
      <c r="AB28" s="6">
        <v>45289</v>
      </c>
      <c r="AC28" s="8">
        <v>1</v>
      </c>
      <c r="AD28" s="8">
        <v>1</v>
      </c>
      <c r="AE28" s="6">
        <v>45335</v>
      </c>
      <c r="AF28" s="5">
        <v>1</v>
      </c>
      <c r="AG28" s="6">
        <v>45568</v>
      </c>
      <c r="AH28" s="8">
        <v>2</v>
      </c>
      <c r="AI28" s="7" t="s">
        <v>51</v>
      </c>
      <c r="AJ28" s="9" t="s">
        <v>51</v>
      </c>
      <c r="AK28" s="7" t="s">
        <v>51</v>
      </c>
      <c r="AL28" s="6">
        <v>45568</v>
      </c>
      <c r="AM28" s="8">
        <v>2</v>
      </c>
      <c r="AN28" s="7" t="s">
        <v>51</v>
      </c>
      <c r="AO28" s="7" t="s">
        <v>51</v>
      </c>
      <c r="AP28" s="7" t="s">
        <v>51</v>
      </c>
      <c r="AQ28" s="6">
        <v>45574</v>
      </c>
      <c r="AR28" s="6">
        <v>45624</v>
      </c>
      <c r="AS28" s="8">
        <v>2</v>
      </c>
      <c r="AT28" s="7" t="s">
        <v>51</v>
      </c>
      <c r="AU28" s="5"/>
      <c r="AV28" s="7" t="s">
        <v>51</v>
      </c>
      <c r="AW28" s="5"/>
      <c r="AX28" s="8">
        <v>5</v>
      </c>
      <c r="AY28" s="5" t="s">
        <v>56</v>
      </c>
    </row>
    <row r="29" spans="1:51" ht="67.5" x14ac:dyDescent="0.25">
      <c r="A29" s="10" t="s">
        <v>58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64491-032A-4E4F-81EF-058244DD6DB3}">
  <dimension ref="A1:Q152"/>
  <sheetViews>
    <sheetView workbookViewId="0">
      <selection activeCell="L24" sqref="L24:L25"/>
    </sheetView>
  </sheetViews>
  <sheetFormatPr defaultRowHeight="15" x14ac:dyDescent="0.25"/>
  <cols>
    <col min="5" max="5" width="17.140625" customWidth="1"/>
    <col min="8" max="8" width="35.5703125" customWidth="1"/>
  </cols>
  <sheetData>
    <row r="1" spans="1:10" x14ac:dyDescent="0.25">
      <c r="A1" t="s">
        <v>60</v>
      </c>
      <c r="B1" t="s">
        <v>37</v>
      </c>
      <c r="C1" t="s">
        <v>40</v>
      </c>
      <c r="D1" t="s">
        <v>35</v>
      </c>
      <c r="E1" t="s">
        <v>38</v>
      </c>
      <c r="F1" t="s">
        <v>61</v>
      </c>
      <c r="G1" t="s">
        <v>62</v>
      </c>
    </row>
    <row r="2" spans="1:10" x14ac:dyDescent="0.25">
      <c r="A2" t="s">
        <v>50</v>
      </c>
      <c r="B2" t="s">
        <v>59</v>
      </c>
      <c r="C2" t="s">
        <v>59</v>
      </c>
      <c r="D2" t="s">
        <v>59</v>
      </c>
      <c r="E2">
        <v>6</v>
      </c>
      <c r="F2" t="s">
        <v>59</v>
      </c>
      <c r="G2">
        <v>6</v>
      </c>
      <c r="H2" t="s">
        <v>64</v>
      </c>
      <c r="J2">
        <v>6</v>
      </c>
    </row>
    <row r="3" spans="1:10" x14ac:dyDescent="0.25">
      <c r="A3" t="s">
        <v>50</v>
      </c>
      <c r="B3" t="s">
        <v>59</v>
      </c>
      <c r="C3" t="s">
        <v>59</v>
      </c>
      <c r="D3" t="s">
        <v>59</v>
      </c>
      <c r="E3" t="s">
        <v>59</v>
      </c>
      <c r="F3" t="s">
        <v>59</v>
      </c>
      <c r="G3">
        <v>6</v>
      </c>
    </row>
    <row r="4" spans="1:10" x14ac:dyDescent="0.25">
      <c r="A4" t="s">
        <v>50</v>
      </c>
      <c r="B4" t="s">
        <v>59</v>
      </c>
      <c r="C4" t="s">
        <v>59</v>
      </c>
      <c r="D4">
        <v>66</v>
      </c>
      <c r="E4" t="s">
        <v>59</v>
      </c>
      <c r="F4" t="s">
        <v>59</v>
      </c>
      <c r="G4">
        <v>3</v>
      </c>
    </row>
    <row r="5" spans="1:10" x14ac:dyDescent="0.25">
      <c r="A5" t="s">
        <v>50</v>
      </c>
      <c r="B5" t="s">
        <v>59</v>
      </c>
      <c r="C5" t="s">
        <v>59</v>
      </c>
      <c r="D5">
        <v>66</v>
      </c>
      <c r="E5" t="s">
        <v>59</v>
      </c>
      <c r="F5" t="s">
        <v>59</v>
      </c>
      <c r="G5">
        <v>3</v>
      </c>
      <c r="H5" t="s">
        <v>63</v>
      </c>
    </row>
    <row r="6" spans="1:10" x14ac:dyDescent="0.25">
      <c r="A6" t="s">
        <v>50</v>
      </c>
      <c r="B6" t="s">
        <v>59</v>
      </c>
      <c r="C6" t="s">
        <v>59</v>
      </c>
      <c r="D6" t="s">
        <v>59</v>
      </c>
      <c r="E6" t="s">
        <v>59</v>
      </c>
      <c r="F6" t="s">
        <v>59</v>
      </c>
      <c r="G6">
        <v>9</v>
      </c>
    </row>
    <row r="7" spans="1:10" x14ac:dyDescent="0.25">
      <c r="A7" t="s">
        <v>50</v>
      </c>
      <c r="B7" t="s">
        <v>59</v>
      </c>
      <c r="C7" t="s">
        <v>59</v>
      </c>
      <c r="D7" t="s">
        <v>59</v>
      </c>
      <c r="E7">
        <v>3</v>
      </c>
      <c r="F7">
        <v>5</v>
      </c>
      <c r="G7">
        <v>2</v>
      </c>
      <c r="H7" t="s">
        <v>65</v>
      </c>
    </row>
    <row r="8" spans="1:10" x14ac:dyDescent="0.25">
      <c r="A8" t="s">
        <v>50</v>
      </c>
      <c r="B8" t="s">
        <v>59</v>
      </c>
      <c r="C8" t="s">
        <v>59</v>
      </c>
      <c r="D8" t="s">
        <v>59</v>
      </c>
      <c r="E8" t="s">
        <v>59</v>
      </c>
      <c r="F8">
        <v>5</v>
      </c>
      <c r="G8">
        <v>2</v>
      </c>
    </row>
    <row r="9" spans="1:10" x14ac:dyDescent="0.25">
      <c r="A9" t="s">
        <v>50</v>
      </c>
      <c r="B9" t="s">
        <v>59</v>
      </c>
      <c r="C9" t="s">
        <v>59</v>
      </c>
      <c r="D9" t="s">
        <v>59</v>
      </c>
      <c r="E9" t="s">
        <v>59</v>
      </c>
      <c r="F9">
        <v>5</v>
      </c>
      <c r="G9">
        <v>2</v>
      </c>
    </row>
    <row r="10" spans="1:10" x14ac:dyDescent="0.25">
      <c r="A10" t="s">
        <v>50</v>
      </c>
      <c r="B10" t="s">
        <v>59</v>
      </c>
      <c r="C10" t="s">
        <v>59</v>
      </c>
      <c r="D10" t="s">
        <v>59</v>
      </c>
      <c r="E10">
        <v>3</v>
      </c>
      <c r="F10">
        <v>8</v>
      </c>
      <c r="G10">
        <v>1</v>
      </c>
      <c r="H10" t="s">
        <v>65</v>
      </c>
      <c r="J10">
        <v>4</v>
      </c>
    </row>
    <row r="11" spans="1:10" x14ac:dyDescent="0.25">
      <c r="A11" t="s">
        <v>50</v>
      </c>
      <c r="B11" t="s">
        <v>59</v>
      </c>
      <c r="C11" t="s">
        <v>59</v>
      </c>
      <c r="D11" t="s">
        <v>59</v>
      </c>
      <c r="E11" t="s">
        <v>59</v>
      </c>
      <c r="F11">
        <v>8</v>
      </c>
      <c r="G11">
        <v>1</v>
      </c>
    </row>
    <row r="12" spans="1:10" x14ac:dyDescent="0.25">
      <c r="A12" t="s">
        <v>50</v>
      </c>
      <c r="B12" t="s">
        <v>59</v>
      </c>
      <c r="C12" t="s">
        <v>59</v>
      </c>
      <c r="D12" t="s">
        <v>59</v>
      </c>
      <c r="E12" t="s">
        <v>59</v>
      </c>
      <c r="F12">
        <v>8</v>
      </c>
      <c r="G12">
        <v>1</v>
      </c>
    </row>
    <row r="13" spans="1:10" x14ac:dyDescent="0.25">
      <c r="A13" t="s">
        <v>50</v>
      </c>
      <c r="B13" t="s">
        <v>59</v>
      </c>
      <c r="C13" t="s">
        <v>59</v>
      </c>
      <c r="D13" t="s">
        <v>59</v>
      </c>
      <c r="E13" t="s">
        <v>59</v>
      </c>
      <c r="F13" t="s">
        <v>59</v>
      </c>
      <c r="G13">
        <v>12</v>
      </c>
      <c r="H13" t="s">
        <v>66</v>
      </c>
    </row>
    <row r="14" spans="1:10" x14ac:dyDescent="0.25">
      <c r="A14" t="s">
        <v>50</v>
      </c>
      <c r="B14" t="s">
        <v>59</v>
      </c>
      <c r="C14" t="s">
        <v>59</v>
      </c>
      <c r="D14" t="s">
        <v>59</v>
      </c>
      <c r="E14" t="s">
        <v>59</v>
      </c>
      <c r="F14" t="s">
        <v>59</v>
      </c>
      <c r="G14">
        <v>12</v>
      </c>
      <c r="H14" t="s">
        <v>66</v>
      </c>
    </row>
    <row r="15" spans="1:10" x14ac:dyDescent="0.25">
      <c r="A15" t="s">
        <v>50</v>
      </c>
      <c r="B15">
        <v>1</v>
      </c>
      <c r="C15" t="s">
        <v>59</v>
      </c>
      <c r="D15" t="s">
        <v>59</v>
      </c>
      <c r="E15" t="s">
        <v>59</v>
      </c>
      <c r="F15" t="s">
        <v>59</v>
      </c>
      <c r="G15">
        <v>1</v>
      </c>
      <c r="H15" t="s">
        <v>67</v>
      </c>
    </row>
    <row r="16" spans="1:10" x14ac:dyDescent="0.25">
      <c r="A16" t="s">
        <v>50</v>
      </c>
      <c r="B16">
        <v>1</v>
      </c>
      <c r="C16" t="s">
        <v>59</v>
      </c>
      <c r="D16" t="s">
        <v>59</v>
      </c>
      <c r="E16" t="s">
        <v>59</v>
      </c>
      <c r="F16" t="s">
        <v>59</v>
      </c>
      <c r="G16">
        <v>1</v>
      </c>
    </row>
    <row r="17" spans="1:17" x14ac:dyDescent="0.25">
      <c r="A17" t="s">
        <v>50</v>
      </c>
      <c r="B17">
        <v>1</v>
      </c>
      <c r="C17" t="s">
        <v>59</v>
      </c>
      <c r="D17" t="s">
        <v>59</v>
      </c>
      <c r="E17" t="s">
        <v>59</v>
      </c>
      <c r="F17" t="s">
        <v>59</v>
      </c>
      <c r="G17">
        <v>1</v>
      </c>
    </row>
    <row r="18" spans="1:17" x14ac:dyDescent="0.25">
      <c r="A18" t="s">
        <v>50</v>
      </c>
      <c r="B18">
        <v>1</v>
      </c>
      <c r="C18" t="s">
        <v>59</v>
      </c>
      <c r="D18">
        <v>2</v>
      </c>
      <c r="E18" t="s">
        <v>59</v>
      </c>
      <c r="F18">
        <v>5</v>
      </c>
      <c r="G18">
        <v>1</v>
      </c>
      <c r="H18" t="s">
        <v>65</v>
      </c>
      <c r="J18" t="s">
        <v>70</v>
      </c>
    </row>
    <row r="19" spans="1:17" x14ac:dyDescent="0.25">
      <c r="A19" t="s">
        <v>50</v>
      </c>
      <c r="B19">
        <v>1</v>
      </c>
      <c r="C19" t="s">
        <v>59</v>
      </c>
      <c r="D19">
        <v>2</v>
      </c>
      <c r="E19" t="s">
        <v>59</v>
      </c>
      <c r="F19">
        <v>5</v>
      </c>
      <c r="G19">
        <v>1</v>
      </c>
    </row>
    <row r="20" spans="1:17" x14ac:dyDescent="0.25">
      <c r="A20" t="s">
        <v>50</v>
      </c>
      <c r="B20">
        <v>1</v>
      </c>
      <c r="C20" t="s">
        <v>59</v>
      </c>
      <c r="D20" t="s">
        <v>59</v>
      </c>
      <c r="E20" t="s">
        <v>59</v>
      </c>
      <c r="F20">
        <v>5</v>
      </c>
      <c r="G20">
        <v>1</v>
      </c>
    </row>
    <row r="21" spans="1:17" x14ac:dyDescent="0.25">
      <c r="A21" t="s">
        <v>50</v>
      </c>
      <c r="B21">
        <v>1</v>
      </c>
      <c r="C21" t="s">
        <v>59</v>
      </c>
      <c r="D21" t="s">
        <v>59</v>
      </c>
      <c r="E21" t="s">
        <v>59</v>
      </c>
      <c r="F21" t="s">
        <v>59</v>
      </c>
      <c r="G21">
        <v>2</v>
      </c>
      <c r="Q21" t="s">
        <v>71</v>
      </c>
    </row>
    <row r="22" spans="1:17" x14ac:dyDescent="0.25">
      <c r="A22" t="s">
        <v>50</v>
      </c>
      <c r="B22">
        <v>1</v>
      </c>
      <c r="C22">
        <v>1</v>
      </c>
      <c r="D22" t="s">
        <v>59</v>
      </c>
      <c r="E22" t="s">
        <v>59</v>
      </c>
      <c r="F22" t="s">
        <v>59</v>
      </c>
      <c r="G22">
        <v>6</v>
      </c>
      <c r="H22" t="s">
        <v>68</v>
      </c>
      <c r="I22">
        <v>6</v>
      </c>
    </row>
    <row r="23" spans="1:17" x14ac:dyDescent="0.25">
      <c r="A23" t="s">
        <v>50</v>
      </c>
      <c r="B23">
        <v>1</v>
      </c>
      <c r="C23">
        <v>1</v>
      </c>
      <c r="D23" t="s">
        <v>59</v>
      </c>
      <c r="E23" t="s">
        <v>59</v>
      </c>
      <c r="F23" t="s">
        <v>59</v>
      </c>
      <c r="G23">
        <v>6</v>
      </c>
    </row>
    <row r="24" spans="1:17" x14ac:dyDescent="0.25">
      <c r="A24" t="s">
        <v>50</v>
      </c>
      <c r="B24">
        <v>1</v>
      </c>
      <c r="C24">
        <v>1</v>
      </c>
      <c r="D24" t="s">
        <v>59</v>
      </c>
      <c r="E24" t="s">
        <v>59</v>
      </c>
      <c r="F24" t="s">
        <v>59</v>
      </c>
      <c r="G24">
        <v>6</v>
      </c>
      <c r="Q24" t="s">
        <v>72</v>
      </c>
    </row>
    <row r="25" spans="1:17" x14ac:dyDescent="0.25">
      <c r="A25" t="s">
        <v>50</v>
      </c>
      <c r="B25">
        <v>1</v>
      </c>
      <c r="C25">
        <v>1</v>
      </c>
      <c r="D25" t="s">
        <v>59</v>
      </c>
      <c r="E25" t="s">
        <v>59</v>
      </c>
      <c r="F25">
        <v>5</v>
      </c>
      <c r="G25">
        <v>43</v>
      </c>
      <c r="H25" t="s">
        <v>68</v>
      </c>
      <c r="I25">
        <v>43</v>
      </c>
    </row>
    <row r="26" spans="1:17" x14ac:dyDescent="0.25">
      <c r="A26" t="s">
        <v>50</v>
      </c>
      <c r="B26">
        <v>1</v>
      </c>
      <c r="C26">
        <v>1</v>
      </c>
      <c r="D26" t="s">
        <v>59</v>
      </c>
      <c r="E26" t="s">
        <v>59</v>
      </c>
      <c r="F26">
        <v>5</v>
      </c>
      <c r="G26">
        <v>43</v>
      </c>
    </row>
    <row r="27" spans="1:17" x14ac:dyDescent="0.25">
      <c r="A27" t="s">
        <v>50</v>
      </c>
      <c r="B27">
        <v>1</v>
      </c>
      <c r="C27">
        <v>1</v>
      </c>
      <c r="D27">
        <v>2</v>
      </c>
      <c r="E27" t="s">
        <v>59</v>
      </c>
      <c r="F27">
        <v>5</v>
      </c>
      <c r="G27">
        <v>4</v>
      </c>
      <c r="H27" t="s">
        <v>68</v>
      </c>
      <c r="I27">
        <v>4</v>
      </c>
      <c r="J27" t="s">
        <v>70</v>
      </c>
    </row>
    <row r="28" spans="1:17" x14ac:dyDescent="0.25">
      <c r="A28" t="s">
        <v>50</v>
      </c>
      <c r="B28">
        <v>1</v>
      </c>
      <c r="C28">
        <v>1</v>
      </c>
      <c r="D28">
        <v>2</v>
      </c>
      <c r="E28" t="s">
        <v>59</v>
      </c>
      <c r="F28">
        <v>5</v>
      </c>
      <c r="G28">
        <v>4</v>
      </c>
    </row>
    <row r="29" spans="1:17" x14ac:dyDescent="0.25">
      <c r="A29" t="s">
        <v>50</v>
      </c>
      <c r="B29">
        <v>1</v>
      </c>
      <c r="C29">
        <v>1</v>
      </c>
      <c r="D29" t="s">
        <v>59</v>
      </c>
      <c r="E29" t="s">
        <v>59</v>
      </c>
      <c r="F29">
        <v>5</v>
      </c>
      <c r="G29">
        <v>47</v>
      </c>
      <c r="H29" t="s">
        <v>66</v>
      </c>
    </row>
    <row r="30" spans="1:17" x14ac:dyDescent="0.25">
      <c r="A30" t="s">
        <v>50</v>
      </c>
      <c r="B30">
        <v>1</v>
      </c>
      <c r="C30">
        <v>1</v>
      </c>
      <c r="D30" t="s">
        <v>59</v>
      </c>
      <c r="E30" t="s">
        <v>59</v>
      </c>
      <c r="F30">
        <v>6</v>
      </c>
      <c r="G30">
        <v>1</v>
      </c>
      <c r="H30" t="s">
        <v>68</v>
      </c>
      <c r="I30">
        <v>1</v>
      </c>
    </row>
    <row r="31" spans="1:17" x14ac:dyDescent="0.25">
      <c r="A31" t="s">
        <v>50</v>
      </c>
      <c r="B31">
        <v>1</v>
      </c>
      <c r="C31">
        <v>1</v>
      </c>
      <c r="D31" t="s">
        <v>59</v>
      </c>
      <c r="E31" t="s">
        <v>59</v>
      </c>
      <c r="F31">
        <v>6</v>
      </c>
      <c r="G31">
        <v>1</v>
      </c>
    </row>
    <row r="32" spans="1:17" x14ac:dyDescent="0.25">
      <c r="A32" t="s">
        <v>50</v>
      </c>
      <c r="B32">
        <v>1</v>
      </c>
      <c r="C32">
        <v>1</v>
      </c>
      <c r="D32" t="s">
        <v>59</v>
      </c>
      <c r="E32" t="s">
        <v>59</v>
      </c>
      <c r="F32">
        <v>6</v>
      </c>
      <c r="G32">
        <v>1</v>
      </c>
    </row>
    <row r="33" spans="1:9" x14ac:dyDescent="0.25">
      <c r="A33" t="s">
        <v>50</v>
      </c>
      <c r="B33">
        <v>1</v>
      </c>
      <c r="C33">
        <v>1</v>
      </c>
      <c r="D33" t="s">
        <v>59</v>
      </c>
      <c r="E33" t="s">
        <v>59</v>
      </c>
      <c r="F33" t="s">
        <v>59</v>
      </c>
      <c r="G33">
        <v>54</v>
      </c>
    </row>
    <row r="34" spans="1:9" x14ac:dyDescent="0.25">
      <c r="A34" t="s">
        <v>50</v>
      </c>
      <c r="B34">
        <v>1</v>
      </c>
      <c r="C34" t="s">
        <v>59</v>
      </c>
      <c r="D34" t="s">
        <v>59</v>
      </c>
      <c r="E34" t="s">
        <v>59</v>
      </c>
      <c r="F34" t="s">
        <v>59</v>
      </c>
      <c r="G34">
        <v>56</v>
      </c>
    </row>
    <row r="35" spans="1:9" x14ac:dyDescent="0.25">
      <c r="A35" t="s">
        <v>50</v>
      </c>
      <c r="B35">
        <v>2</v>
      </c>
      <c r="C35" t="s">
        <v>59</v>
      </c>
      <c r="D35" t="s">
        <v>59</v>
      </c>
      <c r="E35" t="s">
        <v>59</v>
      </c>
      <c r="F35">
        <v>0</v>
      </c>
      <c r="G35">
        <v>1</v>
      </c>
      <c r="H35" t="s">
        <v>69</v>
      </c>
    </row>
    <row r="36" spans="1:9" x14ac:dyDescent="0.25">
      <c r="A36" t="s">
        <v>50</v>
      </c>
      <c r="B36">
        <v>2</v>
      </c>
      <c r="C36" t="s">
        <v>59</v>
      </c>
      <c r="D36" t="s">
        <v>59</v>
      </c>
      <c r="E36" t="s">
        <v>59</v>
      </c>
      <c r="F36">
        <v>0</v>
      </c>
      <c r="G36">
        <v>1</v>
      </c>
    </row>
    <row r="37" spans="1:9" x14ac:dyDescent="0.25">
      <c r="A37" t="s">
        <v>50</v>
      </c>
      <c r="B37">
        <v>2</v>
      </c>
      <c r="C37" t="s">
        <v>59</v>
      </c>
      <c r="D37" t="s">
        <v>59</v>
      </c>
      <c r="E37" t="s">
        <v>59</v>
      </c>
      <c r="F37">
        <v>0</v>
      </c>
      <c r="G37">
        <v>1</v>
      </c>
    </row>
    <row r="38" spans="1:9" x14ac:dyDescent="0.25">
      <c r="A38" t="s">
        <v>50</v>
      </c>
      <c r="B38">
        <v>2</v>
      </c>
      <c r="C38" t="s">
        <v>59</v>
      </c>
      <c r="D38" t="s">
        <v>59</v>
      </c>
      <c r="E38" t="s">
        <v>59</v>
      </c>
      <c r="F38">
        <v>5</v>
      </c>
      <c r="G38">
        <v>3</v>
      </c>
      <c r="H38" t="s">
        <v>69</v>
      </c>
      <c r="I38">
        <v>4</v>
      </c>
    </row>
    <row r="39" spans="1:9" x14ac:dyDescent="0.25">
      <c r="A39" t="s">
        <v>50</v>
      </c>
      <c r="B39">
        <v>2</v>
      </c>
      <c r="C39" t="s">
        <v>59</v>
      </c>
      <c r="D39" t="s">
        <v>59</v>
      </c>
      <c r="E39" t="s">
        <v>59</v>
      </c>
      <c r="F39">
        <v>5</v>
      </c>
      <c r="G39">
        <v>3</v>
      </c>
    </row>
    <row r="40" spans="1:9" x14ac:dyDescent="0.25">
      <c r="A40" t="s">
        <v>50</v>
      </c>
      <c r="B40">
        <v>2</v>
      </c>
      <c r="C40" t="s">
        <v>59</v>
      </c>
      <c r="D40" t="s">
        <v>59</v>
      </c>
      <c r="E40" t="s">
        <v>59</v>
      </c>
      <c r="F40">
        <v>5</v>
      </c>
      <c r="G40">
        <v>3</v>
      </c>
    </row>
    <row r="41" spans="1:9" x14ac:dyDescent="0.25">
      <c r="A41" t="s">
        <v>50</v>
      </c>
      <c r="B41">
        <v>2</v>
      </c>
      <c r="C41" t="s">
        <v>59</v>
      </c>
      <c r="D41" t="s">
        <v>59</v>
      </c>
      <c r="E41" t="s">
        <v>59</v>
      </c>
      <c r="F41" t="s">
        <v>59</v>
      </c>
      <c r="G41">
        <v>4</v>
      </c>
    </row>
    <row r="42" spans="1:9" x14ac:dyDescent="0.25">
      <c r="A42" t="s">
        <v>50</v>
      </c>
      <c r="B42">
        <v>2</v>
      </c>
      <c r="C42" t="s">
        <v>59</v>
      </c>
      <c r="D42" t="s">
        <v>59</v>
      </c>
      <c r="E42" t="s">
        <v>59</v>
      </c>
      <c r="F42" t="s">
        <v>59</v>
      </c>
      <c r="G42">
        <v>4</v>
      </c>
    </row>
    <row r="43" spans="1:9" x14ac:dyDescent="0.25">
      <c r="A43" t="s">
        <v>50</v>
      </c>
      <c r="B43" t="s">
        <v>59</v>
      </c>
      <c r="C43" t="s">
        <v>59</v>
      </c>
      <c r="D43" t="s">
        <v>59</v>
      </c>
      <c r="E43" t="s">
        <v>59</v>
      </c>
      <c r="F43" t="s">
        <v>59</v>
      </c>
      <c r="G43">
        <v>72</v>
      </c>
    </row>
    <row r="44" spans="1:9" x14ac:dyDescent="0.25">
      <c r="A44" t="s">
        <v>53</v>
      </c>
      <c r="B44" t="s">
        <v>59</v>
      </c>
      <c r="C44" t="s">
        <v>59</v>
      </c>
      <c r="D44" t="s">
        <v>59</v>
      </c>
      <c r="E44">
        <v>6</v>
      </c>
      <c r="F44" t="s">
        <v>59</v>
      </c>
      <c r="G44">
        <v>5</v>
      </c>
    </row>
    <row r="45" spans="1:9" x14ac:dyDescent="0.25">
      <c r="A45" t="s">
        <v>53</v>
      </c>
      <c r="B45" t="s">
        <v>59</v>
      </c>
      <c r="C45" t="s">
        <v>59</v>
      </c>
      <c r="D45" t="s">
        <v>59</v>
      </c>
      <c r="E45" t="s">
        <v>59</v>
      </c>
      <c r="F45" t="s">
        <v>59</v>
      </c>
      <c r="G45">
        <v>5</v>
      </c>
    </row>
    <row r="46" spans="1:9" x14ac:dyDescent="0.25">
      <c r="A46" t="s">
        <v>53</v>
      </c>
      <c r="B46" t="s">
        <v>59</v>
      </c>
      <c r="C46" t="s">
        <v>59</v>
      </c>
      <c r="D46">
        <v>6</v>
      </c>
      <c r="E46">
        <v>6</v>
      </c>
      <c r="F46" t="s">
        <v>59</v>
      </c>
      <c r="G46">
        <v>1</v>
      </c>
    </row>
    <row r="47" spans="1:9" x14ac:dyDescent="0.25">
      <c r="A47" t="s">
        <v>53</v>
      </c>
      <c r="B47" t="s">
        <v>59</v>
      </c>
      <c r="C47" t="s">
        <v>59</v>
      </c>
      <c r="D47">
        <v>6</v>
      </c>
      <c r="E47" t="s">
        <v>59</v>
      </c>
      <c r="F47" t="s">
        <v>59</v>
      </c>
      <c r="G47">
        <v>1</v>
      </c>
    </row>
    <row r="48" spans="1:9" x14ac:dyDescent="0.25">
      <c r="A48" t="s">
        <v>53</v>
      </c>
      <c r="B48" t="s">
        <v>59</v>
      </c>
      <c r="C48" t="s">
        <v>59</v>
      </c>
      <c r="D48">
        <v>66</v>
      </c>
      <c r="E48" t="s">
        <v>59</v>
      </c>
      <c r="F48" t="s">
        <v>59</v>
      </c>
      <c r="G48">
        <v>1</v>
      </c>
    </row>
    <row r="49" spans="1:7" x14ac:dyDescent="0.25">
      <c r="A49" t="s">
        <v>53</v>
      </c>
      <c r="B49" t="s">
        <v>59</v>
      </c>
      <c r="C49" t="s">
        <v>59</v>
      </c>
      <c r="D49">
        <v>66</v>
      </c>
      <c r="E49" t="s">
        <v>59</v>
      </c>
      <c r="F49" t="s">
        <v>59</v>
      </c>
      <c r="G49">
        <v>1</v>
      </c>
    </row>
    <row r="50" spans="1:7" x14ac:dyDescent="0.25">
      <c r="A50" t="s">
        <v>53</v>
      </c>
      <c r="B50" t="s">
        <v>59</v>
      </c>
      <c r="C50" t="s">
        <v>59</v>
      </c>
      <c r="D50" t="s">
        <v>59</v>
      </c>
      <c r="E50" t="s">
        <v>59</v>
      </c>
      <c r="F50" t="s">
        <v>59</v>
      </c>
      <c r="G50">
        <v>7</v>
      </c>
    </row>
    <row r="51" spans="1:7" x14ac:dyDescent="0.25">
      <c r="A51" t="s">
        <v>53</v>
      </c>
      <c r="B51" t="s">
        <v>59</v>
      </c>
      <c r="C51" t="s">
        <v>59</v>
      </c>
      <c r="D51">
        <v>3</v>
      </c>
      <c r="E51" t="s">
        <v>59</v>
      </c>
      <c r="F51">
        <v>2</v>
      </c>
      <c r="G51">
        <v>1</v>
      </c>
    </row>
    <row r="52" spans="1:7" x14ac:dyDescent="0.25">
      <c r="A52" t="s">
        <v>53</v>
      </c>
      <c r="B52" t="s">
        <v>59</v>
      </c>
      <c r="C52" t="s">
        <v>59</v>
      </c>
      <c r="D52">
        <v>3</v>
      </c>
      <c r="E52" t="s">
        <v>59</v>
      </c>
      <c r="F52">
        <v>2</v>
      </c>
      <c r="G52">
        <v>1</v>
      </c>
    </row>
    <row r="53" spans="1:7" x14ac:dyDescent="0.25">
      <c r="A53" t="s">
        <v>53</v>
      </c>
      <c r="B53" t="s">
        <v>59</v>
      </c>
      <c r="C53" t="s">
        <v>59</v>
      </c>
      <c r="D53" t="s">
        <v>59</v>
      </c>
      <c r="E53" t="s">
        <v>59</v>
      </c>
      <c r="F53">
        <v>2</v>
      </c>
      <c r="G53">
        <v>1</v>
      </c>
    </row>
    <row r="54" spans="1:7" x14ac:dyDescent="0.25">
      <c r="A54" t="s">
        <v>53</v>
      </c>
      <c r="B54" t="s">
        <v>59</v>
      </c>
      <c r="C54" t="s">
        <v>59</v>
      </c>
      <c r="D54" t="s">
        <v>59</v>
      </c>
      <c r="E54">
        <v>3</v>
      </c>
      <c r="F54">
        <v>5</v>
      </c>
      <c r="G54">
        <v>2</v>
      </c>
    </row>
    <row r="55" spans="1:7" x14ac:dyDescent="0.25">
      <c r="A55" t="s">
        <v>53</v>
      </c>
      <c r="B55" t="s">
        <v>59</v>
      </c>
      <c r="C55" t="s">
        <v>59</v>
      </c>
      <c r="D55" t="s">
        <v>59</v>
      </c>
      <c r="E55" t="s">
        <v>59</v>
      </c>
      <c r="F55">
        <v>5</v>
      </c>
      <c r="G55">
        <v>2</v>
      </c>
    </row>
    <row r="56" spans="1:7" x14ac:dyDescent="0.25">
      <c r="A56" t="s">
        <v>53</v>
      </c>
      <c r="B56" t="s">
        <v>59</v>
      </c>
      <c r="C56" t="s">
        <v>59</v>
      </c>
      <c r="D56">
        <v>8</v>
      </c>
      <c r="E56">
        <v>7</v>
      </c>
      <c r="F56">
        <v>5</v>
      </c>
      <c r="G56">
        <v>1</v>
      </c>
    </row>
    <row r="57" spans="1:7" x14ac:dyDescent="0.25">
      <c r="A57" t="s">
        <v>53</v>
      </c>
      <c r="B57" t="s">
        <v>59</v>
      </c>
      <c r="C57" t="s">
        <v>59</v>
      </c>
      <c r="D57">
        <v>8</v>
      </c>
      <c r="E57" t="s">
        <v>59</v>
      </c>
      <c r="F57">
        <v>5</v>
      </c>
      <c r="G57">
        <v>1</v>
      </c>
    </row>
    <row r="58" spans="1:7" x14ac:dyDescent="0.25">
      <c r="A58" t="s">
        <v>53</v>
      </c>
      <c r="B58" t="s">
        <v>59</v>
      </c>
      <c r="C58" t="s">
        <v>59</v>
      </c>
      <c r="D58" t="s">
        <v>59</v>
      </c>
      <c r="E58" t="s">
        <v>59</v>
      </c>
      <c r="F58">
        <v>5</v>
      </c>
      <c r="G58">
        <v>3</v>
      </c>
    </row>
    <row r="59" spans="1:7" x14ac:dyDescent="0.25">
      <c r="A59" t="s">
        <v>53</v>
      </c>
      <c r="B59" t="s">
        <v>59</v>
      </c>
      <c r="C59" t="s">
        <v>59</v>
      </c>
      <c r="D59" t="s">
        <v>59</v>
      </c>
      <c r="E59" t="s">
        <v>59</v>
      </c>
      <c r="F59" t="s">
        <v>59</v>
      </c>
      <c r="G59">
        <v>11</v>
      </c>
    </row>
    <row r="60" spans="1:7" x14ac:dyDescent="0.25">
      <c r="A60" t="s">
        <v>53</v>
      </c>
      <c r="B60" t="s">
        <v>59</v>
      </c>
      <c r="C60" t="s">
        <v>59</v>
      </c>
      <c r="D60" t="s">
        <v>59</v>
      </c>
      <c r="E60" t="s">
        <v>59</v>
      </c>
      <c r="F60" t="s">
        <v>59</v>
      </c>
      <c r="G60">
        <v>11</v>
      </c>
    </row>
    <row r="61" spans="1:7" x14ac:dyDescent="0.25">
      <c r="A61" t="s">
        <v>53</v>
      </c>
      <c r="B61">
        <v>1</v>
      </c>
      <c r="C61" t="s">
        <v>59</v>
      </c>
      <c r="D61" t="s">
        <v>59</v>
      </c>
      <c r="E61" t="s">
        <v>59</v>
      </c>
      <c r="F61" t="s">
        <v>59</v>
      </c>
      <c r="G61">
        <v>2</v>
      </c>
    </row>
    <row r="62" spans="1:7" x14ac:dyDescent="0.25">
      <c r="A62" t="s">
        <v>53</v>
      </c>
      <c r="B62">
        <v>1</v>
      </c>
      <c r="C62" t="s">
        <v>59</v>
      </c>
      <c r="D62" t="s">
        <v>59</v>
      </c>
      <c r="E62" t="s">
        <v>59</v>
      </c>
      <c r="F62" t="s">
        <v>59</v>
      </c>
      <c r="G62">
        <v>2</v>
      </c>
    </row>
    <row r="63" spans="1:7" x14ac:dyDescent="0.25">
      <c r="A63" t="s">
        <v>53</v>
      </c>
      <c r="B63">
        <v>1</v>
      </c>
      <c r="C63" t="s">
        <v>59</v>
      </c>
      <c r="D63" t="s">
        <v>59</v>
      </c>
      <c r="E63" t="s">
        <v>59</v>
      </c>
      <c r="F63" t="s">
        <v>59</v>
      </c>
      <c r="G63">
        <v>2</v>
      </c>
    </row>
    <row r="64" spans="1:7" x14ac:dyDescent="0.25">
      <c r="A64" t="s">
        <v>53</v>
      </c>
      <c r="B64">
        <v>1</v>
      </c>
      <c r="C64" t="s">
        <v>59</v>
      </c>
      <c r="D64" t="s">
        <v>59</v>
      </c>
      <c r="E64" t="s">
        <v>59</v>
      </c>
      <c r="F64">
        <v>5</v>
      </c>
      <c r="G64">
        <v>2</v>
      </c>
    </row>
    <row r="65" spans="1:7" x14ac:dyDescent="0.25">
      <c r="A65" t="s">
        <v>53</v>
      </c>
      <c r="B65">
        <v>1</v>
      </c>
      <c r="C65" t="s">
        <v>59</v>
      </c>
      <c r="D65" t="s">
        <v>59</v>
      </c>
      <c r="E65" t="s">
        <v>59</v>
      </c>
      <c r="F65">
        <v>5</v>
      </c>
      <c r="G65">
        <v>2</v>
      </c>
    </row>
    <row r="66" spans="1:7" x14ac:dyDescent="0.25">
      <c r="A66" t="s">
        <v>53</v>
      </c>
      <c r="B66">
        <v>1</v>
      </c>
      <c r="C66" t="s">
        <v>59</v>
      </c>
      <c r="D66" t="s">
        <v>59</v>
      </c>
      <c r="E66" t="s">
        <v>59</v>
      </c>
      <c r="F66">
        <v>5</v>
      </c>
      <c r="G66">
        <v>2</v>
      </c>
    </row>
    <row r="67" spans="1:7" x14ac:dyDescent="0.25">
      <c r="A67" t="s">
        <v>53</v>
      </c>
      <c r="B67">
        <v>1</v>
      </c>
      <c r="C67" t="s">
        <v>59</v>
      </c>
      <c r="D67" t="s">
        <v>59</v>
      </c>
      <c r="E67" t="s">
        <v>59</v>
      </c>
      <c r="F67" t="s">
        <v>59</v>
      </c>
      <c r="G67">
        <v>4</v>
      </c>
    </row>
    <row r="68" spans="1:7" x14ac:dyDescent="0.25">
      <c r="A68" t="s">
        <v>53</v>
      </c>
      <c r="B68">
        <v>1</v>
      </c>
      <c r="C68">
        <v>1</v>
      </c>
      <c r="D68" t="s">
        <v>59</v>
      </c>
      <c r="E68" t="s">
        <v>59</v>
      </c>
      <c r="F68" t="s">
        <v>59</v>
      </c>
      <c r="G68">
        <v>5</v>
      </c>
    </row>
    <row r="69" spans="1:7" x14ac:dyDescent="0.25">
      <c r="A69" t="s">
        <v>53</v>
      </c>
      <c r="B69">
        <v>1</v>
      </c>
      <c r="C69">
        <v>1</v>
      </c>
      <c r="D69" t="s">
        <v>59</v>
      </c>
      <c r="E69" t="s">
        <v>59</v>
      </c>
      <c r="F69" t="s">
        <v>59</v>
      </c>
      <c r="G69">
        <v>5</v>
      </c>
    </row>
    <row r="70" spans="1:7" x14ac:dyDescent="0.25">
      <c r="A70" t="s">
        <v>53</v>
      </c>
      <c r="B70">
        <v>1</v>
      </c>
      <c r="C70">
        <v>1</v>
      </c>
      <c r="D70" t="s">
        <v>59</v>
      </c>
      <c r="E70" t="s">
        <v>59</v>
      </c>
      <c r="F70" t="s">
        <v>59</v>
      </c>
      <c r="G70">
        <v>5</v>
      </c>
    </row>
    <row r="71" spans="1:7" x14ac:dyDescent="0.25">
      <c r="A71" t="s">
        <v>53</v>
      </c>
      <c r="B71">
        <v>1</v>
      </c>
      <c r="C71">
        <v>1</v>
      </c>
      <c r="D71" t="s">
        <v>59</v>
      </c>
      <c r="E71" t="s">
        <v>59</v>
      </c>
      <c r="F71">
        <v>5</v>
      </c>
      <c r="G71">
        <v>46</v>
      </c>
    </row>
    <row r="72" spans="1:7" x14ac:dyDescent="0.25">
      <c r="A72" t="s">
        <v>53</v>
      </c>
      <c r="B72">
        <v>1</v>
      </c>
      <c r="C72">
        <v>1</v>
      </c>
      <c r="D72" t="s">
        <v>59</v>
      </c>
      <c r="E72" t="s">
        <v>59</v>
      </c>
      <c r="F72">
        <v>5</v>
      </c>
      <c r="G72">
        <v>46</v>
      </c>
    </row>
    <row r="73" spans="1:7" x14ac:dyDescent="0.25">
      <c r="A73" t="s">
        <v>53</v>
      </c>
      <c r="B73">
        <v>1</v>
      </c>
      <c r="C73">
        <v>1</v>
      </c>
      <c r="D73">
        <v>2</v>
      </c>
      <c r="E73" t="s">
        <v>59</v>
      </c>
      <c r="F73">
        <v>5</v>
      </c>
      <c r="G73">
        <v>3</v>
      </c>
    </row>
    <row r="74" spans="1:7" x14ac:dyDescent="0.25">
      <c r="A74" t="s">
        <v>53</v>
      </c>
      <c r="B74">
        <v>1</v>
      </c>
      <c r="C74">
        <v>1</v>
      </c>
      <c r="D74">
        <v>2</v>
      </c>
      <c r="E74" t="s">
        <v>59</v>
      </c>
      <c r="F74">
        <v>5</v>
      </c>
      <c r="G74">
        <v>3</v>
      </c>
    </row>
    <row r="75" spans="1:7" x14ac:dyDescent="0.25">
      <c r="A75" t="s">
        <v>53</v>
      </c>
      <c r="B75">
        <v>1</v>
      </c>
      <c r="C75">
        <v>1</v>
      </c>
      <c r="D75" t="s">
        <v>59</v>
      </c>
      <c r="E75" t="s">
        <v>59</v>
      </c>
      <c r="F75">
        <v>5</v>
      </c>
      <c r="G75">
        <v>49</v>
      </c>
    </row>
    <row r="76" spans="1:7" x14ac:dyDescent="0.25">
      <c r="A76" t="s">
        <v>53</v>
      </c>
      <c r="B76">
        <v>1</v>
      </c>
      <c r="C76">
        <v>1</v>
      </c>
      <c r="D76" t="s">
        <v>59</v>
      </c>
      <c r="E76" t="s">
        <v>59</v>
      </c>
      <c r="F76" t="s">
        <v>59</v>
      </c>
      <c r="G76">
        <v>54</v>
      </c>
    </row>
    <row r="77" spans="1:7" x14ac:dyDescent="0.25">
      <c r="A77" t="s">
        <v>53</v>
      </c>
      <c r="B77">
        <v>1</v>
      </c>
      <c r="C77">
        <v>66</v>
      </c>
      <c r="D77">
        <v>2</v>
      </c>
      <c r="E77" t="s">
        <v>59</v>
      </c>
      <c r="F77">
        <v>5</v>
      </c>
      <c r="G77">
        <v>1</v>
      </c>
    </row>
    <row r="78" spans="1:7" x14ac:dyDescent="0.25">
      <c r="A78" t="s">
        <v>53</v>
      </c>
      <c r="B78">
        <v>1</v>
      </c>
      <c r="C78">
        <v>66</v>
      </c>
      <c r="D78">
        <v>2</v>
      </c>
      <c r="E78" t="s">
        <v>59</v>
      </c>
      <c r="F78">
        <v>5</v>
      </c>
      <c r="G78">
        <v>1</v>
      </c>
    </row>
    <row r="79" spans="1:7" x14ac:dyDescent="0.25">
      <c r="A79" t="s">
        <v>53</v>
      </c>
      <c r="B79">
        <v>1</v>
      </c>
      <c r="C79">
        <v>66</v>
      </c>
      <c r="D79" t="s">
        <v>59</v>
      </c>
      <c r="E79" t="s">
        <v>59</v>
      </c>
      <c r="F79">
        <v>5</v>
      </c>
      <c r="G79">
        <v>1</v>
      </c>
    </row>
    <row r="80" spans="1:7" x14ac:dyDescent="0.25">
      <c r="A80" t="s">
        <v>53</v>
      </c>
      <c r="B80">
        <v>1</v>
      </c>
      <c r="C80">
        <v>66</v>
      </c>
      <c r="D80" t="s">
        <v>59</v>
      </c>
      <c r="E80" t="s">
        <v>59</v>
      </c>
      <c r="F80" t="s">
        <v>59</v>
      </c>
      <c r="G80">
        <v>1</v>
      </c>
    </row>
    <row r="81" spans="1:7" x14ac:dyDescent="0.25">
      <c r="A81" t="s">
        <v>53</v>
      </c>
      <c r="B81">
        <v>1</v>
      </c>
      <c r="C81" t="s">
        <v>59</v>
      </c>
      <c r="D81" t="s">
        <v>59</v>
      </c>
      <c r="E81" t="s">
        <v>59</v>
      </c>
      <c r="F81" t="s">
        <v>59</v>
      </c>
      <c r="G81">
        <v>59</v>
      </c>
    </row>
    <row r="82" spans="1:7" x14ac:dyDescent="0.25">
      <c r="A82" t="s">
        <v>53</v>
      </c>
      <c r="B82">
        <v>2</v>
      </c>
      <c r="C82" t="s">
        <v>59</v>
      </c>
      <c r="D82" t="s">
        <v>59</v>
      </c>
      <c r="E82" t="s">
        <v>59</v>
      </c>
      <c r="F82">
        <v>5</v>
      </c>
      <c r="G82">
        <v>3</v>
      </c>
    </row>
    <row r="83" spans="1:7" x14ac:dyDescent="0.25">
      <c r="A83" t="s">
        <v>53</v>
      </c>
      <c r="B83">
        <v>2</v>
      </c>
      <c r="C83" t="s">
        <v>59</v>
      </c>
      <c r="D83" t="s">
        <v>59</v>
      </c>
      <c r="E83" t="s">
        <v>59</v>
      </c>
      <c r="F83">
        <v>5</v>
      </c>
      <c r="G83">
        <v>3</v>
      </c>
    </row>
    <row r="84" spans="1:7" x14ac:dyDescent="0.25">
      <c r="A84" t="s">
        <v>53</v>
      </c>
      <c r="B84">
        <v>2</v>
      </c>
      <c r="C84" t="s">
        <v>59</v>
      </c>
      <c r="D84" t="s">
        <v>59</v>
      </c>
      <c r="E84" t="s">
        <v>59</v>
      </c>
      <c r="F84">
        <v>5</v>
      </c>
      <c r="G84">
        <v>3</v>
      </c>
    </row>
    <row r="85" spans="1:7" x14ac:dyDescent="0.25">
      <c r="A85" t="s">
        <v>53</v>
      </c>
      <c r="B85">
        <v>2</v>
      </c>
      <c r="C85" t="s">
        <v>59</v>
      </c>
      <c r="D85" t="s">
        <v>59</v>
      </c>
      <c r="E85" t="s">
        <v>59</v>
      </c>
      <c r="F85" t="s">
        <v>59</v>
      </c>
      <c r="G85">
        <v>3</v>
      </c>
    </row>
    <row r="86" spans="1:7" x14ac:dyDescent="0.25">
      <c r="A86" t="s">
        <v>53</v>
      </c>
      <c r="B86">
        <v>2</v>
      </c>
      <c r="C86" t="s">
        <v>59</v>
      </c>
      <c r="D86" t="s">
        <v>59</v>
      </c>
      <c r="E86" t="s">
        <v>59</v>
      </c>
      <c r="F86" t="s">
        <v>59</v>
      </c>
      <c r="G86">
        <v>3</v>
      </c>
    </row>
    <row r="87" spans="1:7" x14ac:dyDescent="0.25">
      <c r="A87" t="s">
        <v>53</v>
      </c>
      <c r="B87" t="s">
        <v>59</v>
      </c>
      <c r="C87" t="s">
        <v>59</v>
      </c>
      <c r="D87" t="s">
        <v>59</v>
      </c>
      <c r="E87" t="s">
        <v>59</v>
      </c>
      <c r="F87" t="s">
        <v>59</v>
      </c>
      <c r="G87">
        <v>73</v>
      </c>
    </row>
    <row r="88" spans="1:7" x14ac:dyDescent="0.25">
      <c r="A88" t="s">
        <v>54</v>
      </c>
      <c r="B88" t="s">
        <v>59</v>
      </c>
      <c r="C88" t="s">
        <v>59</v>
      </c>
      <c r="D88" t="s">
        <v>59</v>
      </c>
      <c r="E88">
        <v>6</v>
      </c>
      <c r="F88" t="s">
        <v>59</v>
      </c>
      <c r="G88">
        <v>9</v>
      </c>
    </row>
    <row r="89" spans="1:7" x14ac:dyDescent="0.25">
      <c r="A89" t="s">
        <v>54</v>
      </c>
      <c r="B89" t="s">
        <v>59</v>
      </c>
      <c r="C89" t="s">
        <v>59</v>
      </c>
      <c r="D89" t="s">
        <v>59</v>
      </c>
      <c r="E89" t="s">
        <v>59</v>
      </c>
      <c r="F89" t="s">
        <v>59</v>
      </c>
      <c r="G89">
        <v>9</v>
      </c>
    </row>
    <row r="90" spans="1:7" x14ac:dyDescent="0.25">
      <c r="A90" t="s">
        <v>54</v>
      </c>
      <c r="B90" t="s">
        <v>59</v>
      </c>
      <c r="C90" t="s">
        <v>59</v>
      </c>
      <c r="D90" t="s">
        <v>59</v>
      </c>
      <c r="E90" t="s">
        <v>59</v>
      </c>
      <c r="F90" t="s">
        <v>59</v>
      </c>
      <c r="G90">
        <v>9</v>
      </c>
    </row>
    <row r="91" spans="1:7" x14ac:dyDescent="0.25">
      <c r="A91" t="s">
        <v>54</v>
      </c>
      <c r="B91" t="s">
        <v>59</v>
      </c>
      <c r="C91" t="s">
        <v>59</v>
      </c>
      <c r="D91">
        <v>3</v>
      </c>
      <c r="E91" t="s">
        <v>59</v>
      </c>
      <c r="F91">
        <v>2</v>
      </c>
      <c r="G91">
        <v>1</v>
      </c>
    </row>
    <row r="92" spans="1:7" x14ac:dyDescent="0.25">
      <c r="A92" t="s">
        <v>54</v>
      </c>
      <c r="B92" t="s">
        <v>59</v>
      </c>
      <c r="C92" t="s">
        <v>59</v>
      </c>
      <c r="D92">
        <v>3</v>
      </c>
      <c r="E92" t="s">
        <v>59</v>
      </c>
      <c r="F92">
        <v>2</v>
      </c>
      <c r="G92">
        <v>1</v>
      </c>
    </row>
    <row r="93" spans="1:7" x14ac:dyDescent="0.25">
      <c r="A93" t="s">
        <v>54</v>
      </c>
      <c r="B93" t="s">
        <v>59</v>
      </c>
      <c r="C93" t="s">
        <v>59</v>
      </c>
      <c r="D93" t="s">
        <v>59</v>
      </c>
      <c r="E93" t="s">
        <v>59</v>
      </c>
      <c r="F93">
        <v>2</v>
      </c>
      <c r="G93">
        <v>1</v>
      </c>
    </row>
    <row r="94" spans="1:7" x14ac:dyDescent="0.25">
      <c r="A94" t="s">
        <v>54</v>
      </c>
      <c r="B94" t="s">
        <v>59</v>
      </c>
      <c r="C94" t="s">
        <v>59</v>
      </c>
      <c r="D94" t="s">
        <v>59</v>
      </c>
      <c r="E94">
        <v>3</v>
      </c>
      <c r="F94">
        <v>5</v>
      </c>
      <c r="G94">
        <v>1</v>
      </c>
    </row>
    <row r="95" spans="1:7" x14ac:dyDescent="0.25">
      <c r="A95" t="s">
        <v>54</v>
      </c>
      <c r="B95" t="s">
        <v>59</v>
      </c>
      <c r="C95" t="s">
        <v>59</v>
      </c>
      <c r="D95" t="s">
        <v>59</v>
      </c>
      <c r="E95">
        <v>4</v>
      </c>
      <c r="F95">
        <v>5</v>
      </c>
      <c r="G95">
        <v>1</v>
      </c>
    </row>
    <row r="96" spans="1:7" x14ac:dyDescent="0.25">
      <c r="A96" t="s">
        <v>54</v>
      </c>
      <c r="B96" t="s">
        <v>59</v>
      </c>
      <c r="C96" t="s">
        <v>59</v>
      </c>
      <c r="D96" t="s">
        <v>59</v>
      </c>
      <c r="E96" t="s">
        <v>59</v>
      </c>
      <c r="F96">
        <v>5</v>
      </c>
      <c r="G96">
        <v>2</v>
      </c>
    </row>
    <row r="97" spans="1:7" x14ac:dyDescent="0.25">
      <c r="A97" t="s">
        <v>54</v>
      </c>
      <c r="B97" t="s">
        <v>59</v>
      </c>
      <c r="C97" t="s">
        <v>59</v>
      </c>
      <c r="D97" t="s">
        <v>59</v>
      </c>
      <c r="E97" t="s">
        <v>59</v>
      </c>
      <c r="F97">
        <v>5</v>
      </c>
      <c r="G97">
        <v>2</v>
      </c>
    </row>
    <row r="98" spans="1:7" x14ac:dyDescent="0.25">
      <c r="A98" t="s">
        <v>54</v>
      </c>
      <c r="B98" t="s">
        <v>59</v>
      </c>
      <c r="C98" t="s">
        <v>59</v>
      </c>
      <c r="D98" t="s">
        <v>59</v>
      </c>
      <c r="E98">
        <v>3</v>
      </c>
      <c r="F98">
        <v>6</v>
      </c>
      <c r="G98">
        <v>1</v>
      </c>
    </row>
    <row r="99" spans="1:7" x14ac:dyDescent="0.25">
      <c r="A99" t="s">
        <v>54</v>
      </c>
      <c r="B99" t="s">
        <v>59</v>
      </c>
      <c r="C99" t="s">
        <v>59</v>
      </c>
      <c r="D99" t="s">
        <v>59</v>
      </c>
      <c r="E99" t="s">
        <v>59</v>
      </c>
      <c r="F99">
        <v>6</v>
      </c>
      <c r="G99">
        <v>1</v>
      </c>
    </row>
    <row r="100" spans="1:7" x14ac:dyDescent="0.25">
      <c r="A100" t="s">
        <v>54</v>
      </c>
      <c r="B100" t="s">
        <v>59</v>
      </c>
      <c r="C100" t="s">
        <v>59</v>
      </c>
      <c r="D100" t="s">
        <v>59</v>
      </c>
      <c r="E100" t="s">
        <v>59</v>
      </c>
      <c r="F100">
        <v>6</v>
      </c>
      <c r="G100">
        <v>1</v>
      </c>
    </row>
    <row r="101" spans="1:7" x14ac:dyDescent="0.25">
      <c r="A101" t="s">
        <v>54</v>
      </c>
      <c r="B101" t="s">
        <v>59</v>
      </c>
      <c r="C101" t="s">
        <v>59</v>
      </c>
      <c r="D101" t="s">
        <v>59</v>
      </c>
      <c r="E101" t="s">
        <v>59</v>
      </c>
      <c r="F101" t="s">
        <v>59</v>
      </c>
      <c r="G101">
        <v>13</v>
      </c>
    </row>
    <row r="102" spans="1:7" x14ac:dyDescent="0.25">
      <c r="A102" t="s">
        <v>54</v>
      </c>
      <c r="B102" t="s">
        <v>59</v>
      </c>
      <c r="C102" t="s">
        <v>59</v>
      </c>
      <c r="D102" t="s">
        <v>59</v>
      </c>
      <c r="E102" t="s">
        <v>59</v>
      </c>
      <c r="F102" t="s">
        <v>59</v>
      </c>
      <c r="G102">
        <v>13</v>
      </c>
    </row>
    <row r="103" spans="1:7" x14ac:dyDescent="0.25">
      <c r="A103" t="s">
        <v>54</v>
      </c>
      <c r="B103">
        <v>1</v>
      </c>
      <c r="C103">
        <v>1</v>
      </c>
      <c r="D103" t="s">
        <v>59</v>
      </c>
      <c r="E103" t="s">
        <v>59</v>
      </c>
      <c r="F103" t="s">
        <v>59</v>
      </c>
      <c r="G103">
        <v>5</v>
      </c>
    </row>
    <row r="104" spans="1:7" x14ac:dyDescent="0.25">
      <c r="A104" t="s">
        <v>54</v>
      </c>
      <c r="B104">
        <v>1</v>
      </c>
      <c r="C104">
        <v>1</v>
      </c>
      <c r="D104" t="s">
        <v>59</v>
      </c>
      <c r="E104" t="s">
        <v>59</v>
      </c>
      <c r="F104" t="s">
        <v>59</v>
      </c>
      <c r="G104">
        <v>5</v>
      </c>
    </row>
    <row r="105" spans="1:7" x14ac:dyDescent="0.25">
      <c r="A105" t="s">
        <v>54</v>
      </c>
      <c r="B105">
        <v>1</v>
      </c>
      <c r="C105">
        <v>1</v>
      </c>
      <c r="D105" t="s">
        <v>59</v>
      </c>
      <c r="E105" t="s">
        <v>59</v>
      </c>
      <c r="F105" t="s">
        <v>59</v>
      </c>
      <c r="G105">
        <v>5</v>
      </c>
    </row>
    <row r="106" spans="1:7" x14ac:dyDescent="0.25">
      <c r="A106" t="s">
        <v>54</v>
      </c>
      <c r="B106">
        <v>1</v>
      </c>
      <c r="C106">
        <v>1</v>
      </c>
      <c r="D106" t="s">
        <v>59</v>
      </c>
      <c r="E106" t="s">
        <v>59</v>
      </c>
      <c r="F106">
        <v>5</v>
      </c>
      <c r="G106">
        <v>55</v>
      </c>
    </row>
    <row r="107" spans="1:7" x14ac:dyDescent="0.25">
      <c r="A107" t="s">
        <v>54</v>
      </c>
      <c r="B107">
        <v>1</v>
      </c>
      <c r="C107">
        <v>1</v>
      </c>
      <c r="D107" t="s">
        <v>59</v>
      </c>
      <c r="E107" t="s">
        <v>59</v>
      </c>
      <c r="F107">
        <v>5</v>
      </c>
      <c r="G107">
        <v>55</v>
      </c>
    </row>
    <row r="108" spans="1:7" x14ac:dyDescent="0.25">
      <c r="A108" t="s">
        <v>54</v>
      </c>
      <c r="B108">
        <v>1</v>
      </c>
      <c r="C108">
        <v>1</v>
      </c>
      <c r="D108">
        <v>2</v>
      </c>
      <c r="E108" t="s">
        <v>59</v>
      </c>
      <c r="F108">
        <v>5</v>
      </c>
      <c r="G108">
        <v>3</v>
      </c>
    </row>
    <row r="109" spans="1:7" x14ac:dyDescent="0.25">
      <c r="A109" t="s">
        <v>54</v>
      </c>
      <c r="B109">
        <v>1</v>
      </c>
      <c r="C109">
        <v>1</v>
      </c>
      <c r="D109">
        <v>2</v>
      </c>
      <c r="E109" t="s">
        <v>59</v>
      </c>
      <c r="F109">
        <v>5</v>
      </c>
      <c r="G109">
        <v>3</v>
      </c>
    </row>
    <row r="110" spans="1:7" x14ac:dyDescent="0.25">
      <c r="A110" t="s">
        <v>54</v>
      </c>
      <c r="B110">
        <v>1</v>
      </c>
      <c r="C110">
        <v>1</v>
      </c>
      <c r="D110" t="s">
        <v>59</v>
      </c>
      <c r="E110" t="s">
        <v>59</v>
      </c>
      <c r="F110">
        <v>5</v>
      </c>
      <c r="G110">
        <v>58</v>
      </c>
    </row>
    <row r="111" spans="1:7" x14ac:dyDescent="0.25">
      <c r="A111" t="s">
        <v>54</v>
      </c>
      <c r="B111">
        <v>1</v>
      </c>
      <c r="C111">
        <v>1</v>
      </c>
      <c r="D111" t="s">
        <v>59</v>
      </c>
      <c r="E111" t="s">
        <v>59</v>
      </c>
      <c r="F111" t="s">
        <v>59</v>
      </c>
      <c r="G111">
        <v>63</v>
      </c>
    </row>
    <row r="112" spans="1:7" x14ac:dyDescent="0.25">
      <c r="A112" t="s">
        <v>54</v>
      </c>
      <c r="B112">
        <v>1</v>
      </c>
      <c r="C112" t="s">
        <v>59</v>
      </c>
      <c r="D112" t="s">
        <v>59</v>
      </c>
      <c r="E112" t="s">
        <v>59</v>
      </c>
      <c r="F112" t="s">
        <v>59</v>
      </c>
      <c r="G112">
        <v>63</v>
      </c>
    </row>
    <row r="113" spans="1:7" x14ac:dyDescent="0.25">
      <c r="A113" t="s">
        <v>54</v>
      </c>
      <c r="B113">
        <v>2</v>
      </c>
      <c r="C113" t="s">
        <v>59</v>
      </c>
      <c r="D113" t="s">
        <v>59</v>
      </c>
      <c r="E113" t="s">
        <v>59</v>
      </c>
      <c r="F113">
        <v>5</v>
      </c>
      <c r="G113">
        <v>1</v>
      </c>
    </row>
    <row r="114" spans="1:7" x14ac:dyDescent="0.25">
      <c r="A114" t="s">
        <v>54</v>
      </c>
      <c r="B114">
        <v>2</v>
      </c>
      <c r="C114" t="s">
        <v>59</v>
      </c>
      <c r="D114" t="s">
        <v>59</v>
      </c>
      <c r="E114" t="s">
        <v>59</v>
      </c>
      <c r="F114">
        <v>5</v>
      </c>
      <c r="G114">
        <v>1</v>
      </c>
    </row>
    <row r="115" spans="1:7" x14ac:dyDescent="0.25">
      <c r="A115" t="s">
        <v>54</v>
      </c>
      <c r="B115">
        <v>2</v>
      </c>
      <c r="C115" t="s">
        <v>59</v>
      </c>
      <c r="D115" t="s">
        <v>59</v>
      </c>
      <c r="E115" t="s">
        <v>59</v>
      </c>
      <c r="F115">
        <v>5</v>
      </c>
      <c r="G115">
        <v>1</v>
      </c>
    </row>
    <row r="116" spans="1:7" x14ac:dyDescent="0.25">
      <c r="A116" t="s">
        <v>54</v>
      </c>
      <c r="B116">
        <v>2</v>
      </c>
      <c r="C116" t="s">
        <v>59</v>
      </c>
      <c r="D116" t="s">
        <v>59</v>
      </c>
      <c r="E116" t="s">
        <v>59</v>
      </c>
      <c r="F116" t="s">
        <v>59</v>
      </c>
      <c r="G116">
        <v>1</v>
      </c>
    </row>
    <row r="117" spans="1:7" x14ac:dyDescent="0.25">
      <c r="A117" t="s">
        <v>54</v>
      </c>
      <c r="B117">
        <v>2</v>
      </c>
      <c r="C117" t="s">
        <v>59</v>
      </c>
      <c r="D117" t="s">
        <v>59</v>
      </c>
      <c r="E117" t="s">
        <v>59</v>
      </c>
      <c r="F117" t="s">
        <v>59</v>
      </c>
      <c r="G117">
        <v>1</v>
      </c>
    </row>
    <row r="118" spans="1:7" x14ac:dyDescent="0.25">
      <c r="A118" t="s">
        <v>54</v>
      </c>
      <c r="B118" t="s">
        <v>59</v>
      </c>
      <c r="C118" t="s">
        <v>59</v>
      </c>
      <c r="D118" t="s">
        <v>59</v>
      </c>
      <c r="E118" t="s">
        <v>59</v>
      </c>
      <c r="F118" t="s">
        <v>59</v>
      </c>
      <c r="G118">
        <v>77</v>
      </c>
    </row>
    <row r="119" spans="1:7" x14ac:dyDescent="0.25">
      <c r="A119" t="s">
        <v>55</v>
      </c>
      <c r="B119" t="s">
        <v>59</v>
      </c>
      <c r="C119" t="s">
        <v>59</v>
      </c>
      <c r="D119" t="s">
        <v>59</v>
      </c>
      <c r="E119">
        <v>6</v>
      </c>
      <c r="F119" t="s">
        <v>59</v>
      </c>
      <c r="G119">
        <v>8</v>
      </c>
    </row>
    <row r="120" spans="1:7" x14ac:dyDescent="0.25">
      <c r="A120" t="s">
        <v>55</v>
      </c>
      <c r="B120" t="s">
        <v>59</v>
      </c>
      <c r="C120" t="s">
        <v>59</v>
      </c>
      <c r="D120" t="s">
        <v>59</v>
      </c>
      <c r="E120" t="s">
        <v>59</v>
      </c>
      <c r="F120" t="s">
        <v>59</v>
      </c>
      <c r="G120">
        <v>8</v>
      </c>
    </row>
    <row r="121" spans="1:7" x14ac:dyDescent="0.25">
      <c r="A121" t="s">
        <v>55</v>
      </c>
      <c r="B121" t="s">
        <v>59</v>
      </c>
      <c r="C121" t="s">
        <v>59</v>
      </c>
      <c r="D121">
        <v>6</v>
      </c>
      <c r="E121">
        <v>6</v>
      </c>
      <c r="F121" t="s">
        <v>59</v>
      </c>
      <c r="G121">
        <v>1</v>
      </c>
    </row>
    <row r="122" spans="1:7" x14ac:dyDescent="0.25">
      <c r="A122" t="s">
        <v>55</v>
      </c>
      <c r="B122" t="s">
        <v>59</v>
      </c>
      <c r="C122" t="s">
        <v>59</v>
      </c>
      <c r="D122">
        <v>6</v>
      </c>
      <c r="E122" t="s">
        <v>59</v>
      </c>
      <c r="F122" t="s">
        <v>59</v>
      </c>
      <c r="G122">
        <v>1</v>
      </c>
    </row>
    <row r="123" spans="1:7" x14ac:dyDescent="0.25">
      <c r="A123" t="s">
        <v>55</v>
      </c>
      <c r="B123" t="s">
        <v>59</v>
      </c>
      <c r="C123" t="s">
        <v>59</v>
      </c>
      <c r="D123" t="s">
        <v>59</v>
      </c>
      <c r="E123" t="s">
        <v>59</v>
      </c>
      <c r="F123" t="s">
        <v>59</v>
      </c>
      <c r="G123">
        <v>9</v>
      </c>
    </row>
    <row r="124" spans="1:7" x14ac:dyDescent="0.25">
      <c r="A124" t="s">
        <v>55</v>
      </c>
      <c r="B124" t="s">
        <v>59</v>
      </c>
      <c r="C124" t="s">
        <v>59</v>
      </c>
      <c r="D124" t="s">
        <v>59</v>
      </c>
      <c r="E124">
        <v>3</v>
      </c>
      <c r="F124">
        <v>5</v>
      </c>
      <c r="G124">
        <v>3</v>
      </c>
    </row>
    <row r="125" spans="1:7" x14ac:dyDescent="0.25">
      <c r="A125" t="s">
        <v>55</v>
      </c>
      <c r="B125" t="s">
        <v>59</v>
      </c>
      <c r="C125" t="s">
        <v>59</v>
      </c>
      <c r="D125" t="s">
        <v>59</v>
      </c>
      <c r="E125">
        <v>4</v>
      </c>
      <c r="F125">
        <v>5</v>
      </c>
      <c r="G125">
        <v>1</v>
      </c>
    </row>
    <row r="126" spans="1:7" x14ac:dyDescent="0.25">
      <c r="A126" t="s">
        <v>55</v>
      </c>
      <c r="B126" t="s">
        <v>59</v>
      </c>
      <c r="C126" t="s">
        <v>59</v>
      </c>
      <c r="D126" t="s">
        <v>59</v>
      </c>
      <c r="E126" t="s">
        <v>59</v>
      </c>
      <c r="F126">
        <v>5</v>
      </c>
      <c r="G126">
        <v>4</v>
      </c>
    </row>
    <row r="127" spans="1:7" x14ac:dyDescent="0.25">
      <c r="A127" t="s">
        <v>55</v>
      </c>
      <c r="B127" t="s">
        <v>59</v>
      </c>
      <c r="C127" t="s">
        <v>59</v>
      </c>
      <c r="D127" t="s">
        <v>59</v>
      </c>
      <c r="E127" t="s">
        <v>59</v>
      </c>
      <c r="F127">
        <v>5</v>
      </c>
      <c r="G127">
        <v>4</v>
      </c>
    </row>
    <row r="128" spans="1:7" x14ac:dyDescent="0.25">
      <c r="A128" t="s">
        <v>55</v>
      </c>
      <c r="B128" t="s">
        <v>59</v>
      </c>
      <c r="C128" t="s">
        <v>59</v>
      </c>
      <c r="D128" t="s">
        <v>59</v>
      </c>
      <c r="E128">
        <v>3</v>
      </c>
      <c r="F128">
        <v>6</v>
      </c>
      <c r="G128">
        <v>3</v>
      </c>
    </row>
    <row r="129" spans="1:7" x14ac:dyDescent="0.25">
      <c r="A129" t="s">
        <v>55</v>
      </c>
      <c r="B129" t="s">
        <v>59</v>
      </c>
      <c r="C129" t="s">
        <v>59</v>
      </c>
      <c r="D129" t="s">
        <v>59</v>
      </c>
      <c r="E129" t="s">
        <v>59</v>
      </c>
      <c r="F129">
        <v>6</v>
      </c>
      <c r="G129">
        <v>3</v>
      </c>
    </row>
    <row r="130" spans="1:7" x14ac:dyDescent="0.25">
      <c r="A130" t="s">
        <v>55</v>
      </c>
      <c r="B130" t="s">
        <v>59</v>
      </c>
      <c r="C130" t="s">
        <v>59</v>
      </c>
      <c r="D130" t="s">
        <v>59</v>
      </c>
      <c r="E130" t="s">
        <v>59</v>
      </c>
      <c r="F130">
        <v>6</v>
      </c>
      <c r="G130">
        <v>3</v>
      </c>
    </row>
    <row r="131" spans="1:7" x14ac:dyDescent="0.25">
      <c r="A131" t="s">
        <v>55</v>
      </c>
      <c r="B131" t="s">
        <v>59</v>
      </c>
      <c r="C131" t="s">
        <v>59</v>
      </c>
      <c r="D131" t="s">
        <v>59</v>
      </c>
      <c r="E131" t="s">
        <v>59</v>
      </c>
      <c r="F131" t="s">
        <v>59</v>
      </c>
      <c r="G131">
        <v>16</v>
      </c>
    </row>
    <row r="132" spans="1:7" x14ac:dyDescent="0.25">
      <c r="A132" t="s">
        <v>55</v>
      </c>
      <c r="B132" t="s">
        <v>59</v>
      </c>
      <c r="C132" t="s">
        <v>59</v>
      </c>
      <c r="D132" t="s">
        <v>59</v>
      </c>
      <c r="E132" t="s">
        <v>59</v>
      </c>
      <c r="F132" t="s">
        <v>59</v>
      </c>
      <c r="G132">
        <v>16</v>
      </c>
    </row>
    <row r="133" spans="1:7" x14ac:dyDescent="0.25">
      <c r="A133" t="s">
        <v>55</v>
      </c>
      <c r="B133">
        <v>1</v>
      </c>
      <c r="C133">
        <v>1</v>
      </c>
      <c r="D133" t="s">
        <v>59</v>
      </c>
      <c r="E133" t="s">
        <v>59</v>
      </c>
      <c r="F133" t="s">
        <v>59</v>
      </c>
      <c r="G133">
        <v>7</v>
      </c>
    </row>
    <row r="134" spans="1:7" x14ac:dyDescent="0.25">
      <c r="A134" t="s">
        <v>55</v>
      </c>
      <c r="B134">
        <v>1</v>
      </c>
      <c r="C134">
        <v>1</v>
      </c>
      <c r="D134" t="s">
        <v>59</v>
      </c>
      <c r="E134" t="s">
        <v>59</v>
      </c>
      <c r="F134" t="s">
        <v>59</v>
      </c>
      <c r="G134">
        <v>7</v>
      </c>
    </row>
    <row r="135" spans="1:7" x14ac:dyDescent="0.25">
      <c r="A135" t="s">
        <v>55</v>
      </c>
      <c r="B135">
        <v>1</v>
      </c>
      <c r="C135">
        <v>1</v>
      </c>
      <c r="D135" t="s">
        <v>59</v>
      </c>
      <c r="E135" t="s">
        <v>59</v>
      </c>
      <c r="F135" t="s">
        <v>59</v>
      </c>
      <c r="G135">
        <v>7</v>
      </c>
    </row>
    <row r="136" spans="1:7" x14ac:dyDescent="0.25">
      <c r="A136" t="s">
        <v>55</v>
      </c>
      <c r="B136">
        <v>1</v>
      </c>
      <c r="C136">
        <v>1</v>
      </c>
      <c r="D136" t="s">
        <v>59</v>
      </c>
      <c r="E136" t="s">
        <v>59</v>
      </c>
      <c r="F136">
        <v>5</v>
      </c>
      <c r="G136">
        <v>45</v>
      </c>
    </row>
    <row r="137" spans="1:7" x14ac:dyDescent="0.25">
      <c r="A137" t="s">
        <v>55</v>
      </c>
      <c r="B137">
        <v>1</v>
      </c>
      <c r="C137">
        <v>1</v>
      </c>
      <c r="D137" t="s">
        <v>59</v>
      </c>
      <c r="E137" t="s">
        <v>59</v>
      </c>
      <c r="F137">
        <v>5</v>
      </c>
      <c r="G137">
        <v>45</v>
      </c>
    </row>
    <row r="138" spans="1:7" x14ac:dyDescent="0.25">
      <c r="A138" t="s">
        <v>55</v>
      </c>
      <c r="B138">
        <v>1</v>
      </c>
      <c r="C138">
        <v>1</v>
      </c>
      <c r="D138">
        <v>2</v>
      </c>
      <c r="E138" t="s">
        <v>59</v>
      </c>
      <c r="F138">
        <v>5</v>
      </c>
      <c r="G138">
        <v>6</v>
      </c>
    </row>
    <row r="139" spans="1:7" x14ac:dyDescent="0.25">
      <c r="A139" t="s">
        <v>55</v>
      </c>
      <c r="B139">
        <v>1</v>
      </c>
      <c r="C139">
        <v>1</v>
      </c>
      <c r="D139">
        <v>2</v>
      </c>
      <c r="E139" t="s">
        <v>59</v>
      </c>
      <c r="F139">
        <v>5</v>
      </c>
      <c r="G139">
        <v>6</v>
      </c>
    </row>
    <row r="140" spans="1:7" x14ac:dyDescent="0.25">
      <c r="A140" t="s">
        <v>55</v>
      </c>
      <c r="B140">
        <v>1</v>
      </c>
      <c r="C140">
        <v>1</v>
      </c>
      <c r="D140" t="s">
        <v>59</v>
      </c>
      <c r="E140" t="s">
        <v>59</v>
      </c>
      <c r="F140">
        <v>5</v>
      </c>
      <c r="G140">
        <v>51</v>
      </c>
    </row>
    <row r="141" spans="1:7" x14ac:dyDescent="0.25">
      <c r="A141" t="s">
        <v>55</v>
      </c>
      <c r="B141">
        <v>1</v>
      </c>
      <c r="C141">
        <v>1</v>
      </c>
      <c r="D141" t="s">
        <v>59</v>
      </c>
      <c r="E141" t="s">
        <v>59</v>
      </c>
      <c r="F141">
        <v>6</v>
      </c>
      <c r="G141">
        <v>1</v>
      </c>
    </row>
    <row r="142" spans="1:7" x14ac:dyDescent="0.25">
      <c r="A142" t="s">
        <v>55</v>
      </c>
      <c r="B142">
        <v>1</v>
      </c>
      <c r="C142">
        <v>1</v>
      </c>
      <c r="D142" t="s">
        <v>59</v>
      </c>
      <c r="E142" t="s">
        <v>59</v>
      </c>
      <c r="F142">
        <v>6</v>
      </c>
      <c r="G142">
        <v>1</v>
      </c>
    </row>
    <row r="143" spans="1:7" x14ac:dyDescent="0.25">
      <c r="A143" t="s">
        <v>55</v>
      </c>
      <c r="B143">
        <v>1</v>
      </c>
      <c r="C143">
        <v>1</v>
      </c>
      <c r="D143" t="s">
        <v>59</v>
      </c>
      <c r="E143" t="s">
        <v>59</v>
      </c>
      <c r="F143">
        <v>6</v>
      </c>
      <c r="G143">
        <v>1</v>
      </c>
    </row>
    <row r="144" spans="1:7" x14ac:dyDescent="0.25">
      <c r="A144" t="s">
        <v>55</v>
      </c>
      <c r="B144">
        <v>1</v>
      </c>
      <c r="C144">
        <v>1</v>
      </c>
      <c r="D144" t="s">
        <v>59</v>
      </c>
      <c r="E144" t="s">
        <v>59</v>
      </c>
      <c r="F144" t="s">
        <v>59</v>
      </c>
      <c r="G144">
        <v>59</v>
      </c>
    </row>
    <row r="145" spans="1:7" x14ac:dyDescent="0.25">
      <c r="A145" t="s">
        <v>55</v>
      </c>
      <c r="B145">
        <v>1</v>
      </c>
      <c r="C145" t="s">
        <v>59</v>
      </c>
      <c r="D145" t="s">
        <v>59</v>
      </c>
      <c r="E145" t="s">
        <v>59</v>
      </c>
      <c r="F145" t="s">
        <v>59</v>
      </c>
      <c r="G145">
        <v>59</v>
      </c>
    </row>
    <row r="146" spans="1:7" x14ac:dyDescent="0.25">
      <c r="A146" t="s">
        <v>55</v>
      </c>
      <c r="B146">
        <v>2</v>
      </c>
      <c r="C146" t="s">
        <v>59</v>
      </c>
      <c r="D146" t="s">
        <v>59</v>
      </c>
      <c r="E146" t="s">
        <v>59</v>
      </c>
      <c r="F146">
        <v>5</v>
      </c>
      <c r="G146">
        <v>4</v>
      </c>
    </row>
    <row r="147" spans="1:7" x14ac:dyDescent="0.25">
      <c r="A147" t="s">
        <v>55</v>
      </c>
      <c r="B147">
        <v>2</v>
      </c>
      <c r="C147" t="s">
        <v>59</v>
      </c>
      <c r="D147" t="s">
        <v>59</v>
      </c>
      <c r="E147" t="s">
        <v>59</v>
      </c>
      <c r="F147">
        <v>5</v>
      </c>
      <c r="G147">
        <v>4</v>
      </c>
    </row>
    <row r="148" spans="1:7" x14ac:dyDescent="0.25">
      <c r="A148" t="s">
        <v>55</v>
      </c>
      <c r="B148">
        <v>2</v>
      </c>
      <c r="C148" t="s">
        <v>59</v>
      </c>
      <c r="D148" t="s">
        <v>59</v>
      </c>
      <c r="E148" t="s">
        <v>59</v>
      </c>
      <c r="F148">
        <v>5</v>
      </c>
      <c r="G148">
        <v>4</v>
      </c>
    </row>
    <row r="149" spans="1:7" x14ac:dyDescent="0.25">
      <c r="A149" t="s">
        <v>55</v>
      </c>
      <c r="B149">
        <v>2</v>
      </c>
      <c r="C149" t="s">
        <v>59</v>
      </c>
      <c r="D149" t="s">
        <v>59</v>
      </c>
      <c r="E149" t="s">
        <v>59</v>
      </c>
      <c r="F149" t="s">
        <v>59</v>
      </c>
      <c r="G149">
        <v>4</v>
      </c>
    </row>
    <row r="150" spans="1:7" x14ac:dyDescent="0.25">
      <c r="A150" t="s">
        <v>55</v>
      </c>
      <c r="B150">
        <v>2</v>
      </c>
      <c r="C150" t="s">
        <v>59</v>
      </c>
      <c r="D150" t="s">
        <v>59</v>
      </c>
      <c r="E150" t="s">
        <v>59</v>
      </c>
      <c r="F150" t="s">
        <v>59</v>
      </c>
      <c r="G150">
        <v>4</v>
      </c>
    </row>
    <row r="151" spans="1:7" x14ac:dyDescent="0.25">
      <c r="A151" t="s">
        <v>55</v>
      </c>
      <c r="B151" t="s">
        <v>59</v>
      </c>
      <c r="C151" t="s">
        <v>59</v>
      </c>
      <c r="D151" t="s">
        <v>59</v>
      </c>
      <c r="E151" t="s">
        <v>59</v>
      </c>
      <c r="F151" t="s">
        <v>59</v>
      </c>
      <c r="G151">
        <v>79</v>
      </c>
    </row>
    <row r="152" spans="1:7" x14ac:dyDescent="0.25">
      <c r="A152" t="s">
        <v>59</v>
      </c>
      <c r="B152" t="s">
        <v>59</v>
      </c>
      <c r="C152" t="s">
        <v>59</v>
      </c>
      <c r="D152" t="s">
        <v>59</v>
      </c>
      <c r="E152" t="s">
        <v>59</v>
      </c>
      <c r="F152" t="s">
        <v>59</v>
      </c>
      <c r="G152">
        <v>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BC9E-43C1-4FD0-ABA4-F6B673D65622}">
  <dimension ref="A1:AB55"/>
  <sheetViews>
    <sheetView tabSelected="1" topLeftCell="I25" workbookViewId="0">
      <selection activeCell="M49" sqref="M49"/>
    </sheetView>
  </sheetViews>
  <sheetFormatPr defaultRowHeight="15" x14ac:dyDescent="0.25"/>
  <cols>
    <col min="6" max="6" width="20.5703125" customWidth="1"/>
    <col min="7" max="7" width="11" bestFit="1" customWidth="1"/>
    <col min="8" max="8" width="13.140625" bestFit="1" customWidth="1"/>
    <col min="9" max="9" width="9.28515625" bestFit="1" customWidth="1"/>
    <col min="10" max="11" width="18.140625" bestFit="1" customWidth="1"/>
    <col min="12" max="12" width="20" bestFit="1" customWidth="1"/>
    <col min="13" max="13" width="29.85546875" customWidth="1"/>
    <col min="14" max="14" width="31.42578125" customWidth="1"/>
  </cols>
  <sheetData>
    <row r="1" spans="1:28" x14ac:dyDescent="0.25">
      <c r="A1" t="s">
        <v>60</v>
      </c>
      <c r="C1" t="s">
        <v>28</v>
      </c>
      <c r="D1" t="s">
        <v>32</v>
      </c>
      <c r="E1" t="s">
        <v>32</v>
      </c>
      <c r="F1" t="s">
        <v>34</v>
      </c>
      <c r="G1" t="s">
        <v>73</v>
      </c>
      <c r="H1" t="s">
        <v>40</v>
      </c>
      <c r="I1" t="s">
        <v>61</v>
      </c>
      <c r="J1" t="s">
        <v>35</v>
      </c>
      <c r="K1" t="s">
        <v>38</v>
      </c>
      <c r="L1" t="s">
        <v>62</v>
      </c>
      <c r="P1" t="s">
        <v>80</v>
      </c>
      <c r="Q1" t="s">
        <v>81</v>
      </c>
    </row>
    <row r="2" spans="1:28" x14ac:dyDescent="0.25">
      <c r="A2" t="s">
        <v>50</v>
      </c>
      <c r="B2" t="s">
        <v>91</v>
      </c>
      <c r="C2">
        <v>1</v>
      </c>
      <c r="D2" t="s">
        <v>59</v>
      </c>
      <c r="E2" t="s">
        <v>59</v>
      </c>
      <c r="F2" t="s">
        <v>59</v>
      </c>
      <c r="G2" t="s">
        <v>59</v>
      </c>
      <c r="H2" t="s">
        <v>59</v>
      </c>
      <c r="I2" t="s">
        <v>59</v>
      </c>
      <c r="J2">
        <v>66</v>
      </c>
      <c r="K2" t="s">
        <v>59</v>
      </c>
      <c r="L2">
        <v>3</v>
      </c>
      <c r="M2" t="s">
        <v>74</v>
      </c>
      <c r="Q2">
        <v>3</v>
      </c>
      <c r="S2" t="s">
        <v>91</v>
      </c>
      <c r="T2">
        <v>1</v>
      </c>
      <c r="U2" t="s">
        <v>59</v>
      </c>
      <c r="V2" t="s">
        <v>59</v>
      </c>
      <c r="W2">
        <v>2</v>
      </c>
      <c r="X2">
        <v>1</v>
      </c>
      <c r="Y2" t="s">
        <v>59</v>
      </c>
      <c r="Z2" t="s">
        <v>59</v>
      </c>
      <c r="AA2">
        <v>5</v>
      </c>
      <c r="AB2">
        <v>1</v>
      </c>
    </row>
    <row r="3" spans="1:28" x14ac:dyDescent="0.25">
      <c r="A3" t="s">
        <v>50</v>
      </c>
      <c r="B3" t="s">
        <v>91</v>
      </c>
      <c r="C3">
        <v>1</v>
      </c>
      <c r="D3" t="s">
        <v>59</v>
      </c>
      <c r="E3" t="s">
        <v>59</v>
      </c>
      <c r="F3" t="s">
        <v>59</v>
      </c>
      <c r="G3">
        <v>1</v>
      </c>
      <c r="H3" t="s">
        <v>59</v>
      </c>
      <c r="I3">
        <v>5</v>
      </c>
      <c r="J3">
        <v>2</v>
      </c>
      <c r="K3" t="s">
        <v>59</v>
      </c>
      <c r="L3">
        <v>1</v>
      </c>
      <c r="M3" t="s">
        <v>75</v>
      </c>
      <c r="P3">
        <v>1</v>
      </c>
      <c r="S3" t="s">
        <v>91</v>
      </c>
      <c r="T3">
        <v>1</v>
      </c>
      <c r="U3" t="s">
        <v>59</v>
      </c>
      <c r="V3" t="s">
        <v>59</v>
      </c>
      <c r="W3">
        <v>2</v>
      </c>
      <c r="X3">
        <v>1</v>
      </c>
      <c r="Y3">
        <v>1</v>
      </c>
      <c r="Z3" t="s">
        <v>59</v>
      </c>
      <c r="AA3">
        <v>5</v>
      </c>
      <c r="AB3">
        <v>4</v>
      </c>
    </row>
    <row r="4" spans="1:28" x14ac:dyDescent="0.25">
      <c r="A4" t="s">
        <v>50</v>
      </c>
      <c r="B4" t="s">
        <v>91</v>
      </c>
      <c r="C4">
        <v>1</v>
      </c>
      <c r="D4" t="s">
        <v>59</v>
      </c>
      <c r="E4" t="s">
        <v>59</v>
      </c>
      <c r="F4" t="s">
        <v>59</v>
      </c>
      <c r="G4">
        <v>1</v>
      </c>
      <c r="H4">
        <v>1</v>
      </c>
      <c r="I4">
        <v>5</v>
      </c>
      <c r="J4">
        <v>2</v>
      </c>
      <c r="K4" t="s">
        <v>59</v>
      </c>
      <c r="L4">
        <v>4</v>
      </c>
      <c r="M4" t="s">
        <v>77</v>
      </c>
      <c r="S4" t="s">
        <v>91</v>
      </c>
      <c r="T4">
        <v>1</v>
      </c>
      <c r="U4" t="s">
        <v>59</v>
      </c>
      <c r="V4" t="s">
        <v>59</v>
      </c>
      <c r="W4">
        <v>66</v>
      </c>
      <c r="X4" t="s">
        <v>59</v>
      </c>
      <c r="Y4" t="s">
        <v>59</v>
      </c>
      <c r="Z4" t="s">
        <v>59</v>
      </c>
      <c r="AA4" t="s">
        <v>59</v>
      </c>
      <c r="AB4">
        <v>3</v>
      </c>
    </row>
    <row r="5" spans="1:28" x14ac:dyDescent="0.25">
      <c r="A5" t="s">
        <v>50</v>
      </c>
      <c r="B5" t="s">
        <v>91</v>
      </c>
      <c r="C5">
        <v>1</v>
      </c>
      <c r="D5">
        <v>1</v>
      </c>
      <c r="E5">
        <v>1</v>
      </c>
      <c r="F5">
        <v>1</v>
      </c>
      <c r="G5" t="s">
        <v>59</v>
      </c>
      <c r="H5" t="s">
        <v>59</v>
      </c>
      <c r="I5" t="s">
        <v>59</v>
      </c>
      <c r="J5" t="s">
        <v>59</v>
      </c>
      <c r="K5">
        <v>6</v>
      </c>
      <c r="L5">
        <v>6</v>
      </c>
      <c r="M5" t="s">
        <v>76</v>
      </c>
      <c r="P5">
        <v>6</v>
      </c>
      <c r="S5" t="s">
        <v>91</v>
      </c>
      <c r="T5">
        <v>1</v>
      </c>
      <c r="U5">
        <v>1</v>
      </c>
      <c r="V5">
        <v>1</v>
      </c>
      <c r="W5" t="s">
        <v>59</v>
      </c>
      <c r="X5" t="s">
        <v>59</v>
      </c>
      <c r="Y5" t="s">
        <v>59</v>
      </c>
      <c r="Z5">
        <v>3</v>
      </c>
      <c r="AA5">
        <v>5</v>
      </c>
      <c r="AB5">
        <v>2</v>
      </c>
    </row>
    <row r="6" spans="1:28" x14ac:dyDescent="0.25">
      <c r="A6" t="s">
        <v>50</v>
      </c>
      <c r="B6" t="s">
        <v>91</v>
      </c>
      <c r="C6">
        <v>1</v>
      </c>
      <c r="D6">
        <v>1</v>
      </c>
      <c r="E6">
        <v>1</v>
      </c>
      <c r="F6">
        <v>1</v>
      </c>
      <c r="G6" t="s">
        <v>59</v>
      </c>
      <c r="H6" t="s">
        <v>59</v>
      </c>
      <c r="I6">
        <v>5</v>
      </c>
      <c r="J6" t="s">
        <v>59</v>
      </c>
      <c r="K6">
        <v>3</v>
      </c>
      <c r="L6">
        <v>2</v>
      </c>
      <c r="M6" t="s">
        <v>75</v>
      </c>
      <c r="P6">
        <v>2</v>
      </c>
      <c r="S6" t="s">
        <v>91</v>
      </c>
      <c r="T6">
        <v>1</v>
      </c>
      <c r="U6">
        <v>1</v>
      </c>
      <c r="V6">
        <v>1</v>
      </c>
      <c r="W6" t="s">
        <v>59</v>
      </c>
      <c r="X6" t="s">
        <v>59</v>
      </c>
      <c r="Y6" t="s">
        <v>59</v>
      </c>
      <c r="Z6">
        <v>3</v>
      </c>
      <c r="AA6">
        <v>8</v>
      </c>
      <c r="AB6">
        <v>1</v>
      </c>
    </row>
    <row r="7" spans="1:28" x14ac:dyDescent="0.25">
      <c r="A7" t="s">
        <v>50</v>
      </c>
      <c r="B7" t="s">
        <v>91</v>
      </c>
      <c r="C7">
        <v>1</v>
      </c>
      <c r="D7">
        <v>1</v>
      </c>
      <c r="E7">
        <v>1</v>
      </c>
      <c r="F7">
        <v>1</v>
      </c>
      <c r="G7" t="s">
        <v>59</v>
      </c>
      <c r="H7" t="s">
        <v>59</v>
      </c>
      <c r="I7">
        <v>8</v>
      </c>
      <c r="J7" t="s">
        <v>59</v>
      </c>
      <c r="K7">
        <v>3</v>
      </c>
      <c r="L7">
        <v>1</v>
      </c>
      <c r="M7" t="s">
        <v>75</v>
      </c>
      <c r="P7">
        <v>1</v>
      </c>
      <c r="S7" t="s">
        <v>91</v>
      </c>
      <c r="T7">
        <v>1</v>
      </c>
      <c r="U7">
        <v>1</v>
      </c>
      <c r="V7">
        <v>1</v>
      </c>
      <c r="W7" t="s">
        <v>59</v>
      </c>
      <c r="X7" t="s">
        <v>59</v>
      </c>
      <c r="Y7" t="s">
        <v>59</v>
      </c>
      <c r="Z7">
        <v>6</v>
      </c>
      <c r="AA7" t="s">
        <v>59</v>
      </c>
      <c r="AB7">
        <v>6</v>
      </c>
    </row>
    <row r="8" spans="1:28" x14ac:dyDescent="0.25">
      <c r="A8" t="s">
        <v>50</v>
      </c>
      <c r="B8" t="s">
        <v>91</v>
      </c>
      <c r="C8">
        <v>1</v>
      </c>
      <c r="D8">
        <v>1</v>
      </c>
      <c r="E8">
        <v>1</v>
      </c>
      <c r="F8">
        <v>1</v>
      </c>
      <c r="G8">
        <v>1</v>
      </c>
      <c r="H8" t="s">
        <v>59</v>
      </c>
      <c r="I8" t="s">
        <v>59</v>
      </c>
      <c r="J8" t="s">
        <v>59</v>
      </c>
      <c r="K8" t="s">
        <v>59</v>
      </c>
      <c r="L8">
        <v>1</v>
      </c>
      <c r="M8" t="s">
        <v>76</v>
      </c>
      <c r="P8">
        <v>1</v>
      </c>
      <c r="S8" t="s">
        <v>91</v>
      </c>
      <c r="T8">
        <v>1</v>
      </c>
      <c r="U8">
        <v>1</v>
      </c>
      <c r="V8">
        <v>1</v>
      </c>
      <c r="W8" t="s">
        <v>59</v>
      </c>
      <c r="X8">
        <v>1</v>
      </c>
      <c r="Y8" t="s">
        <v>59</v>
      </c>
      <c r="Z8" t="s">
        <v>59</v>
      </c>
      <c r="AA8" t="s">
        <v>59</v>
      </c>
      <c r="AB8">
        <v>1</v>
      </c>
    </row>
    <row r="9" spans="1:28" x14ac:dyDescent="0.25">
      <c r="A9" t="s">
        <v>50</v>
      </c>
      <c r="B9" t="s">
        <v>91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 t="s">
        <v>59</v>
      </c>
      <c r="J9" t="s">
        <v>59</v>
      </c>
      <c r="K9" t="s">
        <v>59</v>
      </c>
      <c r="L9">
        <v>6</v>
      </c>
      <c r="M9" t="s">
        <v>77</v>
      </c>
      <c r="S9" t="s">
        <v>91</v>
      </c>
      <c r="T9">
        <v>1</v>
      </c>
      <c r="U9">
        <v>1</v>
      </c>
      <c r="V9">
        <v>1</v>
      </c>
      <c r="W9" t="s">
        <v>59</v>
      </c>
      <c r="X9">
        <v>1</v>
      </c>
      <c r="Y9">
        <v>1</v>
      </c>
      <c r="Z9" t="s">
        <v>59</v>
      </c>
      <c r="AA9" t="s">
        <v>59</v>
      </c>
      <c r="AB9">
        <v>6</v>
      </c>
    </row>
    <row r="10" spans="1:28" x14ac:dyDescent="0.25">
      <c r="A10" t="s">
        <v>50</v>
      </c>
      <c r="B10" t="s">
        <v>91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5</v>
      </c>
      <c r="J10" t="s">
        <v>59</v>
      </c>
      <c r="K10" t="s">
        <v>59</v>
      </c>
      <c r="L10">
        <v>42</v>
      </c>
      <c r="M10" t="s">
        <v>77</v>
      </c>
      <c r="S10" t="s">
        <v>91</v>
      </c>
      <c r="T10">
        <v>1</v>
      </c>
      <c r="U10">
        <v>1</v>
      </c>
      <c r="V10">
        <v>1</v>
      </c>
      <c r="W10" t="s">
        <v>59</v>
      </c>
      <c r="X10">
        <v>1</v>
      </c>
      <c r="Y10">
        <v>1</v>
      </c>
      <c r="Z10" t="s">
        <v>59</v>
      </c>
      <c r="AA10">
        <v>5</v>
      </c>
      <c r="AB10">
        <v>42</v>
      </c>
    </row>
    <row r="11" spans="1:28" x14ac:dyDescent="0.25">
      <c r="A11" t="s">
        <v>50</v>
      </c>
      <c r="B11" t="s">
        <v>91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6</v>
      </c>
      <c r="J11" t="s">
        <v>59</v>
      </c>
      <c r="K11" t="s">
        <v>59</v>
      </c>
      <c r="L11">
        <v>1</v>
      </c>
      <c r="M11" t="s">
        <v>77</v>
      </c>
      <c r="S11" t="s">
        <v>91</v>
      </c>
      <c r="T11">
        <v>1</v>
      </c>
      <c r="U11">
        <v>1</v>
      </c>
      <c r="V11">
        <v>1</v>
      </c>
      <c r="W11" t="s">
        <v>59</v>
      </c>
      <c r="X11">
        <v>1</v>
      </c>
      <c r="Y11">
        <v>1</v>
      </c>
      <c r="Z11" t="s">
        <v>59</v>
      </c>
      <c r="AA11">
        <v>6</v>
      </c>
      <c r="AB11">
        <v>1</v>
      </c>
    </row>
    <row r="12" spans="1:28" x14ac:dyDescent="0.25">
      <c r="A12" t="s">
        <v>50</v>
      </c>
      <c r="B12" t="s">
        <v>91</v>
      </c>
      <c r="C12">
        <v>1</v>
      </c>
      <c r="D12">
        <v>1</v>
      </c>
      <c r="E12">
        <v>1</v>
      </c>
      <c r="F12">
        <v>1</v>
      </c>
      <c r="G12">
        <v>2</v>
      </c>
      <c r="H12" t="s">
        <v>59</v>
      </c>
      <c r="I12">
        <v>5</v>
      </c>
      <c r="J12" t="s">
        <v>59</v>
      </c>
      <c r="K12" t="s">
        <v>59</v>
      </c>
      <c r="L12">
        <v>2</v>
      </c>
      <c r="M12" t="s">
        <v>78</v>
      </c>
      <c r="P12">
        <v>2</v>
      </c>
      <c r="S12" t="s">
        <v>91</v>
      </c>
      <c r="T12">
        <v>1</v>
      </c>
      <c r="U12">
        <v>1</v>
      </c>
      <c r="V12">
        <v>1</v>
      </c>
      <c r="W12" t="s">
        <v>59</v>
      </c>
      <c r="X12">
        <v>2</v>
      </c>
      <c r="Y12" t="s">
        <v>59</v>
      </c>
      <c r="Z12" t="s">
        <v>59</v>
      </c>
      <c r="AA12">
        <v>5</v>
      </c>
      <c r="AB12">
        <v>2</v>
      </c>
    </row>
    <row r="13" spans="1:28" x14ac:dyDescent="0.25">
      <c r="A13" t="s">
        <v>50</v>
      </c>
      <c r="B13" t="s">
        <v>91</v>
      </c>
      <c r="C13">
        <v>1</v>
      </c>
      <c r="D13">
        <v>1</v>
      </c>
      <c r="E13">
        <v>1</v>
      </c>
      <c r="F13">
        <v>2</v>
      </c>
      <c r="G13">
        <v>2</v>
      </c>
      <c r="H13" t="s">
        <v>59</v>
      </c>
      <c r="I13">
        <v>5</v>
      </c>
      <c r="J13" t="s">
        <v>59</v>
      </c>
      <c r="K13" t="s">
        <v>59</v>
      </c>
      <c r="L13">
        <v>1</v>
      </c>
      <c r="M13" t="s">
        <v>78</v>
      </c>
      <c r="P13">
        <v>1</v>
      </c>
      <c r="S13" t="s">
        <v>91</v>
      </c>
      <c r="T13">
        <v>1</v>
      </c>
      <c r="U13">
        <v>1</v>
      </c>
      <c r="V13">
        <v>2</v>
      </c>
      <c r="W13" t="s">
        <v>59</v>
      </c>
      <c r="X13">
        <v>2</v>
      </c>
      <c r="Y13" t="s">
        <v>59</v>
      </c>
      <c r="Z13" t="s">
        <v>59</v>
      </c>
      <c r="AA13">
        <v>5</v>
      </c>
      <c r="AB13">
        <v>1</v>
      </c>
    </row>
    <row r="14" spans="1:28" x14ac:dyDescent="0.25">
      <c r="A14" t="s">
        <v>50</v>
      </c>
      <c r="B14" t="s">
        <v>91</v>
      </c>
      <c r="C14">
        <v>1</v>
      </c>
      <c r="D14">
        <v>2</v>
      </c>
      <c r="E14">
        <v>2</v>
      </c>
      <c r="F14" t="s">
        <v>59</v>
      </c>
      <c r="G14">
        <v>1</v>
      </c>
      <c r="H14">
        <v>1</v>
      </c>
      <c r="I14">
        <v>5</v>
      </c>
      <c r="J14" t="s">
        <v>59</v>
      </c>
      <c r="K14" t="s">
        <v>59</v>
      </c>
      <c r="L14">
        <v>1</v>
      </c>
      <c r="M14" t="s">
        <v>77</v>
      </c>
      <c r="S14" t="s">
        <v>91</v>
      </c>
      <c r="T14">
        <v>1</v>
      </c>
      <c r="U14">
        <v>2</v>
      </c>
      <c r="V14" t="s">
        <v>59</v>
      </c>
      <c r="W14" t="s">
        <v>59</v>
      </c>
      <c r="X14">
        <v>1</v>
      </c>
      <c r="Y14">
        <v>1</v>
      </c>
      <c r="Z14" t="s">
        <v>59</v>
      </c>
      <c r="AA14">
        <v>5</v>
      </c>
      <c r="AB14">
        <v>1</v>
      </c>
    </row>
    <row r="15" spans="1:28" x14ac:dyDescent="0.25">
      <c r="A15" t="s">
        <v>50</v>
      </c>
      <c r="B15" t="s">
        <v>91</v>
      </c>
      <c r="C15">
        <v>1</v>
      </c>
      <c r="D15">
        <v>66</v>
      </c>
      <c r="E15">
        <v>66</v>
      </c>
      <c r="F15">
        <v>66</v>
      </c>
      <c r="G15">
        <v>2</v>
      </c>
      <c r="H15" t="s">
        <v>59</v>
      </c>
      <c r="I15">
        <v>0</v>
      </c>
      <c r="J15" t="s">
        <v>59</v>
      </c>
      <c r="K15" t="s">
        <v>59</v>
      </c>
      <c r="L15">
        <v>1</v>
      </c>
      <c r="M15" t="s">
        <v>79</v>
      </c>
      <c r="S15" t="s">
        <v>91</v>
      </c>
      <c r="T15">
        <v>1</v>
      </c>
      <c r="U15">
        <v>66</v>
      </c>
      <c r="V15">
        <v>66</v>
      </c>
      <c r="W15" t="s">
        <v>59</v>
      </c>
      <c r="X15">
        <v>2</v>
      </c>
      <c r="Y15" t="s">
        <v>59</v>
      </c>
      <c r="Z15" t="s">
        <v>59</v>
      </c>
      <c r="AA15">
        <v>0</v>
      </c>
      <c r="AB15">
        <v>1</v>
      </c>
    </row>
    <row r="16" spans="1:28" x14ac:dyDescent="0.25">
      <c r="O16" s="11">
        <f>SUM(L2:L15)</f>
        <v>72</v>
      </c>
      <c r="P16" s="11">
        <f>SUM(P2:P15)</f>
        <v>14</v>
      </c>
      <c r="Q16" s="11">
        <f>SUM(Q2:Q15)</f>
        <v>3</v>
      </c>
      <c r="R16" s="11">
        <f>O16-P16-Q16</f>
        <v>55</v>
      </c>
    </row>
    <row r="17" spans="1:18" s="11" customFormat="1" x14ac:dyDescent="0.25">
      <c r="A17" s="11" t="s">
        <v>53</v>
      </c>
      <c r="B17" s="11" t="s">
        <v>93</v>
      </c>
      <c r="C17" s="11">
        <v>1</v>
      </c>
      <c r="D17" s="11" t="s">
        <v>59</v>
      </c>
      <c r="E17" s="11" t="s">
        <v>59</v>
      </c>
      <c r="F17" s="11" t="s">
        <v>59</v>
      </c>
      <c r="G17" s="11" t="s">
        <v>59</v>
      </c>
      <c r="H17" s="11" t="s">
        <v>59</v>
      </c>
      <c r="I17" s="11" t="s">
        <v>59</v>
      </c>
      <c r="J17" s="11">
        <v>6</v>
      </c>
      <c r="K17" s="11">
        <v>6</v>
      </c>
      <c r="L17" s="11">
        <v>1</v>
      </c>
      <c r="M17" s="11" t="s">
        <v>82</v>
      </c>
      <c r="Q17" s="11">
        <v>1</v>
      </c>
    </row>
    <row r="18" spans="1:18" s="11" customFormat="1" x14ac:dyDescent="0.25">
      <c r="A18" s="11" t="s">
        <v>53</v>
      </c>
      <c r="B18" s="11" t="s">
        <v>93</v>
      </c>
      <c r="C18" s="11">
        <v>1</v>
      </c>
      <c r="D18" s="11" t="s">
        <v>59</v>
      </c>
      <c r="E18" s="11" t="s">
        <v>59</v>
      </c>
      <c r="F18" s="11" t="s">
        <v>59</v>
      </c>
      <c r="G18" s="11" t="s">
        <v>59</v>
      </c>
      <c r="H18" s="11" t="s">
        <v>59</v>
      </c>
      <c r="I18" s="11" t="s">
        <v>59</v>
      </c>
      <c r="J18" s="11">
        <v>66</v>
      </c>
      <c r="K18" s="11" t="s">
        <v>59</v>
      </c>
      <c r="L18" s="11">
        <v>1</v>
      </c>
      <c r="M18" s="11" t="s">
        <v>83</v>
      </c>
      <c r="Q18" s="11">
        <v>1</v>
      </c>
    </row>
    <row r="19" spans="1:18" s="11" customFormat="1" x14ac:dyDescent="0.25">
      <c r="A19" s="11" t="s">
        <v>53</v>
      </c>
      <c r="B19" s="11" t="s">
        <v>93</v>
      </c>
      <c r="C19" s="11">
        <v>1</v>
      </c>
      <c r="D19" s="11" t="s">
        <v>59</v>
      </c>
      <c r="E19" s="11" t="s">
        <v>59</v>
      </c>
      <c r="F19" s="11" t="s">
        <v>59</v>
      </c>
      <c r="G19" s="11" t="s">
        <v>59</v>
      </c>
      <c r="H19" s="11" t="s">
        <v>59</v>
      </c>
      <c r="I19" s="11">
        <v>2</v>
      </c>
      <c r="J19" s="11">
        <v>3</v>
      </c>
      <c r="K19" s="11" t="s">
        <v>59</v>
      </c>
      <c r="L19" s="11">
        <v>1</v>
      </c>
      <c r="M19" s="11" t="s">
        <v>84</v>
      </c>
      <c r="Q19" s="11">
        <v>1</v>
      </c>
    </row>
    <row r="20" spans="1:18" s="11" customFormat="1" x14ac:dyDescent="0.25">
      <c r="A20" s="11" t="s">
        <v>53</v>
      </c>
      <c r="B20" s="11" t="s">
        <v>93</v>
      </c>
      <c r="C20" s="11">
        <v>1</v>
      </c>
      <c r="D20" s="11" t="s">
        <v>59</v>
      </c>
      <c r="E20" s="11" t="s">
        <v>59</v>
      </c>
      <c r="F20" s="11" t="s">
        <v>59</v>
      </c>
      <c r="G20" s="11">
        <v>1</v>
      </c>
      <c r="H20" s="11">
        <v>1</v>
      </c>
      <c r="I20" s="11">
        <v>5</v>
      </c>
      <c r="J20" s="11">
        <v>2</v>
      </c>
      <c r="K20" s="11" t="s">
        <v>59</v>
      </c>
      <c r="L20" s="11">
        <v>3</v>
      </c>
      <c r="M20" s="11" t="s">
        <v>77</v>
      </c>
    </row>
    <row r="21" spans="1:18" s="11" customFormat="1" x14ac:dyDescent="0.25">
      <c r="A21" s="11" t="s">
        <v>53</v>
      </c>
      <c r="B21" s="11" t="s">
        <v>93</v>
      </c>
      <c r="C21" s="11">
        <v>1</v>
      </c>
      <c r="D21" s="11" t="s">
        <v>59</v>
      </c>
      <c r="E21" s="11" t="s">
        <v>59</v>
      </c>
      <c r="F21" s="11" t="s">
        <v>59</v>
      </c>
      <c r="G21" s="11">
        <v>1</v>
      </c>
      <c r="H21" s="11">
        <v>66</v>
      </c>
      <c r="I21" s="11">
        <v>5</v>
      </c>
      <c r="J21" s="11">
        <v>2</v>
      </c>
      <c r="K21" s="11" t="s">
        <v>59</v>
      </c>
      <c r="L21" s="11">
        <v>1</v>
      </c>
      <c r="M21" s="11" t="s">
        <v>85</v>
      </c>
      <c r="P21" s="11">
        <v>1</v>
      </c>
    </row>
    <row r="22" spans="1:18" s="11" customFormat="1" x14ac:dyDescent="0.25">
      <c r="A22" s="11" t="s">
        <v>53</v>
      </c>
      <c r="B22" s="11" t="s">
        <v>93</v>
      </c>
      <c r="C22" s="11">
        <v>1</v>
      </c>
      <c r="D22" s="11">
        <v>1</v>
      </c>
      <c r="E22" s="11">
        <v>1</v>
      </c>
      <c r="F22" s="11">
        <v>1</v>
      </c>
      <c r="G22" s="11" t="s">
        <v>59</v>
      </c>
      <c r="H22" s="11" t="s">
        <v>59</v>
      </c>
      <c r="I22" s="11" t="s">
        <v>59</v>
      </c>
      <c r="J22" s="11" t="s">
        <v>59</v>
      </c>
      <c r="K22" s="11">
        <v>6</v>
      </c>
      <c r="L22" s="11">
        <v>5</v>
      </c>
      <c r="M22" s="11" t="s">
        <v>86</v>
      </c>
      <c r="P22" s="11">
        <v>5</v>
      </c>
    </row>
    <row r="23" spans="1:18" s="11" customFormat="1" x14ac:dyDescent="0.25">
      <c r="A23" s="11" t="s">
        <v>53</v>
      </c>
      <c r="B23" s="11" t="s">
        <v>93</v>
      </c>
      <c r="C23" s="11">
        <v>1</v>
      </c>
      <c r="D23" s="11">
        <v>1</v>
      </c>
      <c r="E23" s="11">
        <v>1</v>
      </c>
      <c r="F23" s="11">
        <v>1</v>
      </c>
      <c r="G23" s="11" t="s">
        <v>59</v>
      </c>
      <c r="H23" s="11" t="s">
        <v>59</v>
      </c>
      <c r="I23" s="11">
        <v>5</v>
      </c>
      <c r="J23" s="11" t="s">
        <v>59</v>
      </c>
      <c r="K23" s="11">
        <v>3</v>
      </c>
      <c r="L23" s="11">
        <v>2</v>
      </c>
      <c r="M23" s="11" t="s">
        <v>87</v>
      </c>
      <c r="P23" s="11">
        <v>2</v>
      </c>
    </row>
    <row r="24" spans="1:18" s="11" customFormat="1" x14ac:dyDescent="0.25">
      <c r="A24" s="11" t="s">
        <v>53</v>
      </c>
      <c r="B24" s="11" t="s">
        <v>93</v>
      </c>
      <c r="C24" s="11">
        <v>1</v>
      </c>
      <c r="D24" s="11">
        <v>1</v>
      </c>
      <c r="E24" s="11">
        <v>1</v>
      </c>
      <c r="F24" s="11">
        <v>1</v>
      </c>
      <c r="G24" s="11" t="s">
        <v>59</v>
      </c>
      <c r="H24" s="11" t="s">
        <v>59</v>
      </c>
      <c r="I24" s="11">
        <v>5</v>
      </c>
      <c r="J24" s="11">
        <v>8</v>
      </c>
      <c r="K24" s="11">
        <v>7</v>
      </c>
      <c r="L24" s="11">
        <v>1</v>
      </c>
      <c r="M24" s="11" t="s">
        <v>88</v>
      </c>
      <c r="P24" s="11">
        <v>1</v>
      </c>
    </row>
    <row r="25" spans="1:18" s="11" customFormat="1" x14ac:dyDescent="0.25">
      <c r="A25" s="11" t="s">
        <v>53</v>
      </c>
      <c r="B25" s="11" t="s">
        <v>93</v>
      </c>
      <c r="C25" s="11">
        <v>1</v>
      </c>
      <c r="D25" s="11">
        <v>1</v>
      </c>
      <c r="E25" s="11">
        <v>1</v>
      </c>
      <c r="F25" s="11">
        <v>1</v>
      </c>
      <c r="G25" s="11">
        <v>1</v>
      </c>
      <c r="H25" s="11" t="s">
        <v>59</v>
      </c>
      <c r="I25" s="11" t="s">
        <v>59</v>
      </c>
      <c r="J25" s="11" t="s">
        <v>59</v>
      </c>
      <c r="K25" s="11" t="s">
        <v>59</v>
      </c>
      <c r="L25" s="11">
        <v>2</v>
      </c>
      <c r="M25" s="11" t="s">
        <v>86</v>
      </c>
      <c r="P25" s="11">
        <v>2</v>
      </c>
    </row>
    <row r="26" spans="1:18" s="11" customFormat="1" x14ac:dyDescent="0.25">
      <c r="A26" s="11" t="s">
        <v>53</v>
      </c>
      <c r="B26" s="11" t="s">
        <v>93</v>
      </c>
      <c r="C26" s="11">
        <v>1</v>
      </c>
      <c r="D26" s="11">
        <v>1</v>
      </c>
      <c r="E26" s="11">
        <v>1</v>
      </c>
      <c r="F26" s="11">
        <v>1</v>
      </c>
      <c r="G26" s="11">
        <v>1</v>
      </c>
      <c r="H26" s="11" t="s">
        <v>59</v>
      </c>
      <c r="I26" s="11">
        <v>5</v>
      </c>
      <c r="J26" s="11" t="s">
        <v>59</v>
      </c>
      <c r="K26" s="11" t="s">
        <v>59</v>
      </c>
      <c r="L26" s="11">
        <v>2</v>
      </c>
      <c r="M26" s="11" t="s">
        <v>87</v>
      </c>
      <c r="P26" s="11">
        <v>2</v>
      </c>
    </row>
    <row r="27" spans="1:18" s="11" customFormat="1" x14ac:dyDescent="0.25">
      <c r="A27" s="11" t="s">
        <v>53</v>
      </c>
      <c r="B27" s="11" t="s">
        <v>93</v>
      </c>
      <c r="C27" s="11">
        <v>1</v>
      </c>
      <c r="D27" s="11">
        <v>1</v>
      </c>
      <c r="E27" s="11">
        <v>1</v>
      </c>
      <c r="F27" s="11">
        <v>1</v>
      </c>
      <c r="G27" s="11">
        <v>1</v>
      </c>
      <c r="H27" s="11">
        <v>1</v>
      </c>
      <c r="I27" s="11" t="s">
        <v>59</v>
      </c>
      <c r="J27" s="11" t="s">
        <v>59</v>
      </c>
      <c r="K27" s="11" t="s">
        <v>59</v>
      </c>
      <c r="L27" s="11">
        <v>5</v>
      </c>
      <c r="M27" s="11" t="s">
        <v>77</v>
      </c>
    </row>
    <row r="28" spans="1:18" s="11" customFormat="1" x14ac:dyDescent="0.25">
      <c r="A28" s="11" t="s">
        <v>53</v>
      </c>
      <c r="B28" s="11" t="s">
        <v>93</v>
      </c>
      <c r="C28" s="11">
        <v>1</v>
      </c>
      <c r="D28" s="11">
        <v>1</v>
      </c>
      <c r="E28" s="11">
        <v>1</v>
      </c>
      <c r="F28" s="11">
        <v>1</v>
      </c>
      <c r="G28" s="11">
        <v>1</v>
      </c>
      <c r="H28" s="11">
        <v>1</v>
      </c>
      <c r="I28" s="11">
        <v>5</v>
      </c>
      <c r="J28" s="11" t="s">
        <v>59</v>
      </c>
      <c r="K28" s="11" t="s">
        <v>59</v>
      </c>
      <c r="L28" s="11">
        <v>45</v>
      </c>
      <c r="M28" s="11" t="s">
        <v>77</v>
      </c>
    </row>
    <row r="29" spans="1:18" s="11" customFormat="1" x14ac:dyDescent="0.25">
      <c r="A29" s="11" t="s">
        <v>53</v>
      </c>
      <c r="B29" s="11" t="s">
        <v>93</v>
      </c>
      <c r="C29" s="11">
        <v>1</v>
      </c>
      <c r="D29" s="11">
        <v>1</v>
      </c>
      <c r="E29" s="11">
        <v>1</v>
      </c>
      <c r="F29" s="11">
        <v>1</v>
      </c>
      <c r="G29" s="11">
        <v>2</v>
      </c>
      <c r="H29" s="11" t="s">
        <v>59</v>
      </c>
      <c r="I29" s="11">
        <v>5</v>
      </c>
      <c r="J29" s="11" t="s">
        <v>59</v>
      </c>
      <c r="K29" s="11" t="s">
        <v>59</v>
      </c>
      <c r="L29" s="11">
        <v>3</v>
      </c>
      <c r="M29" s="11" t="s">
        <v>78</v>
      </c>
      <c r="P29" s="11">
        <v>3</v>
      </c>
    </row>
    <row r="30" spans="1:18" s="11" customFormat="1" x14ac:dyDescent="0.25">
      <c r="A30" s="11" t="s">
        <v>53</v>
      </c>
      <c r="B30" s="11" t="s">
        <v>93</v>
      </c>
      <c r="C30" s="11">
        <v>1</v>
      </c>
      <c r="D30" s="11">
        <v>2</v>
      </c>
      <c r="E30" s="11">
        <v>2</v>
      </c>
      <c r="F30" s="11" t="s">
        <v>59</v>
      </c>
      <c r="G30" s="11">
        <v>1</v>
      </c>
      <c r="H30" s="11">
        <v>1</v>
      </c>
      <c r="I30" s="11">
        <v>5</v>
      </c>
      <c r="J30" s="11" t="s">
        <v>59</v>
      </c>
      <c r="K30" s="11" t="s">
        <v>59</v>
      </c>
      <c r="L30" s="11">
        <v>1</v>
      </c>
      <c r="M30" s="11" t="s">
        <v>77</v>
      </c>
    </row>
    <row r="31" spans="1:18" s="11" customFormat="1" x14ac:dyDescent="0.25">
      <c r="O31">
        <f>SUM(L17:L30)</f>
        <v>73</v>
      </c>
      <c r="P31">
        <f>SUM(P17:P30)</f>
        <v>16</v>
      </c>
      <c r="Q31">
        <f>SUM(Q17:Q30)</f>
        <v>3</v>
      </c>
      <c r="R31">
        <f>O31-P31-Q31</f>
        <v>54</v>
      </c>
    </row>
    <row r="32" spans="1:18" x14ac:dyDescent="0.25">
      <c r="A32" t="s">
        <v>54</v>
      </c>
      <c r="B32" t="s">
        <v>90</v>
      </c>
      <c r="C32">
        <v>1</v>
      </c>
      <c r="D32" t="s">
        <v>59</v>
      </c>
      <c r="E32" t="s">
        <v>59</v>
      </c>
      <c r="F32" t="s">
        <v>59</v>
      </c>
      <c r="G32" t="s">
        <v>59</v>
      </c>
      <c r="H32" t="s">
        <v>59</v>
      </c>
      <c r="I32">
        <v>2</v>
      </c>
      <c r="J32">
        <v>3</v>
      </c>
      <c r="K32" t="s">
        <v>59</v>
      </c>
      <c r="L32">
        <v>1</v>
      </c>
      <c r="M32" t="s">
        <v>84</v>
      </c>
      <c r="Q32">
        <v>1</v>
      </c>
    </row>
    <row r="33" spans="1:18" x14ac:dyDescent="0.25">
      <c r="A33" t="s">
        <v>54</v>
      </c>
      <c r="B33" t="s">
        <v>90</v>
      </c>
      <c r="C33">
        <v>1</v>
      </c>
      <c r="D33" t="s">
        <v>59</v>
      </c>
      <c r="E33" t="s">
        <v>59</v>
      </c>
      <c r="F33" t="s">
        <v>59</v>
      </c>
      <c r="G33">
        <v>1</v>
      </c>
      <c r="H33">
        <v>1</v>
      </c>
      <c r="I33">
        <v>5</v>
      </c>
      <c r="J33">
        <v>2</v>
      </c>
      <c r="K33" t="s">
        <v>59</v>
      </c>
      <c r="L33">
        <v>3</v>
      </c>
      <c r="M33" t="s">
        <v>77</v>
      </c>
    </row>
    <row r="34" spans="1:18" x14ac:dyDescent="0.25">
      <c r="A34" t="s">
        <v>54</v>
      </c>
      <c r="B34" t="s">
        <v>90</v>
      </c>
      <c r="C34">
        <v>1</v>
      </c>
      <c r="D34">
        <v>1</v>
      </c>
      <c r="E34">
        <v>1</v>
      </c>
      <c r="F34">
        <v>1</v>
      </c>
      <c r="G34" t="s">
        <v>59</v>
      </c>
      <c r="H34" t="s">
        <v>59</v>
      </c>
      <c r="I34" t="s">
        <v>59</v>
      </c>
      <c r="J34" t="s">
        <v>59</v>
      </c>
      <c r="K34">
        <v>6</v>
      </c>
      <c r="L34">
        <v>9</v>
      </c>
      <c r="M34" t="s">
        <v>86</v>
      </c>
      <c r="P34">
        <v>9</v>
      </c>
    </row>
    <row r="35" spans="1:18" x14ac:dyDescent="0.25">
      <c r="A35" t="s">
        <v>54</v>
      </c>
      <c r="B35" t="s">
        <v>90</v>
      </c>
      <c r="C35">
        <v>1</v>
      </c>
      <c r="D35">
        <v>1</v>
      </c>
      <c r="E35">
        <v>1</v>
      </c>
      <c r="F35">
        <v>1</v>
      </c>
      <c r="G35" t="s">
        <v>59</v>
      </c>
      <c r="H35" t="s">
        <v>59</v>
      </c>
      <c r="I35">
        <v>5</v>
      </c>
      <c r="J35" t="s">
        <v>59</v>
      </c>
      <c r="K35">
        <v>3</v>
      </c>
      <c r="L35">
        <v>1</v>
      </c>
      <c r="M35" t="s">
        <v>75</v>
      </c>
      <c r="P35">
        <v>1</v>
      </c>
    </row>
    <row r="36" spans="1:18" x14ac:dyDescent="0.25">
      <c r="A36" t="s">
        <v>54</v>
      </c>
      <c r="B36" t="s">
        <v>90</v>
      </c>
      <c r="C36">
        <v>1</v>
      </c>
      <c r="D36">
        <v>1</v>
      </c>
      <c r="E36">
        <v>1</v>
      </c>
      <c r="F36">
        <v>1</v>
      </c>
      <c r="G36" t="s">
        <v>59</v>
      </c>
      <c r="H36" t="s">
        <v>59</v>
      </c>
      <c r="I36">
        <v>5</v>
      </c>
      <c r="J36" t="s">
        <v>59</v>
      </c>
      <c r="K36">
        <v>4</v>
      </c>
      <c r="L36">
        <v>1</v>
      </c>
      <c r="M36" t="s">
        <v>75</v>
      </c>
      <c r="P36">
        <v>1</v>
      </c>
    </row>
    <row r="37" spans="1:18" x14ac:dyDescent="0.25">
      <c r="A37" t="s">
        <v>54</v>
      </c>
      <c r="B37" t="s">
        <v>90</v>
      </c>
      <c r="C37">
        <v>1</v>
      </c>
      <c r="D37">
        <v>1</v>
      </c>
      <c r="E37">
        <v>1</v>
      </c>
      <c r="F37">
        <v>1</v>
      </c>
      <c r="G37" t="s">
        <v>59</v>
      </c>
      <c r="H37" t="s">
        <v>59</v>
      </c>
      <c r="I37">
        <v>6</v>
      </c>
      <c r="J37" t="s">
        <v>59</v>
      </c>
      <c r="K37">
        <v>3</v>
      </c>
      <c r="L37">
        <v>1</v>
      </c>
      <c r="M37" t="s">
        <v>75</v>
      </c>
      <c r="P37">
        <v>1</v>
      </c>
    </row>
    <row r="38" spans="1:18" x14ac:dyDescent="0.25">
      <c r="A38" t="s">
        <v>54</v>
      </c>
      <c r="B38" t="s">
        <v>90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 t="s">
        <v>59</v>
      </c>
      <c r="J38" t="s">
        <v>59</v>
      </c>
      <c r="K38" t="s">
        <v>59</v>
      </c>
      <c r="L38">
        <v>5</v>
      </c>
      <c r="M38" t="s">
        <v>77</v>
      </c>
    </row>
    <row r="39" spans="1:18" x14ac:dyDescent="0.25">
      <c r="A39" t="s">
        <v>54</v>
      </c>
      <c r="B39" t="s">
        <v>90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5</v>
      </c>
      <c r="J39" t="s">
        <v>59</v>
      </c>
      <c r="K39" t="s">
        <v>59</v>
      </c>
      <c r="L39">
        <v>54</v>
      </c>
      <c r="M39" t="s">
        <v>77</v>
      </c>
    </row>
    <row r="40" spans="1:18" x14ac:dyDescent="0.25">
      <c r="A40" t="s">
        <v>54</v>
      </c>
      <c r="B40" t="s">
        <v>90</v>
      </c>
      <c r="C40">
        <v>1</v>
      </c>
      <c r="D40">
        <v>1</v>
      </c>
      <c r="E40">
        <v>1</v>
      </c>
      <c r="F40">
        <v>1</v>
      </c>
      <c r="G40">
        <v>2</v>
      </c>
      <c r="H40" t="s">
        <v>59</v>
      </c>
      <c r="I40">
        <v>5</v>
      </c>
      <c r="J40" t="s">
        <v>59</v>
      </c>
      <c r="K40" t="s">
        <v>59</v>
      </c>
      <c r="L40">
        <v>1</v>
      </c>
      <c r="M40" t="s">
        <v>89</v>
      </c>
      <c r="P40">
        <v>1</v>
      </c>
    </row>
    <row r="41" spans="1:18" x14ac:dyDescent="0.25">
      <c r="A41" t="s">
        <v>54</v>
      </c>
      <c r="B41" t="s">
        <v>90</v>
      </c>
      <c r="C41">
        <v>1</v>
      </c>
      <c r="D41">
        <v>2</v>
      </c>
      <c r="E41">
        <v>2</v>
      </c>
      <c r="F41" t="s">
        <v>59</v>
      </c>
      <c r="G41">
        <v>1</v>
      </c>
      <c r="H41">
        <v>1</v>
      </c>
      <c r="I41">
        <v>5</v>
      </c>
      <c r="J41" t="s">
        <v>59</v>
      </c>
      <c r="K41" t="s">
        <v>59</v>
      </c>
      <c r="L41">
        <v>1</v>
      </c>
      <c r="M41" t="s">
        <v>77</v>
      </c>
    </row>
    <row r="42" spans="1:18" x14ac:dyDescent="0.25">
      <c r="O42">
        <f>SUM(L32:L41)</f>
        <v>77</v>
      </c>
      <c r="P42">
        <f>SUM(P32:P41)</f>
        <v>13</v>
      </c>
      <c r="Q42">
        <f>SUM(Q32:Q41)</f>
        <v>1</v>
      </c>
      <c r="R42">
        <f>O42-P42-Q42</f>
        <v>63</v>
      </c>
    </row>
    <row r="43" spans="1:18" x14ac:dyDescent="0.25">
      <c r="A43" t="s">
        <v>55</v>
      </c>
      <c r="B43" t="s">
        <v>92</v>
      </c>
      <c r="C43">
        <v>1</v>
      </c>
      <c r="D43" t="s">
        <v>59</v>
      </c>
      <c r="E43" t="s">
        <v>59</v>
      </c>
      <c r="F43" t="s">
        <v>59</v>
      </c>
      <c r="G43" t="s">
        <v>59</v>
      </c>
      <c r="H43" t="s">
        <v>59</v>
      </c>
      <c r="I43" t="s">
        <v>59</v>
      </c>
      <c r="J43">
        <v>6</v>
      </c>
      <c r="K43">
        <v>6</v>
      </c>
      <c r="L43">
        <v>1</v>
      </c>
    </row>
    <row r="44" spans="1:18" x14ac:dyDescent="0.25">
      <c r="A44" t="s">
        <v>55</v>
      </c>
      <c r="B44" t="s">
        <v>92</v>
      </c>
      <c r="C44">
        <v>1</v>
      </c>
      <c r="D44" t="s">
        <v>59</v>
      </c>
      <c r="E44" t="s">
        <v>59</v>
      </c>
      <c r="F44" t="s">
        <v>59</v>
      </c>
      <c r="G44">
        <v>1</v>
      </c>
      <c r="H44">
        <v>1</v>
      </c>
      <c r="I44">
        <v>5</v>
      </c>
      <c r="J44">
        <v>2</v>
      </c>
      <c r="K44" t="s">
        <v>59</v>
      </c>
      <c r="L44">
        <v>6</v>
      </c>
    </row>
    <row r="45" spans="1:18" x14ac:dyDescent="0.25">
      <c r="A45" t="s">
        <v>55</v>
      </c>
      <c r="B45" t="s">
        <v>92</v>
      </c>
      <c r="C45">
        <v>1</v>
      </c>
      <c r="D45">
        <v>1</v>
      </c>
      <c r="E45">
        <v>1</v>
      </c>
      <c r="F45" t="s">
        <v>59</v>
      </c>
      <c r="G45" t="s">
        <v>59</v>
      </c>
      <c r="H45" t="s">
        <v>59</v>
      </c>
      <c r="I45" t="s">
        <v>59</v>
      </c>
      <c r="J45" t="s">
        <v>59</v>
      </c>
      <c r="K45">
        <v>6</v>
      </c>
      <c r="L45">
        <v>1</v>
      </c>
    </row>
    <row r="46" spans="1:18" x14ac:dyDescent="0.25">
      <c r="A46" t="s">
        <v>55</v>
      </c>
      <c r="B46" t="s">
        <v>92</v>
      </c>
      <c r="C46">
        <v>1</v>
      </c>
      <c r="D46">
        <v>1</v>
      </c>
      <c r="E46">
        <v>1</v>
      </c>
      <c r="F46">
        <v>1</v>
      </c>
      <c r="G46" t="s">
        <v>59</v>
      </c>
      <c r="H46" t="s">
        <v>59</v>
      </c>
      <c r="I46" t="s">
        <v>59</v>
      </c>
      <c r="J46" t="s">
        <v>59</v>
      </c>
      <c r="K46">
        <v>6</v>
      </c>
      <c r="L46">
        <v>7</v>
      </c>
    </row>
    <row r="47" spans="1:18" x14ac:dyDescent="0.25">
      <c r="A47" t="s">
        <v>55</v>
      </c>
      <c r="B47" t="s">
        <v>92</v>
      </c>
      <c r="C47">
        <v>1</v>
      </c>
      <c r="D47">
        <v>1</v>
      </c>
      <c r="E47">
        <v>1</v>
      </c>
      <c r="F47">
        <v>1</v>
      </c>
      <c r="G47" t="s">
        <v>59</v>
      </c>
      <c r="H47" t="s">
        <v>59</v>
      </c>
      <c r="I47">
        <v>5</v>
      </c>
      <c r="J47" t="s">
        <v>59</v>
      </c>
      <c r="K47">
        <v>3</v>
      </c>
      <c r="L47">
        <v>3</v>
      </c>
    </row>
    <row r="48" spans="1:18" x14ac:dyDescent="0.25">
      <c r="A48" t="s">
        <v>55</v>
      </c>
      <c r="B48" t="s">
        <v>92</v>
      </c>
      <c r="C48">
        <v>1</v>
      </c>
      <c r="D48">
        <v>1</v>
      </c>
      <c r="E48">
        <v>1</v>
      </c>
      <c r="F48">
        <v>1</v>
      </c>
      <c r="G48" t="s">
        <v>59</v>
      </c>
      <c r="H48" t="s">
        <v>59</v>
      </c>
      <c r="I48">
        <v>5</v>
      </c>
      <c r="J48" t="s">
        <v>59</v>
      </c>
      <c r="K48">
        <v>4</v>
      </c>
      <c r="L48">
        <v>1</v>
      </c>
    </row>
    <row r="49" spans="1:12" x14ac:dyDescent="0.25">
      <c r="A49" t="s">
        <v>55</v>
      </c>
      <c r="B49" t="s">
        <v>92</v>
      </c>
      <c r="C49">
        <v>1</v>
      </c>
      <c r="D49">
        <v>1</v>
      </c>
      <c r="E49">
        <v>1</v>
      </c>
      <c r="F49">
        <v>1</v>
      </c>
      <c r="G49" t="s">
        <v>59</v>
      </c>
      <c r="H49" t="s">
        <v>59</v>
      </c>
      <c r="I49">
        <v>6</v>
      </c>
      <c r="J49" t="s">
        <v>59</v>
      </c>
      <c r="K49">
        <v>3</v>
      </c>
      <c r="L49">
        <v>2</v>
      </c>
    </row>
    <row r="50" spans="1:12" x14ac:dyDescent="0.25">
      <c r="A50" t="s">
        <v>55</v>
      </c>
      <c r="B50" t="s">
        <v>92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 t="s">
        <v>59</v>
      </c>
      <c r="J50" t="s">
        <v>59</v>
      </c>
      <c r="K50" t="s">
        <v>59</v>
      </c>
      <c r="L50">
        <v>7</v>
      </c>
    </row>
    <row r="51" spans="1:12" x14ac:dyDescent="0.25">
      <c r="A51" t="s">
        <v>55</v>
      </c>
      <c r="B51" t="s">
        <v>92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5</v>
      </c>
      <c r="J51" t="s">
        <v>59</v>
      </c>
      <c r="K51" t="s">
        <v>59</v>
      </c>
      <c r="L51">
        <v>45</v>
      </c>
    </row>
    <row r="52" spans="1:12" x14ac:dyDescent="0.25">
      <c r="A52" t="s">
        <v>55</v>
      </c>
      <c r="B52" t="s">
        <v>92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6</v>
      </c>
      <c r="J52" t="s">
        <v>59</v>
      </c>
      <c r="K52" t="s">
        <v>59</v>
      </c>
      <c r="L52">
        <v>1</v>
      </c>
    </row>
    <row r="53" spans="1:12" x14ac:dyDescent="0.25">
      <c r="A53" t="s">
        <v>55</v>
      </c>
      <c r="B53" t="s">
        <v>92</v>
      </c>
      <c r="C53">
        <v>1</v>
      </c>
      <c r="D53">
        <v>1</v>
      </c>
      <c r="E53">
        <v>1</v>
      </c>
      <c r="F53">
        <v>1</v>
      </c>
      <c r="G53">
        <v>2</v>
      </c>
      <c r="H53" t="s">
        <v>59</v>
      </c>
      <c r="I53">
        <v>5</v>
      </c>
      <c r="J53" t="s">
        <v>59</v>
      </c>
      <c r="K53" t="s">
        <v>59</v>
      </c>
      <c r="L53">
        <v>2</v>
      </c>
    </row>
    <row r="54" spans="1:12" x14ac:dyDescent="0.25">
      <c r="A54" t="s">
        <v>55</v>
      </c>
      <c r="B54" t="s">
        <v>92</v>
      </c>
      <c r="C54">
        <v>1</v>
      </c>
      <c r="D54">
        <v>2</v>
      </c>
      <c r="E54">
        <v>2</v>
      </c>
      <c r="F54" t="s">
        <v>59</v>
      </c>
      <c r="G54">
        <v>2</v>
      </c>
      <c r="H54" t="s">
        <v>59</v>
      </c>
      <c r="I54">
        <v>5</v>
      </c>
      <c r="J54" t="s">
        <v>59</v>
      </c>
      <c r="K54" t="s">
        <v>59</v>
      </c>
      <c r="L54">
        <v>2</v>
      </c>
    </row>
    <row r="55" spans="1:12" x14ac:dyDescent="0.25">
      <c r="A55" t="s">
        <v>55</v>
      </c>
      <c r="B55" t="s">
        <v>92</v>
      </c>
      <c r="C55">
        <v>1</v>
      </c>
      <c r="D55">
        <v>6</v>
      </c>
      <c r="E55">
        <v>6</v>
      </c>
      <c r="F55" t="s">
        <v>59</v>
      </c>
      <c r="G55" t="s">
        <v>59</v>
      </c>
      <c r="H55" t="s">
        <v>59</v>
      </c>
      <c r="I55">
        <v>6</v>
      </c>
      <c r="J55" t="s">
        <v>59</v>
      </c>
      <c r="K55">
        <v>3</v>
      </c>
      <c r="L55">
        <v>1</v>
      </c>
    </row>
  </sheetData>
  <autoFilter ref="A1:M55" xr:uid="{15D3BC9E-43C1-4FD0-ABA4-F6B673D6562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Dyer</dc:creator>
  <cp:lastModifiedBy>Brian Dyer</cp:lastModifiedBy>
  <dcterms:created xsi:type="dcterms:W3CDTF">2024-12-13T19:17:43Z</dcterms:created>
  <dcterms:modified xsi:type="dcterms:W3CDTF">2024-12-19T19:48:28Z</dcterms:modified>
</cp:coreProperties>
</file>